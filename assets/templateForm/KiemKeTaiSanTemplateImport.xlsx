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g Dep Trai\Downloads\"/>
    </mc:Choice>
  </mc:AlternateContent>
  <xr:revisionPtr revIDLastSave="0" documentId="13_ncr:1_{C426F597-A97E-43C7-865E-BA67344FA431}" xr6:coauthVersionLast="47" xr6:coauthVersionMax="47" xr10:uidLastSave="{00000000-0000-0000-0000-000000000000}"/>
  <bookViews>
    <workbookView xWindow="-28920" yWindow="630" windowWidth="29040" windowHeight="15720" xr2:uid="{6578F3AE-B91E-4ACF-8241-F255CB5F2E7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A12" i="1"/>
  <c r="M11" i="1"/>
</calcChain>
</file>

<file path=xl/sharedStrings.xml><?xml version="1.0" encoding="utf-8"?>
<sst xmlns="http://schemas.openxmlformats.org/spreadsheetml/2006/main" count="57" uniqueCount="46">
  <si>
    <t>BIÊN BẢN KIỂM KÊ TÀI SẢN, CÔNG CỤ DỤNG CỤ</t>
  </si>
  <si>
    <t>1. Thời gian kiểm kê</t>
  </si>
  <si>
    <t xml:space="preserve">: </t>
  </si>
  <si>
    <t>2. Địa điểm</t>
  </si>
  <si>
    <t>: Phòng HCNS - Công ty Cổ phần RTC Technology Việt Nam</t>
  </si>
  <si>
    <t>3. Ban kiểm kê gồm</t>
  </si>
  <si>
    <t>:</t>
  </si>
  <si>
    <t>- Họ và tên</t>
  </si>
  <si>
    <t>: Lương Thị Luyến</t>
  </si>
  <si>
    <t>Chức vụ : NV Hành chính</t>
  </si>
  <si>
    <t>: Dương Thị Hải Yến</t>
  </si>
  <si>
    <t>Chức vụ : TTS HCNS</t>
  </si>
  <si>
    <t>: Đỗ Thị Vân</t>
  </si>
  <si>
    <t>Chức vụ : NV Kế toán</t>
  </si>
  <si>
    <t>Đã tiến hành kiểm kê tài sản, CCDC kết quả như sau:</t>
  </si>
  <si>
    <t>STT</t>
  </si>
  <si>
    <t>Mã tài sản</t>
  </si>
  <si>
    <t>Tên tài sản</t>
  </si>
  <si>
    <t>Mã loại tài sản</t>
  </si>
  <si>
    <t>Mã nguồn gốc tài sản</t>
  </si>
  <si>
    <t>Mã nhà cung cấp</t>
  </si>
  <si>
    <r>
      <t xml:space="preserve">Mô tả chi tiết
</t>
    </r>
    <r>
      <rPr>
        <i/>
        <sz val="12"/>
        <rFont val="Times New Roman"/>
        <family val="1"/>
      </rPr>
      <t>(Model, thông số kỹ thuật…)</t>
    </r>
  </si>
  <si>
    <t>Số seri</t>
  </si>
  <si>
    <t>Đơn vị tính</t>
  </si>
  <si>
    <t>Số 
lượng</t>
  </si>
  <si>
    <t>Tình trạng</t>
  </si>
  <si>
    <t>Mã phòng ban</t>
  </si>
  <si>
    <t>Mã nhân viên</t>
  </si>
  <si>
    <r>
      <t xml:space="preserve">Người sử dụng
</t>
    </r>
    <r>
      <rPr>
        <i/>
        <sz val="12"/>
        <rFont val="Aptos Display"/>
        <family val="1"/>
        <scheme val="major"/>
      </rPr>
      <t>(Nếu là tài sản dùng chung của phòng thì ghi: Người quản lý của phòng)</t>
    </r>
  </si>
  <si>
    <t>Thời gian ghi tăng</t>
  </si>
  <si>
    <r>
      <rPr>
        <b/>
        <sz val="12"/>
        <rFont val="Times New Roman"/>
        <family val="1"/>
      </rPr>
      <t>Thời gian bảo hành</t>
    </r>
    <r>
      <rPr>
        <i/>
        <sz val="12"/>
        <rFont val="Times New Roman"/>
        <family val="1"/>
      </rPr>
      <t xml:space="preserve">
(Tháng)</t>
    </r>
  </si>
  <si>
    <r>
      <t>Hiệu lực từ
(</t>
    </r>
    <r>
      <rPr>
        <i/>
        <sz val="12"/>
        <rFont val="Times New Roman"/>
        <family val="1"/>
      </rPr>
      <t>Là ngày bắt đầu được tính bảo hành</t>
    </r>
    <r>
      <rPr>
        <b/>
        <sz val="12"/>
        <rFont val="Times New Roman"/>
        <family val="1"/>
      </rPr>
      <t>)</t>
    </r>
  </si>
  <si>
    <t>Ghi chú</t>
  </si>
  <si>
    <t>Biển phòng giám đốc</t>
  </si>
  <si>
    <t>Đang sử dụng</t>
  </si>
  <si>
    <t>HCNS</t>
  </si>
  <si>
    <t>Nguyễn Thị Huệ</t>
  </si>
  <si>
    <t>Dùng chung</t>
  </si>
  <si>
    <t>BIEN002</t>
  </si>
  <si>
    <t>Biển phòng kế toán</t>
  </si>
  <si>
    <t>VỈ</t>
  </si>
  <si>
    <t>TSC</t>
  </si>
  <si>
    <t>TSDH</t>
  </si>
  <si>
    <t>NCC1</t>
  </si>
  <si>
    <t>NCC2</t>
  </si>
  <si>
    <t>BIEN001ewewewe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</si>
</sst>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name val="Aptos Display"/>
      <family val="1"/>
      <scheme val="maj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2"/>
      <name val="Aptos Display"/>
      <family val="1"/>
      <scheme val="major"/>
    </font>
    <font>
      <i/>
      <sz val="12"/>
      <name val="Aptos Display"/>
      <family val="1"/>
      <scheme val="maj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vertical="center"/>
    </xf>
    <xf numFmtId="14" fontId="2" fillId="3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Normal 2" xfId="1" xr:uid="{0C7A1133-D9E8-4537-AFC6-86D48F498F32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876382" cy="422835"/>
    <xdr:pic>
      <xdr:nvPicPr>
        <xdr:cNvPr id="2" name="Picture 1">
          <a:extLst>
            <a:ext uri="{FF2B5EF4-FFF2-40B4-BE49-F238E27FC236}">
              <a16:creationId xmlns:a16="http://schemas.microsoft.com/office/drawing/2014/main" id="{C481303F-4F12-4C3F-80F3-17237DE14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76382" cy="42283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ng%20Dep%20Trai\Downloads\XXXXX.xlsx" TargetMode="External"/><Relationship Id="rId1" Type="http://schemas.openxmlformats.org/officeDocument/2006/relationships/externalLinkPath" Target="XXXX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 "/>
      <sheetName val="TỔNG HỢP FINAL"/>
      <sheetName val="Tổng hợp (3)"/>
      <sheetName val="Mã NV"/>
      <sheetName val="TỔNG HỢP cũ"/>
    </sheetNames>
    <sheetDataSet>
      <sheetData sheetId="0"/>
      <sheetData sheetId="1"/>
      <sheetData sheetId="2"/>
      <sheetData sheetId="3">
        <row r="3">
          <cell r="A3" t="str">
            <v>Vũ Tân Hưng</v>
          </cell>
          <cell r="B3" t="str">
            <v>IN70</v>
          </cell>
        </row>
        <row r="4">
          <cell r="A4" t="str">
            <v>Nguyễn Tiến Thành</v>
          </cell>
          <cell r="B4" t="str">
            <v>IN69</v>
          </cell>
        </row>
        <row r="5">
          <cell r="A5" t="str">
            <v>Phạm Thái Hoàng</v>
          </cell>
          <cell r="B5" t="str">
            <v>IN24</v>
          </cell>
        </row>
        <row r="6">
          <cell r="A6" t="str">
            <v>Trần Đức Mạnh</v>
          </cell>
          <cell r="B6" t="str">
            <v>TE104</v>
          </cell>
        </row>
        <row r="7">
          <cell r="A7" t="str">
            <v>Trịnh Văn Đức</v>
          </cell>
          <cell r="B7" t="str">
            <v>IN23</v>
          </cell>
        </row>
        <row r="8">
          <cell r="A8" t="str">
            <v>Đỗ Văn Khải</v>
          </cell>
          <cell r="B8" t="str">
            <v>TE102</v>
          </cell>
        </row>
        <row r="9">
          <cell r="A9" t="str">
            <v>Vũ Văn Doanh</v>
          </cell>
          <cell r="B9" t="str">
            <v>TE101</v>
          </cell>
        </row>
        <row r="10">
          <cell r="A10" t="str">
            <v>Nguyễn Thế Hưởng</v>
          </cell>
          <cell r="B10" t="str">
            <v>TE100</v>
          </cell>
        </row>
        <row r="11">
          <cell r="A11" t="str">
            <v>Nguyễn Tiến Việt</v>
          </cell>
          <cell r="B11" t="str">
            <v>TE56</v>
          </cell>
        </row>
        <row r="12">
          <cell r="A12" t="str">
            <v>Ngô Viết Cường</v>
          </cell>
          <cell r="B12" t="str">
            <v>IN27</v>
          </cell>
        </row>
        <row r="13">
          <cell r="A13" t="str">
            <v>Nguyễn Tuấn Nha</v>
          </cell>
          <cell r="B13" t="str">
            <v>TE80</v>
          </cell>
        </row>
        <row r="14">
          <cell r="A14" t="str">
            <v>Phạm Quang Linh</v>
          </cell>
          <cell r="B14" t="str">
            <v>TE65</v>
          </cell>
        </row>
        <row r="15">
          <cell r="A15" t="str">
            <v>Lê Tùng Anh</v>
          </cell>
          <cell r="B15" t="str">
            <v>TE64</v>
          </cell>
        </row>
        <row r="16">
          <cell r="A16" t="str">
            <v>Nguyễn Việt Thắng</v>
          </cell>
          <cell r="B16" t="str">
            <v>TE55</v>
          </cell>
        </row>
        <row r="17">
          <cell r="A17" t="str">
            <v>Trịnh Quang Huy</v>
          </cell>
          <cell r="B17" t="str">
            <v>TE54</v>
          </cell>
        </row>
        <row r="18">
          <cell r="A18" t="str">
            <v>Nguyễn Đức Hưng</v>
          </cell>
          <cell r="B18" t="str">
            <v>TE49</v>
          </cell>
        </row>
        <row r="19">
          <cell r="A19" t="str">
            <v>Nguyễn Phương Nam</v>
          </cell>
          <cell r="B19" t="str">
            <v>TE40</v>
          </cell>
        </row>
        <row r="20">
          <cell r="A20" t="str">
            <v>Cao Thanh Tùng</v>
          </cell>
          <cell r="B20" t="str">
            <v>TE48</v>
          </cell>
        </row>
        <row r="21">
          <cell r="A21" t="str">
            <v>Võ Tiến Dũng</v>
          </cell>
          <cell r="B21" t="str">
            <v>TE30</v>
          </cell>
        </row>
        <row r="22">
          <cell r="A22" t="str">
            <v>Trịnh Như Chuyên</v>
          </cell>
          <cell r="B22" t="str">
            <v>TE28</v>
          </cell>
        </row>
        <row r="23">
          <cell r="A23" t="str">
            <v>Bùi Mạnh Cần</v>
          </cell>
          <cell r="B23" t="str">
            <v>TE26</v>
          </cell>
        </row>
        <row r="24">
          <cell r="B24" t="str">
            <v>Phòng ban: Ban Giám đốc (3)</v>
          </cell>
        </row>
        <row r="25">
          <cell r="A25" t="str">
            <v>Mr David</v>
          </cell>
          <cell r="B25" t="str">
            <v>DR03</v>
          </cell>
        </row>
        <row r="26">
          <cell r="A26" t="str">
            <v>Nguyễn Văn Thắng</v>
          </cell>
          <cell r="B26" t="str">
            <v>DR02</v>
          </cell>
        </row>
        <row r="27">
          <cell r="A27" t="str">
            <v>Nguyễn Văn Sao</v>
          </cell>
          <cell r="B27" t="str">
            <v>DR01</v>
          </cell>
        </row>
        <row r="28">
          <cell r="B28" t="str">
            <v>Phòng ban: Cơ khí - Thiết kế (15)</v>
          </cell>
        </row>
        <row r="29">
          <cell r="A29" t="str">
            <v>Trần Văn Sơn</v>
          </cell>
          <cell r="B29" t="str">
            <v>TE84</v>
          </cell>
        </row>
        <row r="30">
          <cell r="A30" t="str">
            <v>Vũ Mạnh Huy</v>
          </cell>
          <cell r="B30" t="str">
            <v>TE33</v>
          </cell>
        </row>
        <row r="31">
          <cell r="A31" t="str">
            <v>Nguyễn Thế Khải</v>
          </cell>
          <cell r="B31" t="str">
            <v>TE75</v>
          </cell>
        </row>
        <row r="32">
          <cell r="A32" t="str">
            <v>Nguyễn Thế Tuyên</v>
          </cell>
          <cell r="B32" t="str">
            <v>TE62</v>
          </cell>
        </row>
        <row r="33">
          <cell r="A33" t="str">
            <v>Trần Minh Khuê</v>
          </cell>
          <cell r="B33" t="str">
            <v>TE32</v>
          </cell>
        </row>
        <row r="34">
          <cell r="A34" t="str">
            <v>Nguyễn Xuân Phú</v>
          </cell>
          <cell r="B34" t="str">
            <v>TE31</v>
          </cell>
        </row>
        <row r="35">
          <cell r="A35" t="str">
            <v>Nguyễn Ngọc Hào</v>
          </cell>
          <cell r="B35" t="str">
            <v>IN66</v>
          </cell>
        </row>
        <row r="36">
          <cell r="A36" t="str">
            <v>Vũ Công Tuyền</v>
          </cell>
          <cell r="B36" t="str">
            <v>IN67</v>
          </cell>
        </row>
        <row r="37">
          <cell r="A37" t="str">
            <v>Nguyễn Quốc Cường</v>
          </cell>
          <cell r="B37" t="str">
            <v>TE113</v>
          </cell>
        </row>
        <row r="38">
          <cell r="A38" t="str">
            <v>Nguyễn Văn Tiến</v>
          </cell>
          <cell r="B38" t="str">
            <v>IN29</v>
          </cell>
        </row>
        <row r="39">
          <cell r="A39" t="str">
            <v>Mai Văn Linh</v>
          </cell>
          <cell r="B39" t="str">
            <v>IN28</v>
          </cell>
        </row>
        <row r="40">
          <cell r="A40" t="str">
            <v>Dương Xuân Chiến</v>
          </cell>
          <cell r="B40" t="str">
            <v>TE111</v>
          </cell>
        </row>
        <row r="41">
          <cell r="A41" t="str">
            <v>Đinh Văn Hoàng</v>
          </cell>
          <cell r="B41" t="str">
            <v>TE110</v>
          </cell>
        </row>
        <row r="42">
          <cell r="A42" t="str">
            <v>Nguyễn Trấn Hưng</v>
          </cell>
          <cell r="B42" t="str">
            <v>TE109</v>
          </cell>
        </row>
        <row r="43">
          <cell r="A43" t="str">
            <v>Nguyễn Thị Thanh Hà</v>
          </cell>
          <cell r="B43" t="str">
            <v>TE107</v>
          </cell>
        </row>
        <row r="44">
          <cell r="B44" t="str">
            <v>Phòng ban: Hành chính nhân sự (18)</v>
          </cell>
        </row>
        <row r="45">
          <cell r="A45" t="str">
            <v>Nguyễn Thị Xứ</v>
          </cell>
          <cell r="B45" t="str">
            <v>HR11</v>
          </cell>
        </row>
        <row r="46">
          <cell r="A46" t="str">
            <v>Vương Thị Phương Quỳnh</v>
          </cell>
          <cell r="B46" t="str">
            <v>HR08</v>
          </cell>
        </row>
        <row r="47">
          <cell r="A47" t="str">
            <v>Tạ Thu Huyền</v>
          </cell>
          <cell r="B47" t="str">
            <v>HR07</v>
          </cell>
        </row>
        <row r="48">
          <cell r="A48" t="str">
            <v>Nguyễn Thị Hương</v>
          </cell>
          <cell r="B48" t="str">
            <v>HR06</v>
          </cell>
        </row>
        <row r="49">
          <cell r="A49" t="str">
            <v>Lê Văn Tài</v>
          </cell>
          <cell r="B49" t="str">
            <v>HR10</v>
          </cell>
        </row>
        <row r="50">
          <cell r="A50" t="str">
            <v>Bùi Quang Hưng</v>
          </cell>
          <cell r="B50" t="str">
            <v>HR09</v>
          </cell>
        </row>
        <row r="51">
          <cell r="A51" t="str">
            <v>Nguyễn Trọng Thủy</v>
          </cell>
          <cell r="B51" t="str">
            <v>HR04</v>
          </cell>
        </row>
        <row r="52">
          <cell r="A52" t="str">
            <v>Hoàng Văn Linh</v>
          </cell>
          <cell r="B52" t="str">
            <v>HR03</v>
          </cell>
        </row>
        <row r="53">
          <cell r="A53" t="str">
            <v>Nguyễn Minh Anh</v>
          </cell>
          <cell r="B53" t="str">
            <v>HR02</v>
          </cell>
        </row>
        <row r="54">
          <cell r="A54" t="str">
            <v>Nguyễn Thị Huệ</v>
          </cell>
          <cell r="B54" t="str">
            <v>HR01</v>
          </cell>
        </row>
        <row r="55">
          <cell r="A55" t="str">
            <v>Lương Thị Luyến</v>
          </cell>
          <cell r="B55" t="str">
            <v>HR12</v>
          </cell>
        </row>
        <row r="56">
          <cell r="A56" t="str">
            <v>Dương Thị Hải Yến</v>
          </cell>
          <cell r="B56" t="str">
            <v>IN14</v>
          </cell>
        </row>
        <row r="57">
          <cell r="A57" t="str">
            <v>Ngô Anh Đức</v>
          </cell>
          <cell r="B57" t="str">
            <v>HR14</v>
          </cell>
        </row>
        <row r="58">
          <cell r="A58" t="str">
            <v>Đặng Văn Thành</v>
          </cell>
          <cell r="B58" t="str">
            <v>HR13</v>
          </cell>
        </row>
        <row r="59">
          <cell r="A59" t="str">
            <v>Nguyễn Văn A</v>
          </cell>
          <cell r="B59" t="str">
            <v>HR17</v>
          </cell>
        </row>
        <row r="60">
          <cell r="A60" t="str">
            <v>Bùi Minh Nhật</v>
          </cell>
          <cell r="B60" t="str">
            <v>NV0014</v>
          </cell>
        </row>
        <row r="61">
          <cell r="A61" t="str">
            <v>Trần Ích Bằng</v>
          </cell>
          <cell r="B61" t="str">
            <v>NV0013</v>
          </cell>
        </row>
        <row r="62">
          <cell r="A62" t="str">
            <v>Đinh Văn Long</v>
          </cell>
          <cell r="B62" t="str">
            <v>NV0007</v>
          </cell>
        </row>
        <row r="63">
          <cell r="B63" t="str">
            <v>Phòng ban: Kế toán (9)</v>
          </cell>
        </row>
        <row r="64">
          <cell r="A64" t="str">
            <v>Nguyễn Thị Minh Hoà</v>
          </cell>
          <cell r="B64" t="str">
            <v>NV0005</v>
          </cell>
        </row>
        <row r="65">
          <cell r="A65" t="str">
            <v>Nguyễn Thị Ly</v>
          </cell>
          <cell r="B65" t="str">
            <v>NV0004</v>
          </cell>
        </row>
        <row r="66">
          <cell r="A66" t="str">
            <v>Bùi Thị Huyền</v>
          </cell>
          <cell r="B66" t="str">
            <v>IN16</v>
          </cell>
        </row>
        <row r="67">
          <cell r="A67" t="str">
            <v>Nguyễn Quỳnh Hương</v>
          </cell>
          <cell r="B67" t="str">
            <v>IN15</v>
          </cell>
        </row>
        <row r="68">
          <cell r="A68" t="str">
            <v>Đỗ Thị Vân</v>
          </cell>
          <cell r="B68" t="str">
            <v>AC07</v>
          </cell>
        </row>
        <row r="69">
          <cell r="A69" t="str">
            <v>Lê Thị Minh Nguyệt</v>
          </cell>
          <cell r="B69" t="str">
            <v>AC10</v>
          </cell>
        </row>
        <row r="70">
          <cell r="A70" t="str">
            <v>Nguyễn Thị Thanh Huyền</v>
          </cell>
          <cell r="B70" t="str">
            <v>AC06</v>
          </cell>
        </row>
        <row r="71">
          <cell r="A71" t="str">
            <v>Trần Thị Diệu Thuý</v>
          </cell>
          <cell r="B71" t="str">
            <v>AC05</v>
          </cell>
        </row>
        <row r="72">
          <cell r="A72" t="str">
            <v>Vũ Thị Thanh</v>
          </cell>
          <cell r="B72" t="str">
            <v>AC04</v>
          </cell>
        </row>
        <row r="73">
          <cell r="B73" t="str">
            <v>Phòng ban: Kinh doanh (34)</v>
          </cell>
        </row>
        <row r="74">
          <cell r="A74" t="str">
            <v>Nguyễn Thị Viễn</v>
          </cell>
          <cell r="B74" t="str">
            <v>BU30</v>
          </cell>
        </row>
        <row r="75">
          <cell r="A75" t="str">
            <v>Trần Đức Thành</v>
          </cell>
          <cell r="B75" t="str">
            <v>BU34</v>
          </cell>
        </row>
        <row r="76">
          <cell r="A76" t="str">
            <v>Nguyễn Hoàng Huy</v>
          </cell>
          <cell r="B76" t="str">
            <v>BU31</v>
          </cell>
        </row>
        <row r="77">
          <cell r="A77" t="str">
            <v>Trần Bảo Trung</v>
          </cell>
          <cell r="B77" t="str">
            <v>BU33</v>
          </cell>
        </row>
        <row r="78">
          <cell r="A78" t="str">
            <v>Nguyễn Văn B</v>
          </cell>
          <cell r="B78" t="str">
            <v>VD0001</v>
          </cell>
        </row>
        <row r="79">
          <cell r="A79" t="str">
            <v>Nguyễn Ngọc Quân</v>
          </cell>
          <cell r="B79" t="str">
            <v>NV0003</v>
          </cell>
        </row>
        <row r="80">
          <cell r="A80" t="str">
            <v>Bùi Đức Dũng</v>
          </cell>
          <cell r="B80" t="str">
            <v>NV0002</v>
          </cell>
        </row>
        <row r="81">
          <cell r="A81" t="str">
            <v>Vũ Thị Hồng Ngọc</v>
          </cell>
          <cell r="B81" t="str">
            <v>NV0008</v>
          </cell>
        </row>
        <row r="82">
          <cell r="A82" t="str">
            <v>Nguyễn Hoàng Sơn</v>
          </cell>
          <cell r="B82" t="str">
            <v>NV0016</v>
          </cell>
        </row>
        <row r="83">
          <cell r="A83" t="str">
            <v>Nguyễn Thảo Chi</v>
          </cell>
          <cell r="B83" t="str">
            <v>NV0015</v>
          </cell>
        </row>
        <row r="84">
          <cell r="A84" t="str">
            <v>Cáp Thị Hiên</v>
          </cell>
          <cell r="B84" t="str">
            <v>BU37</v>
          </cell>
        </row>
        <row r="85">
          <cell r="A85" t="str">
            <v>Bùi Thị Phương</v>
          </cell>
          <cell r="B85" t="str">
            <v>MK02</v>
          </cell>
        </row>
        <row r="86">
          <cell r="A86" t="str">
            <v>Nguyễn Văn Hiệu</v>
          </cell>
          <cell r="B86" t="str">
            <v>BU32</v>
          </cell>
        </row>
        <row r="87">
          <cell r="A87" t="str">
            <v>Phạm Thị Thu Hoài</v>
          </cell>
          <cell r="B87" t="str">
            <v>IN30</v>
          </cell>
        </row>
        <row r="88">
          <cell r="A88" t="str">
            <v>Lê Thị Linh</v>
          </cell>
          <cell r="B88" t="str">
            <v>BU29</v>
          </cell>
        </row>
        <row r="89">
          <cell r="A89" t="str">
            <v>Nguyễn Thị Ngọc Anh</v>
          </cell>
          <cell r="B89" t="str">
            <v>IN31</v>
          </cell>
        </row>
        <row r="90">
          <cell r="A90" t="str">
            <v>Giang Thanh Hồng</v>
          </cell>
          <cell r="B90" t="str">
            <v>BU16</v>
          </cell>
        </row>
        <row r="91">
          <cell r="A91" t="str">
            <v>Nguyễn Thị Loan</v>
          </cell>
          <cell r="B91" t="str">
            <v>BU14</v>
          </cell>
        </row>
        <row r="92">
          <cell r="A92" t="str">
            <v>Trình Tiến Đạt</v>
          </cell>
          <cell r="B92" t="str">
            <v>BU13</v>
          </cell>
        </row>
        <row r="93">
          <cell r="A93" t="str">
            <v>Đỗ Thị Hoa</v>
          </cell>
          <cell r="B93" t="str">
            <v>BU12</v>
          </cell>
        </row>
        <row r="94">
          <cell r="A94" t="str">
            <v>Nguyễn Mạnh Tiến</v>
          </cell>
          <cell r="B94" t="str">
            <v>BU11</v>
          </cell>
        </row>
        <row r="95">
          <cell r="A95" t="str">
            <v>Đinh Mạnh Tuấn</v>
          </cell>
          <cell r="B95" t="str">
            <v>BU35</v>
          </cell>
        </row>
        <row r="96">
          <cell r="A96" t="str">
            <v>Phạm Phú Điệp</v>
          </cell>
          <cell r="B96" t="str">
            <v>BU10</v>
          </cell>
        </row>
        <row r="97">
          <cell r="A97" t="str">
            <v>Nguyễn Huy Bắc</v>
          </cell>
          <cell r="B97" t="str">
            <v>BU09</v>
          </cell>
        </row>
        <row r="98">
          <cell r="A98" t="str">
            <v>Nguyễn Tá Dũng</v>
          </cell>
          <cell r="B98" t="str">
            <v>BU08</v>
          </cell>
        </row>
        <row r="99">
          <cell r="A99" t="str">
            <v>Lê Thị Trang</v>
          </cell>
          <cell r="B99" t="str">
            <v>BU07</v>
          </cell>
        </row>
        <row r="100">
          <cell r="A100" t="str">
            <v>Vũ Thị Kim Xuyến</v>
          </cell>
          <cell r="B100" t="str">
            <v>BU24</v>
          </cell>
        </row>
        <row r="101">
          <cell r="A101" t="str">
            <v>Nguyễn Hoàng Phương</v>
          </cell>
          <cell r="B101" t="str">
            <v>BU23</v>
          </cell>
        </row>
        <row r="102">
          <cell r="A102" t="str">
            <v>Phan Thị Thu Thủy</v>
          </cell>
          <cell r="B102" t="str">
            <v>BU06</v>
          </cell>
        </row>
        <row r="103">
          <cell r="A103" t="str">
            <v>Nguyễn Thế Vinh</v>
          </cell>
          <cell r="B103" t="str">
            <v>BU25</v>
          </cell>
        </row>
        <row r="104">
          <cell r="A104" t="str">
            <v>Nguyễn Thị Hiền</v>
          </cell>
          <cell r="B104" t="str">
            <v>BU02</v>
          </cell>
        </row>
        <row r="105">
          <cell r="A105" t="str">
            <v>Hà Văn Quang</v>
          </cell>
          <cell r="B105" t="str">
            <v>BU28</v>
          </cell>
        </row>
        <row r="106">
          <cell r="A106" t="str">
            <v>Lê Thị Hải</v>
          </cell>
          <cell r="B106" t="str">
            <v>BU27</v>
          </cell>
        </row>
        <row r="107">
          <cell r="A107" t="str">
            <v>Lê Quốc Chiến</v>
          </cell>
          <cell r="B107" t="str">
            <v>BU22</v>
          </cell>
        </row>
        <row r="108">
          <cell r="B108" t="str">
            <v>Phòng ban: Kỹ thuật (58)</v>
          </cell>
        </row>
        <row r="109">
          <cell r="A109" t="str">
            <v>Lê Quang Đăng</v>
          </cell>
          <cell r="B109" t="str">
            <v>IN18</v>
          </cell>
        </row>
        <row r="110">
          <cell r="A110" t="str">
            <v>Trần Văn Nghĩa</v>
          </cell>
          <cell r="B110" t="str">
            <v>TE106</v>
          </cell>
        </row>
        <row r="111">
          <cell r="A111" t="str">
            <v>Lưu Văn Thiện</v>
          </cell>
          <cell r="B111" t="str">
            <v>TE98</v>
          </cell>
        </row>
        <row r="112">
          <cell r="A112" t="str">
            <v>Nguyễn Xuân Mạnh</v>
          </cell>
          <cell r="B112" t="str">
            <v>TE93</v>
          </cell>
        </row>
        <row r="113">
          <cell r="A113" t="str">
            <v>Lê Thế Anh</v>
          </cell>
          <cell r="B113" t="str">
            <v>TE76</v>
          </cell>
        </row>
        <row r="114">
          <cell r="A114" t="str">
            <v>Nguyễn Bá Tuấn Anh</v>
          </cell>
          <cell r="B114" t="str">
            <v>TE58</v>
          </cell>
        </row>
        <row r="115">
          <cell r="A115" t="str">
            <v>Hoàng Tuấn Thành</v>
          </cell>
          <cell r="B115" t="str">
            <v>TE25</v>
          </cell>
        </row>
        <row r="116">
          <cell r="A116" t="str">
            <v>Đỗ Huy Hoàng</v>
          </cell>
          <cell r="B116" t="str">
            <v>TE24</v>
          </cell>
        </row>
        <row r="117">
          <cell r="A117" t="str">
            <v>Đào Anh Trường</v>
          </cell>
          <cell r="B117" t="str">
            <v>TE41</v>
          </cell>
        </row>
        <row r="118">
          <cell r="A118" t="str">
            <v>Nguyễn Văn Thao</v>
          </cell>
          <cell r="B118" t="str">
            <v>TE21</v>
          </cell>
        </row>
        <row r="119">
          <cell r="A119" t="str">
            <v>Nguyễn Tài Tăng</v>
          </cell>
          <cell r="B119" t="str">
            <v>TE115</v>
          </cell>
        </row>
        <row r="120">
          <cell r="A120" t="str">
            <v>Nguyễn Văn Linh</v>
          </cell>
          <cell r="B120" t="str">
            <v>TE74</v>
          </cell>
        </row>
        <row r="121">
          <cell r="A121" t="str">
            <v>Nguyễn Quốc Anh</v>
          </cell>
          <cell r="B121" t="str">
            <v>TE72</v>
          </cell>
        </row>
        <row r="122">
          <cell r="A122" t="str">
            <v>Đồng Văn Việt</v>
          </cell>
          <cell r="B122" t="str">
            <v>TE63</v>
          </cell>
        </row>
        <row r="123">
          <cell r="A123" t="str">
            <v>Ngô Văn Thịnh</v>
          </cell>
          <cell r="B123" t="str">
            <v>TE44</v>
          </cell>
        </row>
        <row r="124">
          <cell r="A124" t="str">
            <v>Nguyễn Xuân Dũng</v>
          </cell>
          <cell r="B124" t="str">
            <v>TE38</v>
          </cell>
        </row>
        <row r="125">
          <cell r="A125" t="str">
            <v>Trần Bá Huy</v>
          </cell>
          <cell r="B125" t="str">
            <v>TE17</v>
          </cell>
        </row>
        <row r="126">
          <cell r="A126" t="str">
            <v>Nguyễn Xuân Thưởng</v>
          </cell>
          <cell r="B126" t="str">
            <v>TE16</v>
          </cell>
        </row>
        <row r="127">
          <cell r="A127" t="str">
            <v>Nguyễn Hoàng Hà</v>
          </cell>
          <cell r="B127" t="str">
            <v>TE53</v>
          </cell>
        </row>
        <row r="128">
          <cell r="A128" t="str">
            <v>Nguyễn Ngọc Ánh</v>
          </cell>
          <cell r="B128" t="str">
            <v>TE08</v>
          </cell>
        </row>
        <row r="129">
          <cell r="A129" t="str">
            <v>Phạm Hoàng Anh</v>
          </cell>
          <cell r="B129" t="str">
            <v>TE70</v>
          </cell>
        </row>
        <row r="130">
          <cell r="A130" t="str">
            <v>Lương Minh Kiên</v>
          </cell>
          <cell r="B130" t="str">
            <v>TE68</v>
          </cell>
        </row>
        <row r="131">
          <cell r="A131" t="str">
            <v>Nguyễn Kiều Hưng</v>
          </cell>
          <cell r="B131" t="str">
            <v>TE60</v>
          </cell>
        </row>
        <row r="132">
          <cell r="A132" t="str">
            <v>Đào Văn Quỳnh</v>
          </cell>
          <cell r="B132" t="str">
            <v>TE06</v>
          </cell>
        </row>
        <row r="133">
          <cell r="A133" t="str">
            <v>Lê Minh Phương</v>
          </cell>
          <cell r="B133" t="str">
            <v>TE05</v>
          </cell>
        </row>
        <row r="134">
          <cell r="A134" t="str">
            <v>Trần Đức Thanh</v>
          </cell>
          <cell r="B134" t="str">
            <v>TE04</v>
          </cell>
        </row>
        <row r="135">
          <cell r="A135" t="str">
            <v>Nguyễn Minh Châu</v>
          </cell>
          <cell r="B135" t="str">
            <v>TE03</v>
          </cell>
        </row>
        <row r="136">
          <cell r="A136" t="str">
            <v>Vũ Kim Ngân</v>
          </cell>
          <cell r="B136" t="str">
            <v>TE77</v>
          </cell>
        </row>
        <row r="137">
          <cell r="A137" t="str">
            <v>Phạm Văn Quyền</v>
          </cell>
          <cell r="B137" t="str">
            <v>TE01</v>
          </cell>
        </row>
        <row r="138">
          <cell r="A138" t="str">
            <v>Nguyễn Thành Long</v>
          </cell>
          <cell r="B138" t="str">
            <v>NV0017</v>
          </cell>
        </row>
        <row r="139">
          <cell r="A139" t="str">
            <v>Mai Đình Công</v>
          </cell>
          <cell r="B139" t="str">
            <v>NV0012</v>
          </cell>
        </row>
        <row r="140">
          <cell r="A140" t="str">
            <v>Nguyễn Ngọc Khánh</v>
          </cell>
          <cell r="B140" t="str">
            <v>NV0011</v>
          </cell>
        </row>
        <row r="141">
          <cell r="A141" t="str">
            <v>Phạm Đức Hùng</v>
          </cell>
          <cell r="B141" t="str">
            <v>NV0010</v>
          </cell>
        </row>
        <row r="142">
          <cell r="A142" t="str">
            <v>Lê Anh Đức</v>
          </cell>
          <cell r="B142" t="str">
            <v>NV0009</v>
          </cell>
        </row>
        <row r="143">
          <cell r="A143" t="str">
            <v>Lưu Đức Thắng</v>
          </cell>
          <cell r="B143" t="str">
            <v>NV0001</v>
          </cell>
        </row>
        <row r="144">
          <cell r="A144" t="str">
            <v>Phạm Đại Nghĩa</v>
          </cell>
          <cell r="B144" t="str">
            <v>TE118</v>
          </cell>
        </row>
        <row r="145">
          <cell r="A145" t="str">
            <v>Nguyễn Nhân Huấn</v>
          </cell>
          <cell r="B145" t="str">
            <v>TE117</v>
          </cell>
        </row>
        <row r="146">
          <cell r="A146" t="str">
            <v>Lê Trung Hiếu</v>
          </cell>
          <cell r="B146" t="str">
            <v>TE116</v>
          </cell>
        </row>
        <row r="147">
          <cell r="A147" t="str">
            <v>Đỗ Đăng Khoa</v>
          </cell>
          <cell r="B147" t="str">
            <v>IN37</v>
          </cell>
        </row>
        <row r="148">
          <cell r="A148" t="str">
            <v>Đỗ Văn Hiếu</v>
          </cell>
          <cell r="B148" t="str">
            <v>IN21</v>
          </cell>
        </row>
        <row r="149">
          <cell r="A149" t="str">
            <v>Lò Văn Phóng</v>
          </cell>
          <cell r="B149" t="str">
            <v>IN20</v>
          </cell>
        </row>
        <row r="150">
          <cell r="A150" t="str">
            <v>Nguyễn Đức Tuấn</v>
          </cell>
          <cell r="B150" t="str">
            <v>TE85</v>
          </cell>
        </row>
        <row r="151">
          <cell r="A151" t="str">
            <v>Nguyễn Văn Đại</v>
          </cell>
          <cell r="B151" t="str">
            <v>TE91</v>
          </cell>
        </row>
        <row r="152">
          <cell r="A152" t="str">
            <v>Nguyễn Việt Đức</v>
          </cell>
          <cell r="B152" t="str">
            <v>IN55</v>
          </cell>
        </row>
        <row r="153">
          <cell r="A153" t="str">
            <v>Nguyễn Khánh Nam</v>
          </cell>
          <cell r="B153" t="str">
            <v>TE99</v>
          </cell>
        </row>
        <row r="154">
          <cell r="A154" t="str">
            <v>Lương Hoa Vinh</v>
          </cell>
          <cell r="B154" t="str">
            <v>TE46</v>
          </cell>
        </row>
        <row r="155">
          <cell r="A155" t="str">
            <v>Hoàng Xuân Ngọc</v>
          </cell>
          <cell r="B155" t="str">
            <v>TE89</v>
          </cell>
        </row>
        <row r="156">
          <cell r="A156" t="str">
            <v>Phạm Thành Long</v>
          </cell>
          <cell r="B156" t="str">
            <v>TE105</v>
          </cell>
        </row>
        <row r="157">
          <cell r="A157" t="str">
            <v>Nguyễn Văn Phương</v>
          </cell>
          <cell r="B157" t="str">
            <v>TE103</v>
          </cell>
        </row>
        <row r="158">
          <cell r="A158" t="str">
            <v>Phạm Quốc Tuấn</v>
          </cell>
          <cell r="B158" t="str">
            <v>TE87</v>
          </cell>
        </row>
        <row r="159">
          <cell r="A159" t="str">
            <v>Lê Hải Đăng</v>
          </cell>
          <cell r="B159" t="str">
            <v>TE90</v>
          </cell>
        </row>
        <row r="160">
          <cell r="A160" t="str">
            <v>Nguyễn Mạnh Toán</v>
          </cell>
          <cell r="B160" t="str">
            <v>TE94</v>
          </cell>
        </row>
        <row r="161">
          <cell r="A161" t="str">
            <v>Phạm Văn Khoa</v>
          </cell>
          <cell r="B161" t="str">
            <v>TE95</v>
          </cell>
        </row>
        <row r="162">
          <cell r="A162" t="str">
            <v>Nguyễn Văn Huy</v>
          </cell>
          <cell r="B162" t="str">
            <v>TE96</v>
          </cell>
        </row>
        <row r="163">
          <cell r="A163" t="str">
            <v>Phạm Minh Đức</v>
          </cell>
          <cell r="B163" t="str">
            <v>TE114</v>
          </cell>
        </row>
        <row r="164">
          <cell r="A164" t="str">
            <v>Nguyễn Ngọc Thế</v>
          </cell>
          <cell r="B164" t="str">
            <v>TE97</v>
          </cell>
        </row>
        <row r="165">
          <cell r="A165" t="str">
            <v>Nguyễn Tiến Quang</v>
          </cell>
          <cell r="B165" t="str">
            <v>TE86</v>
          </cell>
        </row>
        <row r="166">
          <cell r="A166" t="str">
            <v>Hoàng Hoài Lâm</v>
          </cell>
          <cell r="B166" t="str">
            <v>TE88</v>
          </cell>
        </row>
        <row r="167">
          <cell r="B167" t="str">
            <v>Phòng ban: Mua hàng (9)</v>
          </cell>
        </row>
        <row r="168">
          <cell r="A168" t="str">
            <v>Ngô Thị Hồng Nhung</v>
          </cell>
          <cell r="B168" t="str">
            <v>PU08</v>
          </cell>
        </row>
        <row r="169">
          <cell r="A169" t="str">
            <v>Đinh Hải Yến</v>
          </cell>
          <cell r="B169" t="str">
            <v>PU05</v>
          </cell>
        </row>
        <row r="170">
          <cell r="A170" t="str">
            <v>Nguyễn Thị Ánh Tuyết</v>
          </cell>
          <cell r="B170" t="str">
            <v>PU02</v>
          </cell>
        </row>
        <row r="171">
          <cell r="A171" t="str">
            <v>Nguyễn Thị Hằng</v>
          </cell>
          <cell r="B171" t="str">
            <v>PU01</v>
          </cell>
        </row>
        <row r="172">
          <cell r="A172" t="str">
            <v>Nguyễn Thị Yến</v>
          </cell>
          <cell r="B172" t="str">
            <v>NV0006</v>
          </cell>
        </row>
        <row r="173">
          <cell r="A173" t="str">
            <v>Lê Minh Thùy</v>
          </cell>
          <cell r="B173" t="str">
            <v>PU11</v>
          </cell>
        </row>
        <row r="174">
          <cell r="A174" t="str">
            <v>Phạm Thị Hồng Ngọc</v>
          </cell>
          <cell r="B174" t="str">
            <v>IN38</v>
          </cell>
        </row>
        <row r="175">
          <cell r="A175" t="str">
            <v>Lê Thị Hồng Vân</v>
          </cell>
          <cell r="B175" t="str">
            <v>PU10</v>
          </cell>
        </row>
        <row r="176">
          <cell r="A176" t="str">
            <v>Trịnh Thị Kim Dung</v>
          </cell>
          <cell r="B176" t="str">
            <v>PU09</v>
          </cell>
        </row>
        <row r="177">
          <cell r="B177">
            <v>167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DB3D-E753-4E2E-8EB5-1D3E7098E18E}">
  <dimension ref="A1:AM12"/>
  <sheetViews>
    <sheetView tabSelected="1" zoomScale="85" zoomScaleNormal="85" workbookViewId="0">
      <selection activeCell="C22" sqref="C22"/>
    </sheetView>
  </sheetViews>
  <sheetFormatPr defaultRowHeight="15" x14ac:dyDescent="0.25"/>
  <cols>
    <col min="2" max="2" width="25" customWidth="1"/>
    <col min="3" max="3" width="52.28515625" customWidth="1"/>
    <col min="4" max="4" width="24" customWidth="1"/>
    <col min="5" max="5" width="22.5703125" customWidth="1"/>
    <col min="6" max="6" width="20.5703125" customWidth="1"/>
    <col min="7" max="7" width="20" customWidth="1"/>
    <col min="8" max="8" width="27.85546875" customWidth="1"/>
    <col min="9" max="9" width="23.28515625" customWidth="1"/>
    <col min="10" max="10" width="16.85546875" customWidth="1"/>
    <col min="11" max="11" width="20.42578125" customWidth="1"/>
    <col min="12" max="12" width="29.28515625" customWidth="1"/>
    <col min="13" max="13" width="25" customWidth="1"/>
    <col min="14" max="14" width="26.28515625" customWidth="1"/>
    <col min="15" max="15" width="21.5703125" customWidth="1"/>
    <col min="18" max="18" width="24.5703125" customWidth="1"/>
  </cols>
  <sheetData>
    <row r="1" spans="1:39" s="9" customFormat="1" ht="15.75" x14ac:dyDescent="0.25">
      <c r="A1" s="1"/>
      <c r="B1" s="2"/>
      <c r="C1" s="3"/>
      <c r="D1" s="1"/>
      <c r="E1" s="1"/>
      <c r="F1" s="1"/>
      <c r="G1" s="3"/>
      <c r="H1" s="3"/>
      <c r="I1" s="4"/>
      <c r="J1" s="4"/>
      <c r="K1" s="1"/>
      <c r="L1" s="2"/>
      <c r="M1" s="1"/>
      <c r="N1" s="5"/>
      <c r="O1" s="6"/>
      <c r="P1" s="7"/>
      <c r="Q1" s="2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39" s="9" customFormat="1" ht="24" customHeight="1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s="9" customFormat="1" ht="19.899999999999999" customHeight="1" x14ac:dyDescent="0.25">
      <c r="A3" s="1" t="s">
        <v>1</v>
      </c>
      <c r="B3" s="2"/>
      <c r="C3" s="3" t="s">
        <v>2</v>
      </c>
      <c r="D3" s="1"/>
      <c r="E3" s="1"/>
      <c r="F3" s="1"/>
      <c r="G3" s="3"/>
      <c r="H3" s="3"/>
      <c r="I3" s="4"/>
      <c r="J3" s="4"/>
      <c r="K3" s="1"/>
      <c r="L3" s="2"/>
      <c r="M3" s="1"/>
      <c r="N3" s="5"/>
      <c r="O3" s="6"/>
      <c r="P3" s="7"/>
      <c r="Q3" s="2"/>
      <c r="R3" s="8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s="9" customFormat="1" ht="19.899999999999999" customHeight="1" x14ac:dyDescent="0.25">
      <c r="A4" s="1" t="s">
        <v>3</v>
      </c>
      <c r="B4" s="2"/>
      <c r="C4" s="1" t="s">
        <v>4</v>
      </c>
      <c r="D4" s="1"/>
      <c r="E4" s="1"/>
      <c r="F4" s="1"/>
      <c r="G4" s="3"/>
      <c r="H4" s="3"/>
      <c r="I4" s="4"/>
      <c r="J4" s="4"/>
      <c r="K4" s="1"/>
      <c r="L4" s="2"/>
      <c r="M4" s="1"/>
      <c r="N4" s="5"/>
      <c r="O4" s="6"/>
      <c r="P4" s="7"/>
      <c r="Q4" s="2"/>
      <c r="R4" s="8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s="9" customFormat="1" ht="19.899999999999999" customHeight="1" x14ac:dyDescent="0.25">
      <c r="A5" s="1" t="s">
        <v>5</v>
      </c>
      <c r="B5" s="2"/>
      <c r="C5" s="3" t="s">
        <v>6</v>
      </c>
      <c r="D5" s="1"/>
      <c r="E5" s="1"/>
      <c r="F5" s="1"/>
      <c r="G5" s="3"/>
      <c r="H5" s="3"/>
      <c r="I5" s="4"/>
      <c r="J5" s="4"/>
      <c r="K5" s="1"/>
      <c r="L5" s="2"/>
      <c r="M5" s="1"/>
      <c r="N5" s="5"/>
      <c r="O5" s="6"/>
      <c r="P5" s="7"/>
      <c r="Q5" s="2"/>
      <c r="R5" s="8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s="9" customFormat="1" ht="19.899999999999999" customHeight="1" x14ac:dyDescent="0.25">
      <c r="A6" s="11" t="s">
        <v>7</v>
      </c>
      <c r="B6" s="2"/>
      <c r="C6" s="3" t="s">
        <v>8</v>
      </c>
      <c r="D6" s="12" t="s">
        <v>9</v>
      </c>
      <c r="E6" s="12"/>
      <c r="F6" s="12"/>
      <c r="G6" s="3"/>
      <c r="H6" s="3"/>
      <c r="I6" s="4"/>
      <c r="J6" s="4"/>
      <c r="K6" s="1"/>
      <c r="L6" s="2"/>
      <c r="M6" s="1"/>
      <c r="N6" s="5"/>
      <c r="O6" s="6"/>
      <c r="P6" s="7"/>
      <c r="Q6" s="2"/>
      <c r="R6" s="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s="9" customFormat="1" ht="19.899999999999999" customHeight="1" x14ac:dyDescent="0.25">
      <c r="A7" s="11" t="s">
        <v>7</v>
      </c>
      <c r="B7" s="2"/>
      <c r="C7" s="3" t="s">
        <v>10</v>
      </c>
      <c r="D7" s="12" t="s">
        <v>11</v>
      </c>
      <c r="E7" s="12"/>
      <c r="F7" s="12"/>
      <c r="G7" s="3"/>
      <c r="H7" s="3"/>
      <c r="I7" s="4"/>
      <c r="J7" s="4"/>
      <c r="K7" s="1"/>
      <c r="L7" s="2"/>
      <c r="M7" s="1"/>
      <c r="N7" s="5"/>
      <c r="O7" s="6"/>
      <c r="P7" s="7"/>
      <c r="Q7" s="2"/>
      <c r="R7" s="8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s="9" customFormat="1" ht="19.899999999999999" customHeight="1" x14ac:dyDescent="0.25">
      <c r="A8" s="11" t="s">
        <v>7</v>
      </c>
      <c r="B8" s="2"/>
      <c r="C8" s="3" t="s">
        <v>12</v>
      </c>
      <c r="D8" s="12" t="s">
        <v>13</v>
      </c>
      <c r="E8" s="12"/>
      <c r="F8" s="12"/>
      <c r="G8" s="3"/>
      <c r="H8" s="3"/>
      <c r="I8" s="4"/>
      <c r="J8" s="4"/>
      <c r="K8" s="1"/>
      <c r="L8" s="2"/>
      <c r="M8" s="1"/>
      <c r="N8" s="5"/>
      <c r="O8" s="6"/>
      <c r="P8" s="7"/>
      <c r="Q8" s="2"/>
      <c r="R8" s="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s="9" customFormat="1" ht="19.899999999999999" customHeight="1" x14ac:dyDescent="0.25">
      <c r="A9" s="1" t="s">
        <v>14</v>
      </c>
      <c r="B9" s="2"/>
      <c r="C9" s="3"/>
      <c r="D9" s="1"/>
      <c r="E9" s="1"/>
      <c r="F9" s="1"/>
      <c r="G9" s="3"/>
      <c r="H9" s="3"/>
      <c r="I9" s="4"/>
      <c r="J9" s="4"/>
      <c r="K9" s="1"/>
      <c r="L9" s="2"/>
      <c r="M9" s="1"/>
      <c r="N9" s="5"/>
      <c r="O9" s="6"/>
      <c r="P9" s="7"/>
      <c r="Q9" s="2"/>
      <c r="R9" s="8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s="9" customFormat="1" ht="220.5" x14ac:dyDescent="0.25">
      <c r="A10" s="13" t="s">
        <v>15</v>
      </c>
      <c r="B10" s="13" t="s">
        <v>16</v>
      </c>
      <c r="C10" s="14" t="s">
        <v>17</v>
      </c>
      <c r="D10" s="14" t="s">
        <v>18</v>
      </c>
      <c r="E10" s="14" t="s">
        <v>19</v>
      </c>
      <c r="F10" s="14" t="s">
        <v>20</v>
      </c>
      <c r="G10" s="14" t="s">
        <v>21</v>
      </c>
      <c r="H10" s="14" t="s">
        <v>22</v>
      </c>
      <c r="I10" s="14" t="s">
        <v>23</v>
      </c>
      <c r="J10" s="14" t="s">
        <v>24</v>
      </c>
      <c r="K10" s="13" t="s">
        <v>25</v>
      </c>
      <c r="L10" s="13" t="s">
        <v>26</v>
      </c>
      <c r="M10" s="13" t="s">
        <v>27</v>
      </c>
      <c r="N10" s="15" t="s">
        <v>28</v>
      </c>
      <c r="O10" s="14" t="s">
        <v>29</v>
      </c>
      <c r="P10" s="16" t="s">
        <v>30</v>
      </c>
      <c r="Q10" s="14" t="s">
        <v>31</v>
      </c>
      <c r="R10" s="17" t="s">
        <v>32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s="9" customFormat="1" ht="35.25" customHeight="1" x14ac:dyDescent="0.25">
      <c r="A11" s="18">
        <v>1</v>
      </c>
      <c r="B11" s="19" t="s">
        <v>45</v>
      </c>
      <c r="C11" s="20" t="s">
        <v>33</v>
      </c>
      <c r="D11" s="21" t="s">
        <v>42</v>
      </c>
      <c r="E11" s="21" t="s">
        <v>41</v>
      </c>
      <c r="F11" s="21" t="s">
        <v>43</v>
      </c>
      <c r="G11" s="22" t="s">
        <v>33</v>
      </c>
      <c r="H11" s="23">
        <v>2001</v>
      </c>
      <c r="I11" s="24" t="s">
        <v>40</v>
      </c>
      <c r="J11" s="25">
        <v>1</v>
      </c>
      <c r="K11" s="26" t="s">
        <v>34</v>
      </c>
      <c r="L11" s="23" t="s">
        <v>35</v>
      </c>
      <c r="M11" s="26" t="str">
        <f>VLOOKUP(N11,'[1]Mã NV'!$A$3:$B$196,2,0)</f>
        <v>HR01</v>
      </c>
      <c r="N11" s="27" t="s">
        <v>36</v>
      </c>
      <c r="O11" s="28">
        <v>44197</v>
      </c>
      <c r="P11" s="29"/>
      <c r="Q11" s="30"/>
      <c r="R11" s="31" t="s">
        <v>37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s="9" customFormat="1" ht="35.25" customHeight="1" x14ac:dyDescent="0.25">
      <c r="A12" s="18">
        <f>A11+1</f>
        <v>2</v>
      </c>
      <c r="B12" s="19" t="s">
        <v>38</v>
      </c>
      <c r="C12" s="20" t="s">
        <v>39</v>
      </c>
      <c r="D12" s="21" t="s">
        <v>42</v>
      </c>
      <c r="E12" s="21" t="s">
        <v>41</v>
      </c>
      <c r="F12" s="21" t="s">
        <v>44</v>
      </c>
      <c r="G12" s="22" t="s">
        <v>33</v>
      </c>
      <c r="H12" s="23">
        <v>1002</v>
      </c>
      <c r="I12" s="24" t="s">
        <v>40</v>
      </c>
      <c r="J12" s="25">
        <v>1</v>
      </c>
      <c r="K12" s="26" t="s">
        <v>34</v>
      </c>
      <c r="L12" s="23" t="s">
        <v>35</v>
      </c>
      <c r="M12" s="26" t="str">
        <f>VLOOKUP(N12,'[1]Mã NV'!$A$3:$B$196,2,0)</f>
        <v>HR01</v>
      </c>
      <c r="N12" s="27" t="s">
        <v>36</v>
      </c>
      <c r="O12" s="28">
        <v>44197</v>
      </c>
      <c r="P12" s="29"/>
      <c r="Q12" s="30"/>
      <c r="R12" s="31" t="s">
        <v>37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</sheetData>
  <mergeCells count="4">
    <mergeCell ref="A2:R2"/>
    <mergeCell ref="D6:F6"/>
    <mergeCell ref="D7:F7"/>
    <mergeCell ref="D8:F8"/>
  </mergeCells>
  <conditionalFormatting sqref="B1:B12">
    <cfRule type="duplicateValues" dxfId="5" priority="1"/>
  </conditionalFormatting>
  <conditionalFormatting sqref="B1:B12">
    <cfRule type="duplicateValues" dxfId="4" priority="4"/>
  </conditionalFormatting>
  <conditionalFormatting sqref="B1:B12">
    <cfRule type="duplicateValues" dxfId="3" priority="2"/>
  </conditionalFormatting>
  <conditionalFormatting sqref="B1:B12">
    <cfRule type="duplicateValues" dxfId="2" priority="3"/>
  </conditionalFormatting>
  <conditionalFormatting sqref="B1:B12">
    <cfRule type="duplicateValues" dxfId="1" priority="5"/>
  </conditionalFormatting>
  <conditionalFormatting sqref="B11:B12">
    <cfRule type="duplicateValues" dxfId="0" priority="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Lương</dc:creator>
  <cp:lastModifiedBy>Nguyễn Xuân Lương</cp:lastModifiedBy>
  <dcterms:created xsi:type="dcterms:W3CDTF">2025-11-07T01:11:58Z</dcterms:created>
  <dcterms:modified xsi:type="dcterms:W3CDTF">2025-11-07T02:34:22Z</dcterms:modified>
</cp:coreProperties>
</file>