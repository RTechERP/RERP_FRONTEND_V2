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ng Dep Trai\Downloads\"/>
    </mc:Choice>
  </mc:AlternateContent>
  <xr:revisionPtr revIDLastSave="0" documentId="8_{151E6ECB-5B7A-4EA1-9BC2-DD7CE39F3DCA}" xr6:coauthVersionLast="47" xr6:coauthVersionMax="47" xr10:uidLastSave="{00000000-0000-0000-0000-000000000000}"/>
  <bookViews>
    <workbookView xWindow="-28920" yWindow="630" windowWidth="29040" windowHeight="15720" firstSheet="1" activeTab="2" xr2:uid="{00000000-000D-0000-FFFF-FFFF00000000}"/>
  </bookViews>
  <sheets>
    <sheet name="TỔNG HỢP " sheetId="14" state="hidden" r:id="rId1"/>
    <sheet name="TỔNG HỢP FINAL" sheetId="16" r:id="rId2"/>
    <sheet name="Sheet1" sheetId="20" r:id="rId3"/>
    <sheet name="Tổng hợp (3)" sheetId="19" state="hidden" r:id="rId4"/>
    <sheet name="Mã NV" sheetId="18" state="hidden" r:id="rId5"/>
    <sheet name="TỔNG HỢP cũ" sheetId="15" state="hidden" r:id="rId6"/>
  </sheets>
  <definedNames>
    <definedName name="_xlnm._FilterDatabase" localSheetId="4" hidden="1">'Mã NV'!$A$1:$K$176</definedName>
    <definedName name="_xlnm._FilterDatabase" localSheetId="0" hidden="1">'TỔNG HỢP '!$A$10:$R$2069</definedName>
    <definedName name="_xlnm._FilterDatabase" localSheetId="3" hidden="1">'Tổng hợp (3)'!$A$3:$WVP$983</definedName>
    <definedName name="_xlnm._FilterDatabase" localSheetId="5" hidden="1">'TỔNG HỢP cũ'!$A$9:$J$372</definedName>
    <definedName name="_xlnm._FilterDatabase" localSheetId="1" hidden="1">'TỔNG HỢP FINAL'!$A$10:$R$2075</definedName>
    <definedName name="_xlnm.Print_Area" localSheetId="0">'TỔNG HỢP '!$A$1:$R$85</definedName>
    <definedName name="_xlnm.Print_Area" localSheetId="3">'Tổng hợp (3)'!$A$1:$E$190</definedName>
    <definedName name="_xlnm.Print_Area" localSheetId="5">'TỔNG HỢP cũ'!$A$1:$J$95</definedName>
    <definedName name="_xlnm.Print_Area" localSheetId="1">'TỔNG HỢP FINAL'!$A$1:$R$85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9" i="16" l="1"/>
  <c r="M348" i="16"/>
  <c r="M347" i="16"/>
  <c r="M343" i="16"/>
  <c r="M341" i="16"/>
  <c r="O80" i="16"/>
  <c r="O82" i="16"/>
  <c r="O83" i="16"/>
  <c r="O84" i="16"/>
  <c r="O85" i="16"/>
  <c r="O86" i="16"/>
  <c r="O87" i="16"/>
  <c r="O88" i="16"/>
  <c r="O89" i="16"/>
  <c r="O91" i="16"/>
  <c r="O92" i="16"/>
  <c r="O93" i="16"/>
  <c r="O94" i="16"/>
  <c r="O95" i="16"/>
  <c r="O111" i="16"/>
  <c r="O112" i="16"/>
  <c r="O113" i="16"/>
  <c r="O115" i="16"/>
  <c r="O116" i="16"/>
  <c r="O118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85" i="16"/>
  <c r="O255" i="16"/>
  <c r="O277" i="16"/>
  <c r="O278" i="16"/>
  <c r="O279" i="16"/>
  <c r="O280" i="16"/>
  <c r="O281" i="16"/>
  <c r="O282" i="16"/>
  <c r="O296" i="16"/>
  <c r="O297" i="16"/>
  <c r="O298" i="16"/>
  <c r="O299" i="16"/>
  <c r="O300" i="16"/>
  <c r="O313" i="16"/>
  <c r="O321" i="16"/>
  <c r="O322" i="16"/>
  <c r="O323" i="16"/>
  <c r="O339" i="16"/>
  <c r="O364" i="16"/>
  <c r="O365" i="16"/>
  <c r="O366" i="16"/>
  <c r="O367" i="16"/>
  <c r="O373" i="16"/>
  <c r="O374" i="16"/>
  <c r="O382" i="16"/>
  <c r="O385" i="16"/>
  <c r="O392" i="16"/>
  <c r="O393" i="16"/>
  <c r="O403" i="16"/>
  <c r="O404" i="16"/>
  <c r="O412" i="16"/>
  <c r="O420" i="16"/>
  <c r="O421" i="16"/>
  <c r="O422" i="16"/>
  <c r="O423" i="16"/>
  <c r="O424" i="16"/>
  <c r="O425" i="16"/>
  <c r="O429" i="16"/>
  <c r="O430" i="16"/>
  <c r="O431" i="16"/>
  <c r="O437" i="16"/>
  <c r="O438" i="16"/>
  <c r="O439" i="16"/>
  <c r="O440" i="16"/>
  <c r="O447" i="16"/>
  <c r="O450" i="16"/>
  <c r="O470" i="16"/>
  <c r="O477" i="16"/>
  <c r="O480" i="16"/>
  <c r="O483" i="16"/>
  <c r="O487" i="16"/>
  <c r="O493" i="16"/>
  <c r="O498" i="16"/>
  <c r="O499" i="16"/>
  <c r="O510" i="16"/>
  <c r="O513" i="16"/>
  <c r="O524" i="16"/>
  <c r="O525" i="16"/>
  <c r="O526" i="16"/>
  <c r="O527" i="16"/>
  <c r="O528" i="16"/>
  <c r="O529" i="16"/>
  <c r="O530" i="16"/>
  <c r="O531" i="16"/>
  <c r="O532" i="16"/>
  <c r="O533" i="16"/>
  <c r="O534" i="16"/>
  <c r="O535" i="16"/>
  <c r="O536" i="16"/>
  <c r="O537" i="16"/>
  <c r="O538" i="16"/>
  <c r="O539" i="16"/>
  <c r="O540" i="16"/>
  <c r="O541" i="16"/>
  <c r="O542" i="16"/>
  <c r="O543" i="16"/>
  <c r="O544" i="16"/>
  <c r="O545" i="16"/>
  <c r="O546" i="16"/>
  <c r="O547" i="16"/>
  <c r="O548" i="16"/>
  <c r="O549" i="16"/>
  <c r="O550" i="16"/>
  <c r="O551" i="16"/>
  <c r="O552" i="16"/>
  <c r="O553" i="16"/>
  <c r="O554" i="16"/>
  <c r="O555" i="16"/>
  <c r="O556" i="16"/>
  <c r="O557" i="16"/>
  <c r="O558" i="16"/>
  <c r="O559" i="16"/>
  <c r="O560" i="16"/>
  <c r="O561" i="16"/>
  <c r="O562" i="16"/>
  <c r="O563" i="16"/>
  <c r="O564" i="16"/>
  <c r="O565" i="16"/>
  <c r="O566" i="16"/>
  <c r="O567" i="16"/>
  <c r="O568" i="16"/>
  <c r="O569" i="16"/>
  <c r="O570" i="16"/>
  <c r="O571" i="16"/>
  <c r="O591" i="16"/>
  <c r="O592" i="16"/>
  <c r="O593" i="16"/>
  <c r="O594" i="16"/>
  <c r="O595" i="16"/>
  <c r="O600" i="16"/>
  <c r="O601" i="16"/>
  <c r="O649" i="16"/>
  <c r="O650" i="16"/>
  <c r="O658" i="16"/>
  <c r="O659" i="16"/>
  <c r="O677" i="16"/>
  <c r="O678" i="16"/>
  <c r="O681" i="16"/>
  <c r="O690" i="16"/>
  <c r="O691" i="16"/>
  <c r="O692" i="16"/>
  <c r="O699" i="16"/>
  <c r="O711" i="16"/>
  <c r="O723" i="16"/>
  <c r="O731" i="16"/>
  <c r="O734" i="16"/>
  <c r="O745" i="16"/>
  <c r="O746" i="16"/>
  <c r="O766" i="16"/>
  <c r="O770" i="16"/>
  <c r="O777" i="16"/>
  <c r="O782" i="16"/>
  <c r="O799" i="16"/>
  <c r="O800" i="16"/>
  <c r="O811" i="16"/>
  <c r="O819" i="16"/>
  <c r="O827" i="16"/>
  <c r="O832" i="16"/>
  <c r="O833" i="16"/>
  <c r="O834" i="16"/>
  <c r="O972" i="16"/>
  <c r="O973" i="16"/>
  <c r="O974" i="16"/>
  <c r="O977" i="16"/>
  <c r="O990" i="16"/>
  <c r="O992" i="16"/>
  <c r="O994" i="16"/>
  <c r="O995" i="16"/>
  <c r="O996" i="16"/>
  <c r="O997" i="16"/>
  <c r="O998" i="16"/>
  <c r="O999" i="16"/>
  <c r="O1000" i="16"/>
  <c r="O1005" i="16"/>
  <c r="O1011" i="16"/>
  <c r="O1015" i="16"/>
  <c r="O1023" i="16"/>
  <c r="O1026" i="16"/>
  <c r="O1027" i="16"/>
  <c r="O1031" i="16"/>
  <c r="O1032" i="16"/>
  <c r="O1033" i="16"/>
  <c r="O1034" i="16"/>
  <c r="O1038" i="16"/>
  <c r="O1043" i="16"/>
  <c r="O1046" i="16"/>
  <c r="O1048" i="16"/>
  <c r="O1057" i="16"/>
  <c r="O1061" i="16"/>
  <c r="O1062" i="16"/>
  <c r="O1063" i="16"/>
  <c r="O1064" i="16"/>
  <c r="O1065" i="16"/>
  <c r="O1066" i="16"/>
  <c r="O1069" i="16"/>
  <c r="O1090" i="16"/>
  <c r="O1091" i="16"/>
  <c r="O1092" i="16"/>
  <c r="O1095" i="16"/>
  <c r="O1098" i="16"/>
  <c r="O1099" i="16"/>
  <c r="O1102" i="16"/>
  <c r="O1111" i="16"/>
  <c r="O1112" i="16"/>
  <c r="O1114" i="16"/>
  <c r="O1120" i="16"/>
  <c r="O1121" i="16"/>
  <c r="O1124" i="16"/>
  <c r="O1132" i="16"/>
  <c r="O1139" i="16"/>
  <c r="O1143" i="16"/>
  <c r="O1145" i="16"/>
  <c r="O1151" i="16"/>
  <c r="O1152" i="16"/>
  <c r="O1153" i="16"/>
  <c r="O1154" i="16"/>
  <c r="O1161" i="16"/>
  <c r="O1162" i="16"/>
  <c r="O1165" i="16"/>
  <c r="O1167" i="16"/>
  <c r="O1172" i="16"/>
  <c r="O1175" i="16"/>
  <c r="O1179" i="16"/>
  <c r="O1187" i="16"/>
  <c r="O1188" i="16"/>
  <c r="O1198" i="16"/>
  <c r="O1199" i="16"/>
  <c r="O1248" i="16"/>
  <c r="O1249" i="16"/>
  <c r="O1250" i="16"/>
  <c r="O1251" i="16"/>
  <c r="O1252" i="16"/>
  <c r="O1253" i="16"/>
  <c r="O1254" i="16"/>
  <c r="O1255" i="16"/>
  <c r="O1256" i="16"/>
  <c r="O1257" i="16"/>
  <c r="O1258" i="16"/>
  <c r="O1259" i="16"/>
  <c r="O1260" i="16"/>
  <c r="O1261" i="16"/>
  <c r="O1391" i="16"/>
  <c r="O1393" i="16"/>
  <c r="O1397" i="16"/>
  <c r="O1399" i="16"/>
  <c r="O1401" i="16"/>
  <c r="O1402" i="16"/>
  <c r="O1404" i="16"/>
  <c r="O1407" i="16"/>
  <c r="O1408" i="16"/>
  <c r="O1414" i="16"/>
  <c r="O1419" i="16"/>
  <c r="O1421" i="16"/>
  <c r="O1422" i="16"/>
  <c r="O1423" i="16"/>
  <c r="O1424" i="16"/>
  <c r="O1425" i="16"/>
  <c r="O1427" i="16"/>
  <c r="O1429" i="16"/>
  <c r="O1430" i="16"/>
  <c r="O1435" i="16"/>
  <c r="O1436" i="16"/>
  <c r="O1437" i="16"/>
  <c r="O1438" i="16"/>
  <c r="O1439" i="16"/>
  <c r="O1443" i="16"/>
  <c r="O1449" i="16"/>
  <c r="O1455" i="16"/>
  <c r="O1469" i="16"/>
  <c r="O1471" i="16"/>
  <c r="O1472" i="16"/>
  <c r="O1475" i="16"/>
  <c r="O1476" i="16"/>
  <c r="O1484" i="16"/>
  <c r="O1487" i="16"/>
  <c r="O1500" i="16"/>
  <c r="O1505" i="16"/>
  <c r="O1508" i="16"/>
  <c r="O1521" i="16"/>
  <c r="O1544" i="16"/>
  <c r="O1550" i="16"/>
  <c r="O1551" i="16"/>
  <c r="O1571" i="16"/>
  <c r="O1572" i="16"/>
  <c r="O1573" i="16"/>
  <c r="O1625" i="16"/>
  <c r="O1626" i="16"/>
  <c r="O1627" i="16"/>
  <c r="O1628" i="16"/>
  <c r="O1629" i="16"/>
  <c r="O1630" i="16"/>
  <c r="O1631" i="16"/>
  <c r="O1677" i="16"/>
  <c r="O1834" i="16"/>
  <c r="O1835" i="16"/>
  <c r="O1836" i="16"/>
  <c r="O1841" i="16"/>
  <c r="O1842" i="16"/>
  <c r="O1843" i="16"/>
  <c r="O1844" i="16"/>
  <c r="O1845" i="16"/>
  <c r="O1846" i="16"/>
  <c r="O1847" i="16"/>
  <c r="O1853" i="16"/>
  <c r="O1854" i="16"/>
  <c r="O1855" i="16"/>
  <c r="O1856" i="16"/>
  <c r="O1857" i="16"/>
  <c r="O1858" i="16"/>
  <c r="O1859" i="16"/>
  <c r="O1860" i="16"/>
  <c r="O1861" i="16"/>
  <c r="O1862" i="16"/>
  <c r="O1863" i="16"/>
  <c r="O1864" i="16"/>
  <c r="O1865" i="16"/>
  <c r="O1866" i="16"/>
  <c r="O1867" i="16"/>
  <c r="O1868" i="16"/>
  <c r="O1869" i="16"/>
  <c r="O1877" i="16"/>
  <c r="O1878" i="16"/>
  <c r="O1879" i="16"/>
  <c r="O1880" i="16"/>
  <c r="O1881" i="16"/>
  <c r="O1882" i="16"/>
  <c r="O1883" i="16"/>
  <c r="O1926" i="16"/>
  <c r="O1927" i="16"/>
  <c r="O1928" i="16"/>
  <c r="O1929" i="16"/>
  <c r="O1943" i="16"/>
  <c r="O1944" i="16"/>
  <c r="O1945" i="16"/>
  <c r="O1946" i="16"/>
  <c r="O1947" i="16"/>
  <c r="O1948" i="16"/>
  <c r="O1949" i="16"/>
  <c r="O1964" i="16"/>
  <c r="O1990" i="16"/>
  <c r="O1991" i="16"/>
  <c r="O1992" i="16"/>
  <c r="O1993" i="16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9" i="16"/>
  <c r="O2020" i="16"/>
  <c r="O2021" i="16"/>
  <c r="O2022" i="16"/>
  <c r="O2023" i="16"/>
  <c r="O2024" i="16"/>
  <c r="O2025" i="16"/>
  <c r="O2026" i="16"/>
  <c r="O2027" i="16"/>
  <c r="O2029" i="16"/>
  <c r="O2030" i="16"/>
  <c r="O2031" i="16"/>
  <c r="O2032" i="16"/>
  <c r="O2033" i="16"/>
  <c r="O2034" i="16"/>
  <c r="O2035" i="16"/>
  <c r="O2036" i="16"/>
  <c r="O2037" i="16"/>
  <c r="O2038" i="16"/>
  <c r="O2039" i="16"/>
  <c r="O2040" i="16"/>
  <c r="O2041" i="16"/>
  <c r="O1788" i="16"/>
  <c r="O1789" i="16"/>
  <c r="O1724" i="16"/>
  <c r="O1725" i="16"/>
  <c r="O1730" i="16"/>
  <c r="O1731" i="16"/>
  <c r="O1732" i="16"/>
  <c r="O1689" i="16"/>
  <c r="O1681" i="16"/>
  <c r="O1683" i="16"/>
  <c r="O1684" i="16"/>
  <c r="O1680" i="16"/>
  <c r="M1679" i="16"/>
  <c r="M17" i="16" l="1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M67" i="16"/>
  <c r="M68" i="16"/>
  <c r="M69" i="16"/>
  <c r="M70" i="16"/>
  <c r="M71" i="16"/>
  <c r="M72" i="16"/>
  <c r="M73" i="16"/>
  <c r="M74" i="16"/>
  <c r="M75" i="16"/>
  <c r="M76" i="16"/>
  <c r="M77" i="16"/>
  <c r="M78" i="16"/>
  <c r="M79" i="16"/>
  <c r="M80" i="16"/>
  <c r="M81" i="16"/>
  <c r="M82" i="16"/>
  <c r="M83" i="16"/>
  <c r="M84" i="16"/>
  <c r="M85" i="16"/>
  <c r="M86" i="16"/>
  <c r="M87" i="16"/>
  <c r="M88" i="16"/>
  <c r="M89" i="16"/>
  <c r="M90" i="16"/>
  <c r="M91" i="16"/>
  <c r="M92" i="16"/>
  <c r="M93" i="16"/>
  <c r="M94" i="16"/>
  <c r="M95" i="16"/>
  <c r="M96" i="16"/>
  <c r="M97" i="16"/>
  <c r="M98" i="16"/>
  <c r="M99" i="16"/>
  <c r="M100" i="16"/>
  <c r="M101" i="16"/>
  <c r="M102" i="16"/>
  <c r="M103" i="16"/>
  <c r="M104" i="16"/>
  <c r="M105" i="16"/>
  <c r="M106" i="16"/>
  <c r="M107" i="16"/>
  <c r="M108" i="16"/>
  <c r="M109" i="16"/>
  <c r="M110" i="16"/>
  <c r="M111" i="16"/>
  <c r="M112" i="16"/>
  <c r="M113" i="16"/>
  <c r="M114" i="16"/>
  <c r="M115" i="16"/>
  <c r="M116" i="16"/>
  <c r="M117" i="16"/>
  <c r="M118" i="16"/>
  <c r="M119" i="16"/>
  <c r="M120" i="16"/>
  <c r="M121" i="16"/>
  <c r="M122" i="16"/>
  <c r="M123" i="16"/>
  <c r="M124" i="16"/>
  <c r="M125" i="16"/>
  <c r="M126" i="16"/>
  <c r="M127" i="16"/>
  <c r="M128" i="16"/>
  <c r="M129" i="16"/>
  <c r="M130" i="16"/>
  <c r="M131" i="16"/>
  <c r="M132" i="16"/>
  <c r="M133" i="16"/>
  <c r="M134" i="16"/>
  <c r="M135" i="16"/>
  <c r="M136" i="16"/>
  <c r="M137" i="16"/>
  <c r="M138" i="16"/>
  <c r="M139" i="16"/>
  <c r="M140" i="16"/>
  <c r="M141" i="16"/>
  <c r="M142" i="16"/>
  <c r="M143" i="16"/>
  <c r="M144" i="16"/>
  <c r="M145" i="16"/>
  <c r="M146" i="16"/>
  <c r="M147" i="16"/>
  <c r="M148" i="16"/>
  <c r="M149" i="16"/>
  <c r="M150" i="16"/>
  <c r="M151" i="16"/>
  <c r="M152" i="16"/>
  <c r="M153" i="16"/>
  <c r="M154" i="16"/>
  <c r="M155" i="16"/>
  <c r="M156" i="16"/>
  <c r="M157" i="16"/>
  <c r="M158" i="16"/>
  <c r="M159" i="16"/>
  <c r="M160" i="16"/>
  <c r="M161" i="16"/>
  <c r="M162" i="16"/>
  <c r="M163" i="16"/>
  <c r="M164" i="16"/>
  <c r="M165" i="16"/>
  <c r="M166" i="16"/>
  <c r="M167" i="16"/>
  <c r="M168" i="16"/>
  <c r="M169" i="16"/>
  <c r="M170" i="16"/>
  <c r="M171" i="16"/>
  <c r="M172" i="16"/>
  <c r="M173" i="16"/>
  <c r="M174" i="16"/>
  <c r="M175" i="16"/>
  <c r="M176" i="16"/>
  <c r="M177" i="16"/>
  <c r="M178" i="16"/>
  <c r="M179" i="16"/>
  <c r="M180" i="16"/>
  <c r="M181" i="16"/>
  <c r="M182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M196" i="16"/>
  <c r="M197" i="16"/>
  <c r="M198" i="16"/>
  <c r="M199" i="16"/>
  <c r="M200" i="16"/>
  <c r="M201" i="16"/>
  <c r="M202" i="16"/>
  <c r="M203" i="16"/>
  <c r="M204" i="16"/>
  <c r="M205" i="16"/>
  <c r="M206" i="16"/>
  <c r="M207" i="16"/>
  <c r="M208" i="16"/>
  <c r="M209" i="16"/>
  <c r="M210" i="16"/>
  <c r="M211" i="16"/>
  <c r="M212" i="16"/>
  <c r="M213" i="16"/>
  <c r="M214" i="16"/>
  <c r="M215" i="16"/>
  <c r="M216" i="16"/>
  <c r="M217" i="16"/>
  <c r="M218" i="16"/>
  <c r="M219" i="16"/>
  <c r="M220" i="16"/>
  <c r="M221" i="16"/>
  <c r="M222" i="16"/>
  <c r="M223" i="16"/>
  <c r="M224" i="16"/>
  <c r="M225" i="16"/>
  <c r="M226" i="16"/>
  <c r="M227" i="16"/>
  <c r="M228" i="16"/>
  <c r="M229" i="16"/>
  <c r="M230" i="16"/>
  <c r="M231" i="16"/>
  <c r="M232" i="16"/>
  <c r="M233" i="16"/>
  <c r="M234" i="16"/>
  <c r="M235" i="16"/>
  <c r="M236" i="16"/>
  <c r="M237" i="16"/>
  <c r="M238" i="16"/>
  <c r="M239" i="16"/>
  <c r="M240" i="16"/>
  <c r="M241" i="16"/>
  <c r="M242" i="16"/>
  <c r="M243" i="16"/>
  <c r="M244" i="16"/>
  <c r="M245" i="16"/>
  <c r="M246" i="16"/>
  <c r="M247" i="16"/>
  <c r="M248" i="16"/>
  <c r="M249" i="16"/>
  <c r="M250" i="16"/>
  <c r="M251" i="16"/>
  <c r="M252" i="16"/>
  <c r="M253" i="16"/>
  <c r="M254" i="16"/>
  <c r="M255" i="16"/>
  <c r="M256" i="16"/>
  <c r="M257" i="16"/>
  <c r="M258" i="16"/>
  <c r="M259" i="16"/>
  <c r="M260" i="16"/>
  <c r="M261" i="16"/>
  <c r="M262" i="16"/>
  <c r="M263" i="16"/>
  <c r="M264" i="16"/>
  <c r="M265" i="16"/>
  <c r="M266" i="16"/>
  <c r="M267" i="16"/>
  <c r="M268" i="16"/>
  <c r="M269" i="16"/>
  <c r="M270" i="16"/>
  <c r="M271" i="16"/>
  <c r="M272" i="16"/>
  <c r="M273" i="16"/>
  <c r="M274" i="16"/>
  <c r="M275" i="16"/>
  <c r="M276" i="16"/>
  <c r="M277" i="16"/>
  <c r="M278" i="16"/>
  <c r="M279" i="16"/>
  <c r="M280" i="16"/>
  <c r="M281" i="16"/>
  <c r="M282" i="16"/>
  <c r="M283" i="16"/>
  <c r="M284" i="16"/>
  <c r="M285" i="16"/>
  <c r="M286" i="16"/>
  <c r="M287" i="16"/>
  <c r="M288" i="16"/>
  <c r="M289" i="16"/>
  <c r="M290" i="16"/>
  <c r="M291" i="16"/>
  <c r="M292" i="16"/>
  <c r="M293" i="16"/>
  <c r="M294" i="16"/>
  <c r="M295" i="16"/>
  <c r="M296" i="16"/>
  <c r="M297" i="16"/>
  <c r="M298" i="16"/>
  <c r="M299" i="16"/>
  <c r="M300" i="16"/>
  <c r="M301" i="16"/>
  <c r="M302" i="16"/>
  <c r="M303" i="16"/>
  <c r="M304" i="16"/>
  <c r="M305" i="16"/>
  <c r="M306" i="16"/>
  <c r="M307" i="16"/>
  <c r="M308" i="16"/>
  <c r="M309" i="16"/>
  <c r="M310" i="16"/>
  <c r="M311" i="16"/>
  <c r="M312" i="16"/>
  <c r="M313" i="16"/>
  <c r="M314" i="16"/>
  <c r="M315" i="16"/>
  <c r="M316" i="16"/>
  <c r="M317" i="16"/>
  <c r="M318" i="16"/>
  <c r="M319" i="16"/>
  <c r="M320" i="16"/>
  <c r="M321" i="16"/>
  <c r="M322" i="16"/>
  <c r="M323" i="16"/>
  <c r="M324" i="16"/>
  <c r="M325" i="16"/>
  <c r="M326" i="16"/>
  <c r="M327" i="16"/>
  <c r="M328" i="16"/>
  <c r="M329" i="16"/>
  <c r="M330" i="16"/>
  <c r="M331" i="16"/>
  <c r="M332" i="16"/>
  <c r="M333" i="16"/>
  <c r="M334" i="16"/>
  <c r="M335" i="16"/>
  <c r="M336" i="16"/>
  <c r="M337" i="16"/>
  <c r="M338" i="16"/>
  <c r="M339" i="16"/>
  <c r="M340" i="16"/>
  <c r="M342" i="16"/>
  <c r="M344" i="16"/>
  <c r="M345" i="16"/>
  <c r="M346" i="16"/>
  <c r="M350" i="16"/>
  <c r="M351" i="16"/>
  <c r="M352" i="16"/>
  <c r="M353" i="16"/>
  <c r="M354" i="16"/>
  <c r="M355" i="16"/>
  <c r="M356" i="16"/>
  <c r="M357" i="16"/>
  <c r="M358" i="16"/>
  <c r="M359" i="16"/>
  <c r="M360" i="16"/>
  <c r="M361" i="16"/>
  <c r="M362" i="16"/>
  <c r="M363" i="16"/>
  <c r="M364" i="16"/>
  <c r="M365" i="16"/>
  <c r="M366" i="16"/>
  <c r="M367" i="16"/>
  <c r="M368" i="16"/>
  <c r="M369" i="16"/>
  <c r="M370" i="16"/>
  <c r="M371" i="16"/>
  <c r="M372" i="16"/>
  <c r="M373" i="16"/>
  <c r="M374" i="16"/>
  <c r="M375" i="16"/>
  <c r="M376" i="16"/>
  <c r="M377" i="16"/>
  <c r="M378" i="16"/>
  <c r="M379" i="16"/>
  <c r="M380" i="16"/>
  <c r="M381" i="16"/>
  <c r="M382" i="16"/>
  <c r="M383" i="16"/>
  <c r="M384" i="16"/>
  <c r="M385" i="16"/>
  <c r="M386" i="16"/>
  <c r="M387" i="16"/>
  <c r="M388" i="16"/>
  <c r="M389" i="16"/>
  <c r="M390" i="16"/>
  <c r="M391" i="16"/>
  <c r="M392" i="16"/>
  <c r="M393" i="16"/>
  <c r="M394" i="16"/>
  <c r="M395" i="16"/>
  <c r="M396" i="16"/>
  <c r="M397" i="16"/>
  <c r="M398" i="16"/>
  <c r="M399" i="16"/>
  <c r="M400" i="16"/>
  <c r="M401" i="16"/>
  <c r="M402" i="16"/>
  <c r="M403" i="16"/>
  <c r="M404" i="16"/>
  <c r="M405" i="16"/>
  <c r="M406" i="16"/>
  <c r="M407" i="16"/>
  <c r="M408" i="16"/>
  <c r="M409" i="16"/>
  <c r="M410" i="16"/>
  <c r="M411" i="16"/>
  <c r="M412" i="16"/>
  <c r="M413" i="16"/>
  <c r="M414" i="16"/>
  <c r="M415" i="16"/>
  <c r="M416" i="16"/>
  <c r="M417" i="16"/>
  <c r="M418" i="16"/>
  <c r="M419" i="16"/>
  <c r="M420" i="16"/>
  <c r="M421" i="16"/>
  <c r="M422" i="16"/>
  <c r="M423" i="16"/>
  <c r="M424" i="16"/>
  <c r="M425" i="16"/>
  <c r="M426" i="16"/>
  <c r="M427" i="16"/>
  <c r="M428" i="16"/>
  <c r="M429" i="16"/>
  <c r="M430" i="16"/>
  <c r="M431" i="16"/>
  <c r="M432" i="16"/>
  <c r="M433" i="16"/>
  <c r="M434" i="16"/>
  <c r="M435" i="16"/>
  <c r="M436" i="16"/>
  <c r="M437" i="16"/>
  <c r="M438" i="16"/>
  <c r="M439" i="16"/>
  <c r="M440" i="16"/>
  <c r="M441" i="16"/>
  <c r="M442" i="16"/>
  <c r="M443" i="16"/>
  <c r="M444" i="16"/>
  <c r="M445" i="16"/>
  <c r="M446" i="16"/>
  <c r="M447" i="16"/>
  <c r="M448" i="16"/>
  <c r="M449" i="16"/>
  <c r="M450" i="16"/>
  <c r="M451" i="16"/>
  <c r="M452" i="16"/>
  <c r="M453" i="16"/>
  <c r="M454" i="16"/>
  <c r="M455" i="16"/>
  <c r="M456" i="16"/>
  <c r="M457" i="16"/>
  <c r="M458" i="16"/>
  <c r="M459" i="16"/>
  <c r="M460" i="16"/>
  <c r="M461" i="16"/>
  <c r="M462" i="16"/>
  <c r="M463" i="16"/>
  <c r="M464" i="16"/>
  <c r="M465" i="16"/>
  <c r="M466" i="16"/>
  <c r="M467" i="16"/>
  <c r="M468" i="16"/>
  <c r="M469" i="16"/>
  <c r="M470" i="16"/>
  <c r="M471" i="16"/>
  <c r="M472" i="16"/>
  <c r="M473" i="16"/>
  <c r="M474" i="16"/>
  <c r="M475" i="16"/>
  <c r="M476" i="16"/>
  <c r="M477" i="16"/>
  <c r="M478" i="16"/>
  <c r="M479" i="16"/>
  <c r="M480" i="16"/>
  <c r="M481" i="16"/>
  <c r="M482" i="16"/>
  <c r="M483" i="16"/>
  <c r="M484" i="16"/>
  <c r="M485" i="16"/>
  <c r="M486" i="16"/>
  <c r="M487" i="16"/>
  <c r="M488" i="16"/>
  <c r="M489" i="16"/>
  <c r="M490" i="16"/>
  <c r="M491" i="16"/>
  <c r="M492" i="16"/>
  <c r="M493" i="16"/>
  <c r="M494" i="16"/>
  <c r="M495" i="16"/>
  <c r="M496" i="16"/>
  <c r="M497" i="16"/>
  <c r="M498" i="16"/>
  <c r="M499" i="16"/>
  <c r="M500" i="16"/>
  <c r="M501" i="16"/>
  <c r="M502" i="16"/>
  <c r="M503" i="16"/>
  <c r="M504" i="16"/>
  <c r="M505" i="16"/>
  <c r="M506" i="16"/>
  <c r="M507" i="16"/>
  <c r="M508" i="16"/>
  <c r="M509" i="16"/>
  <c r="M510" i="16"/>
  <c r="M511" i="16"/>
  <c r="M512" i="16"/>
  <c r="M513" i="16"/>
  <c r="M514" i="16"/>
  <c r="M515" i="16"/>
  <c r="M516" i="16"/>
  <c r="M517" i="16"/>
  <c r="M518" i="16"/>
  <c r="M519" i="16"/>
  <c r="M520" i="16"/>
  <c r="M521" i="16"/>
  <c r="M522" i="16"/>
  <c r="M523" i="16"/>
  <c r="M524" i="16"/>
  <c r="M525" i="16"/>
  <c r="M526" i="16"/>
  <c r="M527" i="16"/>
  <c r="M528" i="16"/>
  <c r="M529" i="16"/>
  <c r="M530" i="16"/>
  <c r="M531" i="16"/>
  <c r="M532" i="16"/>
  <c r="M533" i="16"/>
  <c r="M534" i="16"/>
  <c r="M535" i="16"/>
  <c r="M536" i="16"/>
  <c r="M537" i="16"/>
  <c r="M538" i="16"/>
  <c r="M539" i="16"/>
  <c r="M540" i="16"/>
  <c r="M541" i="16"/>
  <c r="M542" i="16"/>
  <c r="M543" i="16"/>
  <c r="M544" i="16"/>
  <c r="M545" i="16"/>
  <c r="M546" i="16"/>
  <c r="M547" i="16"/>
  <c r="M548" i="16"/>
  <c r="M549" i="16"/>
  <c r="M550" i="16"/>
  <c r="M551" i="16"/>
  <c r="M552" i="16"/>
  <c r="M553" i="16"/>
  <c r="M554" i="16"/>
  <c r="M555" i="16"/>
  <c r="M556" i="16"/>
  <c r="M557" i="16"/>
  <c r="M558" i="16"/>
  <c r="M559" i="16"/>
  <c r="M560" i="16"/>
  <c r="M561" i="16"/>
  <c r="M562" i="16"/>
  <c r="M563" i="16"/>
  <c r="M564" i="16"/>
  <c r="M565" i="16"/>
  <c r="M566" i="16"/>
  <c r="M567" i="16"/>
  <c r="M568" i="16"/>
  <c r="M569" i="16"/>
  <c r="M570" i="16"/>
  <c r="M571" i="16"/>
  <c r="M572" i="16"/>
  <c r="M573" i="16"/>
  <c r="M574" i="16"/>
  <c r="M575" i="16"/>
  <c r="M576" i="16"/>
  <c r="M577" i="16"/>
  <c r="M578" i="16"/>
  <c r="M579" i="16"/>
  <c r="M580" i="16"/>
  <c r="M581" i="16"/>
  <c r="M582" i="16"/>
  <c r="M583" i="16"/>
  <c r="M584" i="16"/>
  <c r="M585" i="16"/>
  <c r="M586" i="16"/>
  <c r="M587" i="16"/>
  <c r="M588" i="16"/>
  <c r="M589" i="16"/>
  <c r="M590" i="16"/>
  <c r="M591" i="16"/>
  <c r="M592" i="16"/>
  <c r="M593" i="16"/>
  <c r="M594" i="16"/>
  <c r="M595" i="16"/>
  <c r="M596" i="16"/>
  <c r="M597" i="16"/>
  <c r="M598" i="16"/>
  <c r="M599" i="16"/>
  <c r="M600" i="16"/>
  <c r="M601" i="16"/>
  <c r="M602" i="16"/>
  <c r="M603" i="16"/>
  <c r="M604" i="16"/>
  <c r="M605" i="16"/>
  <c r="M606" i="16"/>
  <c r="M607" i="16"/>
  <c r="M608" i="16"/>
  <c r="M609" i="16"/>
  <c r="M610" i="16"/>
  <c r="M611" i="16"/>
  <c r="M612" i="16"/>
  <c r="M613" i="16"/>
  <c r="M614" i="16"/>
  <c r="M615" i="16"/>
  <c r="M616" i="16"/>
  <c r="M617" i="16"/>
  <c r="M618" i="16"/>
  <c r="M619" i="16"/>
  <c r="M620" i="16"/>
  <c r="M621" i="16"/>
  <c r="M622" i="16"/>
  <c r="M623" i="16"/>
  <c r="M624" i="16"/>
  <c r="M625" i="16"/>
  <c r="M626" i="16"/>
  <c r="M627" i="16"/>
  <c r="M628" i="16"/>
  <c r="M629" i="16"/>
  <c r="M630" i="16"/>
  <c r="M631" i="16"/>
  <c r="M632" i="16"/>
  <c r="M633" i="16"/>
  <c r="M634" i="16"/>
  <c r="M635" i="16"/>
  <c r="M636" i="16"/>
  <c r="M637" i="16"/>
  <c r="M638" i="16"/>
  <c r="M639" i="16"/>
  <c r="M640" i="16"/>
  <c r="M641" i="16"/>
  <c r="M642" i="16"/>
  <c r="M643" i="16"/>
  <c r="M644" i="16"/>
  <c r="M645" i="16"/>
  <c r="M646" i="16"/>
  <c r="M647" i="16"/>
  <c r="M648" i="16"/>
  <c r="M649" i="16"/>
  <c r="M650" i="16"/>
  <c r="M651" i="16"/>
  <c r="M652" i="16"/>
  <c r="M653" i="16"/>
  <c r="M654" i="16"/>
  <c r="M655" i="16"/>
  <c r="M656" i="16"/>
  <c r="M657" i="16"/>
  <c r="M658" i="16"/>
  <c r="M659" i="16"/>
  <c r="M660" i="16"/>
  <c r="M661" i="16"/>
  <c r="M662" i="16"/>
  <c r="M663" i="16"/>
  <c r="M664" i="16"/>
  <c r="M665" i="16"/>
  <c r="M666" i="16"/>
  <c r="M667" i="16"/>
  <c r="M668" i="16"/>
  <c r="M669" i="16"/>
  <c r="M670" i="16"/>
  <c r="M671" i="16"/>
  <c r="M672" i="16"/>
  <c r="M673" i="16"/>
  <c r="M674" i="16"/>
  <c r="M675" i="16"/>
  <c r="M676" i="16"/>
  <c r="M677" i="16"/>
  <c r="M678" i="16"/>
  <c r="M679" i="16"/>
  <c r="M680" i="16"/>
  <c r="M681" i="16"/>
  <c r="M682" i="16"/>
  <c r="M683" i="16"/>
  <c r="M684" i="16"/>
  <c r="M685" i="16"/>
  <c r="M686" i="16"/>
  <c r="M687" i="16"/>
  <c r="M688" i="16"/>
  <c r="M689" i="16"/>
  <c r="M690" i="16"/>
  <c r="M691" i="16"/>
  <c r="M692" i="16"/>
  <c r="M693" i="16"/>
  <c r="M694" i="16"/>
  <c r="M695" i="16"/>
  <c r="M696" i="16"/>
  <c r="M697" i="16"/>
  <c r="M698" i="16"/>
  <c r="M699" i="16"/>
  <c r="M700" i="16"/>
  <c r="M701" i="16"/>
  <c r="M702" i="16"/>
  <c r="M703" i="16"/>
  <c r="M704" i="16"/>
  <c r="M705" i="16"/>
  <c r="M706" i="16"/>
  <c r="M707" i="16"/>
  <c r="M708" i="16"/>
  <c r="M709" i="16"/>
  <c r="M710" i="16"/>
  <c r="M711" i="16"/>
  <c r="M712" i="16"/>
  <c r="M713" i="16"/>
  <c r="M714" i="16"/>
  <c r="M715" i="16"/>
  <c r="M716" i="16"/>
  <c r="M717" i="16"/>
  <c r="M718" i="16"/>
  <c r="M719" i="16"/>
  <c r="M720" i="16"/>
  <c r="M721" i="16"/>
  <c r="M722" i="16"/>
  <c r="M723" i="16"/>
  <c r="M724" i="16"/>
  <c r="M725" i="16"/>
  <c r="M726" i="16"/>
  <c r="M727" i="16"/>
  <c r="M728" i="16"/>
  <c r="M729" i="16"/>
  <c r="M730" i="16"/>
  <c r="M731" i="16"/>
  <c r="M732" i="16"/>
  <c r="M733" i="16"/>
  <c r="M734" i="16"/>
  <c r="M735" i="16"/>
  <c r="M736" i="16"/>
  <c r="M737" i="16"/>
  <c r="M738" i="16"/>
  <c r="M739" i="16"/>
  <c r="M740" i="16"/>
  <c r="M741" i="16"/>
  <c r="M742" i="16"/>
  <c r="M743" i="16"/>
  <c r="M744" i="16"/>
  <c r="M745" i="16"/>
  <c r="M746" i="16"/>
  <c r="M747" i="16"/>
  <c r="M748" i="16"/>
  <c r="M749" i="16"/>
  <c r="M750" i="16"/>
  <c r="M751" i="16"/>
  <c r="M752" i="16"/>
  <c r="M753" i="16"/>
  <c r="M754" i="16"/>
  <c r="M755" i="16"/>
  <c r="M756" i="16"/>
  <c r="M757" i="16"/>
  <c r="M758" i="16"/>
  <c r="M759" i="16"/>
  <c r="M760" i="16"/>
  <c r="M761" i="16"/>
  <c r="M762" i="16"/>
  <c r="M763" i="16"/>
  <c r="M764" i="16"/>
  <c r="M765" i="16"/>
  <c r="M766" i="16"/>
  <c r="M767" i="16"/>
  <c r="M768" i="16"/>
  <c r="M769" i="16"/>
  <c r="M770" i="16"/>
  <c r="M771" i="16"/>
  <c r="M772" i="16"/>
  <c r="M773" i="16"/>
  <c r="M774" i="16"/>
  <c r="M775" i="16"/>
  <c r="M776" i="16"/>
  <c r="M777" i="16"/>
  <c r="M778" i="16"/>
  <c r="M779" i="16"/>
  <c r="M780" i="16"/>
  <c r="M781" i="16"/>
  <c r="M782" i="16"/>
  <c r="M783" i="16"/>
  <c r="M784" i="16"/>
  <c r="M785" i="16"/>
  <c r="M786" i="16"/>
  <c r="M787" i="16"/>
  <c r="M788" i="16"/>
  <c r="M789" i="16"/>
  <c r="M790" i="16"/>
  <c r="M791" i="16"/>
  <c r="M792" i="16"/>
  <c r="M793" i="16"/>
  <c r="M794" i="16"/>
  <c r="M795" i="16"/>
  <c r="M796" i="16"/>
  <c r="M797" i="16"/>
  <c r="M798" i="16"/>
  <c r="M799" i="16"/>
  <c r="M800" i="16"/>
  <c r="M801" i="16"/>
  <c r="M802" i="16"/>
  <c r="M803" i="16"/>
  <c r="M804" i="16"/>
  <c r="M805" i="16"/>
  <c r="M806" i="16"/>
  <c r="M807" i="16"/>
  <c r="M808" i="16"/>
  <c r="M809" i="16"/>
  <c r="M810" i="16"/>
  <c r="M811" i="16"/>
  <c r="M812" i="16"/>
  <c r="M813" i="16"/>
  <c r="M814" i="16"/>
  <c r="M815" i="16"/>
  <c r="M816" i="16"/>
  <c r="M817" i="16"/>
  <c r="M818" i="16"/>
  <c r="M819" i="16"/>
  <c r="M820" i="16"/>
  <c r="M821" i="16"/>
  <c r="M822" i="16"/>
  <c r="M823" i="16"/>
  <c r="M824" i="16"/>
  <c r="M825" i="16"/>
  <c r="M826" i="16"/>
  <c r="M827" i="16"/>
  <c r="M828" i="16"/>
  <c r="M829" i="16"/>
  <c r="M830" i="16"/>
  <c r="M831" i="16"/>
  <c r="M832" i="16"/>
  <c r="M833" i="16"/>
  <c r="M834" i="16"/>
  <c r="M835" i="16"/>
  <c r="M836" i="16"/>
  <c r="M837" i="16"/>
  <c r="M838" i="16"/>
  <c r="M839" i="16"/>
  <c r="M840" i="16"/>
  <c r="M841" i="16"/>
  <c r="M842" i="16"/>
  <c r="M843" i="16"/>
  <c r="M844" i="16"/>
  <c r="M845" i="16"/>
  <c r="M846" i="16"/>
  <c r="M847" i="16"/>
  <c r="M848" i="16"/>
  <c r="M849" i="16"/>
  <c r="M850" i="16"/>
  <c r="M851" i="16"/>
  <c r="M852" i="16"/>
  <c r="M853" i="16"/>
  <c r="M854" i="16"/>
  <c r="M855" i="16"/>
  <c r="M856" i="16"/>
  <c r="M857" i="16"/>
  <c r="M858" i="16"/>
  <c r="M859" i="16"/>
  <c r="M860" i="16"/>
  <c r="M861" i="16"/>
  <c r="M862" i="16"/>
  <c r="M863" i="16"/>
  <c r="M864" i="16"/>
  <c r="M865" i="16"/>
  <c r="M866" i="16"/>
  <c r="M867" i="16"/>
  <c r="M868" i="16"/>
  <c r="M869" i="16"/>
  <c r="M870" i="16"/>
  <c r="M871" i="16"/>
  <c r="M872" i="16"/>
  <c r="M873" i="16"/>
  <c r="M874" i="16"/>
  <c r="M875" i="16"/>
  <c r="M876" i="16"/>
  <c r="M877" i="16"/>
  <c r="M878" i="16"/>
  <c r="M879" i="16"/>
  <c r="M880" i="16"/>
  <c r="M881" i="16"/>
  <c r="M882" i="16"/>
  <c r="M883" i="16"/>
  <c r="M884" i="16"/>
  <c r="M885" i="16"/>
  <c r="M886" i="16"/>
  <c r="M887" i="16"/>
  <c r="M888" i="16"/>
  <c r="M889" i="16"/>
  <c r="M890" i="16"/>
  <c r="M891" i="16"/>
  <c r="M892" i="16"/>
  <c r="M893" i="16"/>
  <c r="M894" i="16"/>
  <c r="M895" i="16"/>
  <c r="M896" i="16"/>
  <c r="M897" i="16"/>
  <c r="M898" i="16"/>
  <c r="M899" i="16"/>
  <c r="M900" i="16"/>
  <c r="M901" i="16"/>
  <c r="M902" i="16"/>
  <c r="M903" i="16"/>
  <c r="M904" i="16"/>
  <c r="M905" i="16"/>
  <c r="M906" i="16"/>
  <c r="M907" i="16"/>
  <c r="M908" i="16"/>
  <c r="M909" i="16"/>
  <c r="M910" i="16"/>
  <c r="M911" i="16"/>
  <c r="M912" i="16"/>
  <c r="M913" i="16"/>
  <c r="M914" i="16"/>
  <c r="M915" i="16"/>
  <c r="M916" i="16"/>
  <c r="M917" i="16"/>
  <c r="M918" i="16"/>
  <c r="M919" i="16"/>
  <c r="M920" i="16"/>
  <c r="M921" i="16"/>
  <c r="M922" i="16"/>
  <c r="M923" i="16"/>
  <c r="M924" i="16"/>
  <c r="M925" i="16"/>
  <c r="M926" i="16"/>
  <c r="M927" i="16"/>
  <c r="M928" i="16"/>
  <c r="M929" i="16"/>
  <c r="M930" i="16"/>
  <c r="M931" i="16"/>
  <c r="M932" i="16"/>
  <c r="M933" i="16"/>
  <c r="M934" i="16"/>
  <c r="M935" i="16"/>
  <c r="M936" i="16"/>
  <c r="M937" i="16"/>
  <c r="M938" i="16"/>
  <c r="M939" i="16"/>
  <c r="M940" i="16"/>
  <c r="M941" i="16"/>
  <c r="M942" i="16"/>
  <c r="M943" i="16"/>
  <c r="M944" i="16"/>
  <c r="M945" i="16"/>
  <c r="M946" i="16"/>
  <c r="M947" i="16"/>
  <c r="M948" i="16"/>
  <c r="M949" i="16"/>
  <c r="M950" i="16"/>
  <c r="M951" i="16"/>
  <c r="M952" i="16"/>
  <c r="M953" i="16"/>
  <c r="M954" i="16"/>
  <c r="M955" i="16"/>
  <c r="M956" i="16"/>
  <c r="M957" i="16"/>
  <c r="M958" i="16"/>
  <c r="M959" i="16"/>
  <c r="M960" i="16"/>
  <c r="M961" i="16"/>
  <c r="M962" i="16"/>
  <c r="M963" i="16"/>
  <c r="M964" i="16"/>
  <c r="M965" i="16"/>
  <c r="M966" i="16"/>
  <c r="M967" i="16"/>
  <c r="M968" i="16"/>
  <c r="M969" i="16"/>
  <c r="M970" i="16"/>
  <c r="M971" i="16"/>
  <c r="M972" i="16"/>
  <c r="M973" i="16"/>
  <c r="M974" i="16"/>
  <c r="M975" i="16"/>
  <c r="M976" i="16"/>
  <c r="M977" i="16"/>
  <c r="M978" i="16"/>
  <c r="M979" i="16"/>
  <c r="M980" i="16"/>
  <c r="M981" i="16"/>
  <c r="M982" i="16"/>
  <c r="M983" i="16"/>
  <c r="M984" i="16"/>
  <c r="M985" i="16"/>
  <c r="M986" i="16"/>
  <c r="M987" i="16"/>
  <c r="M988" i="16"/>
  <c r="M989" i="16"/>
  <c r="M990" i="16"/>
  <c r="M991" i="16"/>
  <c r="M992" i="16"/>
  <c r="M993" i="16"/>
  <c r="M994" i="16"/>
  <c r="M995" i="16"/>
  <c r="M996" i="16"/>
  <c r="M997" i="16"/>
  <c r="M998" i="16"/>
  <c r="M999" i="16"/>
  <c r="M1000" i="16"/>
  <c r="M1001" i="16"/>
  <c r="M1002" i="16"/>
  <c r="M1003" i="16"/>
  <c r="M1004" i="16"/>
  <c r="M1005" i="16"/>
  <c r="M1006" i="16"/>
  <c r="M1007" i="16"/>
  <c r="M1008" i="16"/>
  <c r="M1009" i="16"/>
  <c r="M1010" i="16"/>
  <c r="M1011" i="16"/>
  <c r="M1012" i="16"/>
  <c r="M1013" i="16"/>
  <c r="M1014" i="16"/>
  <c r="M1015" i="16"/>
  <c r="M1016" i="16"/>
  <c r="M1017" i="16"/>
  <c r="M1018" i="16"/>
  <c r="M1019" i="16"/>
  <c r="M1020" i="16"/>
  <c r="M1021" i="16"/>
  <c r="M1022" i="16"/>
  <c r="M1023" i="16"/>
  <c r="M1024" i="16"/>
  <c r="M1025" i="16"/>
  <c r="M1026" i="16"/>
  <c r="M1027" i="16"/>
  <c r="M1028" i="16"/>
  <c r="M1029" i="16"/>
  <c r="M1030" i="16"/>
  <c r="M1031" i="16"/>
  <c r="M1032" i="16"/>
  <c r="M1033" i="16"/>
  <c r="M1034" i="16"/>
  <c r="M1035" i="16"/>
  <c r="M1036" i="16"/>
  <c r="M1037" i="16"/>
  <c r="M1038" i="16"/>
  <c r="M1039" i="16"/>
  <c r="M1040" i="16"/>
  <c r="M1041" i="16"/>
  <c r="M1042" i="16"/>
  <c r="M1043" i="16"/>
  <c r="M1044" i="16"/>
  <c r="M1045" i="16"/>
  <c r="M1046" i="16"/>
  <c r="M1047" i="16"/>
  <c r="M1048" i="16"/>
  <c r="M1049" i="16"/>
  <c r="M1050" i="16"/>
  <c r="M1051" i="16"/>
  <c r="M1052" i="16"/>
  <c r="M1053" i="16"/>
  <c r="M1054" i="16"/>
  <c r="M1055" i="16"/>
  <c r="M1056" i="16"/>
  <c r="M1057" i="16"/>
  <c r="M1058" i="16"/>
  <c r="M1059" i="16"/>
  <c r="M1060" i="16"/>
  <c r="M1061" i="16"/>
  <c r="M1062" i="16"/>
  <c r="M1063" i="16"/>
  <c r="M1064" i="16"/>
  <c r="M1065" i="16"/>
  <c r="M1066" i="16"/>
  <c r="M1067" i="16"/>
  <c r="M1068" i="16"/>
  <c r="M1069" i="16"/>
  <c r="M1070" i="16"/>
  <c r="M1071" i="16"/>
  <c r="M1072" i="16"/>
  <c r="M1073" i="16"/>
  <c r="M1074" i="16"/>
  <c r="M1075" i="16"/>
  <c r="M1076" i="16"/>
  <c r="M1077" i="16"/>
  <c r="M1078" i="16"/>
  <c r="M1079" i="16"/>
  <c r="M1080" i="16"/>
  <c r="M1081" i="16"/>
  <c r="M1082" i="16"/>
  <c r="M1083" i="16"/>
  <c r="M1084" i="16"/>
  <c r="M1085" i="16"/>
  <c r="M1086" i="16"/>
  <c r="M1087" i="16"/>
  <c r="M1088" i="16"/>
  <c r="M1089" i="16"/>
  <c r="M1090" i="16"/>
  <c r="M1091" i="16"/>
  <c r="M1092" i="16"/>
  <c r="M1093" i="16"/>
  <c r="M1094" i="16"/>
  <c r="M1095" i="16"/>
  <c r="M1096" i="16"/>
  <c r="M1097" i="16"/>
  <c r="M1098" i="16"/>
  <c r="M1099" i="16"/>
  <c r="M1100" i="16"/>
  <c r="M1101" i="16"/>
  <c r="M1102" i="16"/>
  <c r="M1103" i="16"/>
  <c r="M1104" i="16"/>
  <c r="M1105" i="16"/>
  <c r="M1106" i="16"/>
  <c r="M1107" i="16"/>
  <c r="M1108" i="16"/>
  <c r="M1109" i="16"/>
  <c r="M1110" i="16"/>
  <c r="M1111" i="16"/>
  <c r="M1112" i="16"/>
  <c r="M1113" i="16"/>
  <c r="M1114" i="16"/>
  <c r="M1115" i="16"/>
  <c r="M1116" i="16"/>
  <c r="M1117" i="16"/>
  <c r="M1118" i="16"/>
  <c r="M1119" i="16"/>
  <c r="M1120" i="16"/>
  <c r="M1121" i="16"/>
  <c r="M1122" i="16"/>
  <c r="M1123" i="16"/>
  <c r="M1124" i="16"/>
  <c r="M1125" i="16"/>
  <c r="M1126" i="16"/>
  <c r="M1127" i="16"/>
  <c r="M1128" i="16"/>
  <c r="M1129" i="16"/>
  <c r="M1130" i="16"/>
  <c r="M1131" i="16"/>
  <c r="M1132" i="16"/>
  <c r="M1133" i="16"/>
  <c r="M1134" i="16"/>
  <c r="M1135" i="16"/>
  <c r="M1136" i="16"/>
  <c r="M1137" i="16"/>
  <c r="M1138" i="16"/>
  <c r="M1139" i="16"/>
  <c r="M1140" i="16"/>
  <c r="M1141" i="16"/>
  <c r="M1142" i="16"/>
  <c r="M1143" i="16"/>
  <c r="M1144" i="16"/>
  <c r="M1145" i="16"/>
  <c r="M1146" i="16"/>
  <c r="M1147" i="16"/>
  <c r="M1148" i="16"/>
  <c r="M1149" i="16"/>
  <c r="M1150" i="16"/>
  <c r="M1151" i="16"/>
  <c r="M1152" i="16"/>
  <c r="M1153" i="16"/>
  <c r="M1154" i="16"/>
  <c r="M1155" i="16"/>
  <c r="M1156" i="16"/>
  <c r="M1157" i="16"/>
  <c r="M1158" i="16"/>
  <c r="M1159" i="16"/>
  <c r="M1160" i="16"/>
  <c r="M1161" i="16"/>
  <c r="M1162" i="16"/>
  <c r="M1163" i="16"/>
  <c r="M1164" i="16"/>
  <c r="M1165" i="16"/>
  <c r="M1166" i="16"/>
  <c r="M1167" i="16"/>
  <c r="M1168" i="16"/>
  <c r="M1169" i="16"/>
  <c r="M1170" i="16"/>
  <c r="M1171" i="16"/>
  <c r="M1172" i="16"/>
  <c r="M1173" i="16"/>
  <c r="M1174" i="16"/>
  <c r="M1175" i="16"/>
  <c r="M1176" i="16"/>
  <c r="M1177" i="16"/>
  <c r="M1178" i="16"/>
  <c r="M1179" i="16"/>
  <c r="M1180" i="16"/>
  <c r="M1181" i="16"/>
  <c r="M1182" i="16"/>
  <c r="M1183" i="16"/>
  <c r="M1184" i="16"/>
  <c r="M1185" i="16"/>
  <c r="M1186" i="16"/>
  <c r="M1187" i="16"/>
  <c r="M1188" i="16"/>
  <c r="M1189" i="16"/>
  <c r="M1190" i="16"/>
  <c r="M1191" i="16"/>
  <c r="M1192" i="16"/>
  <c r="M1193" i="16"/>
  <c r="M1194" i="16"/>
  <c r="M1195" i="16"/>
  <c r="M1196" i="16"/>
  <c r="M1197" i="16"/>
  <c r="M1198" i="16"/>
  <c r="M1199" i="16"/>
  <c r="M1200" i="16"/>
  <c r="M1201" i="16"/>
  <c r="M1202" i="16"/>
  <c r="M1203" i="16"/>
  <c r="M1204" i="16"/>
  <c r="M1205" i="16"/>
  <c r="M1206" i="16"/>
  <c r="M1207" i="16"/>
  <c r="M1208" i="16"/>
  <c r="M1209" i="16"/>
  <c r="M1210" i="16"/>
  <c r="M1211" i="16"/>
  <c r="M1212" i="16"/>
  <c r="M1213" i="16"/>
  <c r="M1214" i="16"/>
  <c r="M1215" i="16"/>
  <c r="M1216" i="16"/>
  <c r="M1217" i="16"/>
  <c r="M1218" i="16"/>
  <c r="M1219" i="16"/>
  <c r="M1220" i="16"/>
  <c r="M1221" i="16"/>
  <c r="M1222" i="16"/>
  <c r="M1223" i="16"/>
  <c r="M1224" i="16"/>
  <c r="M1225" i="16"/>
  <c r="M1226" i="16"/>
  <c r="M1227" i="16"/>
  <c r="M1228" i="16"/>
  <c r="M1229" i="16"/>
  <c r="M1230" i="16"/>
  <c r="M1231" i="16"/>
  <c r="M1232" i="16"/>
  <c r="M1233" i="16"/>
  <c r="M1234" i="16"/>
  <c r="M1235" i="16"/>
  <c r="M1236" i="16"/>
  <c r="M1237" i="16"/>
  <c r="M1238" i="16"/>
  <c r="M1239" i="16"/>
  <c r="M1240" i="16"/>
  <c r="M1241" i="16"/>
  <c r="M1242" i="16"/>
  <c r="M1243" i="16"/>
  <c r="M1244" i="16"/>
  <c r="M1245" i="16"/>
  <c r="M1246" i="16"/>
  <c r="M1247" i="16"/>
  <c r="M1248" i="16"/>
  <c r="M1249" i="16"/>
  <c r="M1250" i="16"/>
  <c r="M1251" i="16"/>
  <c r="M1252" i="16"/>
  <c r="M1253" i="16"/>
  <c r="M1254" i="16"/>
  <c r="M1255" i="16"/>
  <c r="M1256" i="16"/>
  <c r="M1257" i="16"/>
  <c r="M1258" i="16"/>
  <c r="M1259" i="16"/>
  <c r="M1260" i="16"/>
  <c r="M1261" i="16"/>
  <c r="M1262" i="16"/>
  <c r="M1263" i="16"/>
  <c r="M1264" i="16"/>
  <c r="M1265" i="16"/>
  <c r="M1266" i="16"/>
  <c r="M1267" i="16"/>
  <c r="M1268" i="16"/>
  <c r="M1269" i="16"/>
  <c r="M1270" i="16"/>
  <c r="M1271" i="16"/>
  <c r="M1272" i="16"/>
  <c r="M1273" i="16"/>
  <c r="M1274" i="16"/>
  <c r="M1275" i="16"/>
  <c r="M1276" i="16"/>
  <c r="M1277" i="16"/>
  <c r="M1278" i="16"/>
  <c r="M1279" i="16"/>
  <c r="M1280" i="16"/>
  <c r="M1281" i="16"/>
  <c r="M1282" i="16"/>
  <c r="M1283" i="16"/>
  <c r="M1284" i="16"/>
  <c r="M1285" i="16"/>
  <c r="M1286" i="16"/>
  <c r="M1287" i="16"/>
  <c r="M1288" i="16"/>
  <c r="M1289" i="16"/>
  <c r="M1290" i="16"/>
  <c r="M1291" i="16"/>
  <c r="M1292" i="16"/>
  <c r="M1293" i="16"/>
  <c r="M1294" i="16"/>
  <c r="M1295" i="16"/>
  <c r="M1296" i="16"/>
  <c r="M1297" i="16"/>
  <c r="M1298" i="16"/>
  <c r="M1299" i="16"/>
  <c r="M1300" i="16"/>
  <c r="M1301" i="16"/>
  <c r="M1302" i="16"/>
  <c r="M1303" i="16"/>
  <c r="M1304" i="16"/>
  <c r="M1305" i="16"/>
  <c r="M1306" i="16"/>
  <c r="M1307" i="16"/>
  <c r="M1308" i="16"/>
  <c r="M1309" i="16"/>
  <c r="M1310" i="16"/>
  <c r="M1311" i="16"/>
  <c r="M1312" i="16"/>
  <c r="M1313" i="16"/>
  <c r="M1314" i="16"/>
  <c r="M1315" i="16"/>
  <c r="M1316" i="16"/>
  <c r="M1317" i="16"/>
  <c r="M1318" i="16"/>
  <c r="M1319" i="16"/>
  <c r="M1320" i="16"/>
  <c r="M1321" i="16"/>
  <c r="M1322" i="16"/>
  <c r="M1323" i="16"/>
  <c r="M1324" i="16"/>
  <c r="M1325" i="16"/>
  <c r="M1326" i="16"/>
  <c r="M1327" i="16"/>
  <c r="M1328" i="16"/>
  <c r="M1329" i="16"/>
  <c r="M1330" i="16"/>
  <c r="M1331" i="16"/>
  <c r="M1332" i="16"/>
  <c r="M1333" i="16"/>
  <c r="M1334" i="16"/>
  <c r="M1335" i="16"/>
  <c r="M1336" i="16"/>
  <c r="M1337" i="16"/>
  <c r="M1338" i="16"/>
  <c r="M1339" i="16"/>
  <c r="M1340" i="16"/>
  <c r="M1341" i="16"/>
  <c r="M1342" i="16"/>
  <c r="M1343" i="16"/>
  <c r="M1344" i="16"/>
  <c r="M1345" i="16"/>
  <c r="M1346" i="16"/>
  <c r="M1347" i="16"/>
  <c r="M1348" i="16"/>
  <c r="M1349" i="16"/>
  <c r="M1350" i="16"/>
  <c r="M1351" i="16"/>
  <c r="M1352" i="16"/>
  <c r="M1353" i="16"/>
  <c r="M1354" i="16"/>
  <c r="M1355" i="16"/>
  <c r="M1356" i="16"/>
  <c r="M1357" i="16"/>
  <c r="M1358" i="16"/>
  <c r="M1359" i="16"/>
  <c r="M1360" i="16"/>
  <c r="M1361" i="16"/>
  <c r="M1362" i="16"/>
  <c r="M1363" i="16"/>
  <c r="M1364" i="16"/>
  <c r="M1365" i="16"/>
  <c r="M1366" i="16"/>
  <c r="M1367" i="16"/>
  <c r="M1368" i="16"/>
  <c r="M1369" i="16"/>
  <c r="M1370" i="16"/>
  <c r="M1371" i="16"/>
  <c r="M1372" i="16"/>
  <c r="M1373" i="16"/>
  <c r="M1374" i="16"/>
  <c r="M1375" i="16"/>
  <c r="M1376" i="16"/>
  <c r="M1377" i="16"/>
  <c r="M1378" i="16"/>
  <c r="M1379" i="16"/>
  <c r="M1380" i="16"/>
  <c r="M1381" i="16"/>
  <c r="M1382" i="16"/>
  <c r="M1383" i="16"/>
  <c r="M1384" i="16"/>
  <c r="M1385" i="16"/>
  <c r="M1386" i="16"/>
  <c r="M1387" i="16"/>
  <c r="M1388" i="16"/>
  <c r="M1389" i="16"/>
  <c r="M1390" i="16"/>
  <c r="M1391" i="16"/>
  <c r="M1392" i="16"/>
  <c r="M1393" i="16"/>
  <c r="M1394" i="16"/>
  <c r="M1395" i="16"/>
  <c r="M1396" i="16"/>
  <c r="M1397" i="16"/>
  <c r="M1398" i="16"/>
  <c r="M1399" i="16"/>
  <c r="M1400" i="16"/>
  <c r="M1401" i="16"/>
  <c r="M1402" i="16"/>
  <c r="M1403" i="16"/>
  <c r="M1404" i="16"/>
  <c r="M1405" i="16"/>
  <c r="M1406" i="16"/>
  <c r="M1407" i="16"/>
  <c r="M1408" i="16"/>
  <c r="M1409" i="16"/>
  <c r="M1410" i="16"/>
  <c r="M1411" i="16"/>
  <c r="M1412" i="16"/>
  <c r="M1413" i="16"/>
  <c r="M1414" i="16"/>
  <c r="M1415" i="16"/>
  <c r="M1416" i="16"/>
  <c r="M1417" i="16"/>
  <c r="M1418" i="16"/>
  <c r="M1419" i="16"/>
  <c r="M1420" i="16"/>
  <c r="M1421" i="16"/>
  <c r="M1422" i="16"/>
  <c r="M1423" i="16"/>
  <c r="M1424" i="16"/>
  <c r="M1425" i="16"/>
  <c r="M1426" i="16"/>
  <c r="M1427" i="16"/>
  <c r="M1428" i="16"/>
  <c r="M1429" i="16"/>
  <c r="M1430" i="16"/>
  <c r="M1431" i="16"/>
  <c r="M1432" i="16"/>
  <c r="M1433" i="16"/>
  <c r="M1434" i="16"/>
  <c r="M1435" i="16"/>
  <c r="M1436" i="16"/>
  <c r="M1437" i="16"/>
  <c r="M1438" i="16"/>
  <c r="M1439" i="16"/>
  <c r="M1440" i="16"/>
  <c r="M1441" i="16"/>
  <c r="M1442" i="16"/>
  <c r="M1443" i="16"/>
  <c r="M1444" i="16"/>
  <c r="M1445" i="16"/>
  <c r="M1446" i="16"/>
  <c r="M1447" i="16"/>
  <c r="M1448" i="16"/>
  <c r="M1449" i="16"/>
  <c r="M1450" i="16"/>
  <c r="M1451" i="16"/>
  <c r="M1452" i="16"/>
  <c r="M1453" i="16"/>
  <c r="M1454" i="16"/>
  <c r="M1455" i="16"/>
  <c r="M1456" i="16"/>
  <c r="M1457" i="16"/>
  <c r="M1458" i="16"/>
  <c r="M1459" i="16"/>
  <c r="M1460" i="16"/>
  <c r="M1461" i="16"/>
  <c r="M1462" i="16"/>
  <c r="M1463" i="16"/>
  <c r="M1464" i="16"/>
  <c r="M1465" i="16"/>
  <c r="M1466" i="16"/>
  <c r="M1467" i="16"/>
  <c r="M1468" i="16"/>
  <c r="M1469" i="16"/>
  <c r="M1470" i="16"/>
  <c r="M1471" i="16"/>
  <c r="M1472" i="16"/>
  <c r="M1473" i="16"/>
  <c r="M1474" i="16"/>
  <c r="M1475" i="16"/>
  <c r="M1476" i="16"/>
  <c r="M1477" i="16"/>
  <c r="M1478" i="16"/>
  <c r="M1479" i="16"/>
  <c r="M1480" i="16"/>
  <c r="M1481" i="16"/>
  <c r="M1482" i="16"/>
  <c r="M1483" i="16"/>
  <c r="M1484" i="16"/>
  <c r="M1485" i="16"/>
  <c r="M1486" i="16"/>
  <c r="M1487" i="16"/>
  <c r="M1488" i="16"/>
  <c r="M1489" i="16"/>
  <c r="M1490" i="16"/>
  <c r="M1491" i="16"/>
  <c r="M1492" i="16"/>
  <c r="M1493" i="16"/>
  <c r="M1494" i="16"/>
  <c r="M1495" i="16"/>
  <c r="M1496" i="16"/>
  <c r="M1497" i="16"/>
  <c r="M1498" i="16"/>
  <c r="M1499" i="16"/>
  <c r="M1500" i="16"/>
  <c r="M1501" i="16"/>
  <c r="M1502" i="16"/>
  <c r="M1503" i="16"/>
  <c r="M1504" i="16"/>
  <c r="M1505" i="16"/>
  <c r="M1506" i="16"/>
  <c r="M1507" i="16"/>
  <c r="M1508" i="16"/>
  <c r="M1509" i="16"/>
  <c r="M1510" i="16"/>
  <c r="M1511" i="16"/>
  <c r="M1512" i="16"/>
  <c r="M1513" i="16"/>
  <c r="M1514" i="16"/>
  <c r="M1515" i="16"/>
  <c r="M1516" i="16"/>
  <c r="M1517" i="16"/>
  <c r="M1518" i="16"/>
  <c r="M1519" i="16"/>
  <c r="M1520" i="16"/>
  <c r="M1521" i="16"/>
  <c r="M1522" i="16"/>
  <c r="M1523" i="16"/>
  <c r="M1524" i="16"/>
  <c r="M1525" i="16"/>
  <c r="M1526" i="16"/>
  <c r="M1527" i="16"/>
  <c r="M1528" i="16"/>
  <c r="M1529" i="16"/>
  <c r="M1530" i="16"/>
  <c r="M1531" i="16"/>
  <c r="M1532" i="16"/>
  <c r="M1533" i="16"/>
  <c r="M1534" i="16"/>
  <c r="M1535" i="16"/>
  <c r="M1536" i="16"/>
  <c r="M1537" i="16"/>
  <c r="M1538" i="16"/>
  <c r="M1539" i="16"/>
  <c r="M1540" i="16"/>
  <c r="M1541" i="16"/>
  <c r="M1542" i="16"/>
  <c r="M1543" i="16"/>
  <c r="M1544" i="16"/>
  <c r="M1545" i="16"/>
  <c r="M1546" i="16"/>
  <c r="M1547" i="16"/>
  <c r="M1548" i="16"/>
  <c r="M1549" i="16"/>
  <c r="M1550" i="16"/>
  <c r="M1551" i="16"/>
  <c r="M1552" i="16"/>
  <c r="M1553" i="16"/>
  <c r="M1554" i="16"/>
  <c r="M1555" i="16"/>
  <c r="M1556" i="16"/>
  <c r="M1557" i="16"/>
  <c r="M1558" i="16"/>
  <c r="M1559" i="16"/>
  <c r="M1560" i="16"/>
  <c r="M1561" i="16"/>
  <c r="M1562" i="16"/>
  <c r="M1563" i="16"/>
  <c r="M1564" i="16"/>
  <c r="M1565" i="16"/>
  <c r="M1566" i="16"/>
  <c r="M1567" i="16"/>
  <c r="M1568" i="16"/>
  <c r="M1569" i="16"/>
  <c r="M1570" i="16"/>
  <c r="M1571" i="16"/>
  <c r="M1572" i="16"/>
  <c r="M1573" i="16"/>
  <c r="M1574" i="16"/>
  <c r="M1575" i="16"/>
  <c r="M1576" i="16"/>
  <c r="M1577" i="16"/>
  <c r="M1578" i="16"/>
  <c r="M1579" i="16"/>
  <c r="M1580" i="16"/>
  <c r="M1581" i="16"/>
  <c r="M1582" i="16"/>
  <c r="M1583" i="16"/>
  <c r="M1584" i="16"/>
  <c r="M1585" i="16"/>
  <c r="M1586" i="16"/>
  <c r="M1587" i="16"/>
  <c r="M1588" i="16"/>
  <c r="M1589" i="16"/>
  <c r="M1590" i="16"/>
  <c r="M1591" i="16"/>
  <c r="M1592" i="16"/>
  <c r="M1593" i="16"/>
  <c r="M1594" i="16"/>
  <c r="M1595" i="16"/>
  <c r="M1596" i="16"/>
  <c r="M1597" i="16"/>
  <c r="M1598" i="16"/>
  <c r="M1599" i="16"/>
  <c r="M1600" i="16"/>
  <c r="M1601" i="16"/>
  <c r="M1602" i="16"/>
  <c r="M1603" i="16"/>
  <c r="M1604" i="16"/>
  <c r="M1605" i="16"/>
  <c r="M1606" i="16"/>
  <c r="M1607" i="16"/>
  <c r="M1608" i="16"/>
  <c r="M1609" i="16"/>
  <c r="M1610" i="16"/>
  <c r="M1611" i="16"/>
  <c r="M1612" i="16"/>
  <c r="M1613" i="16"/>
  <c r="M1614" i="16"/>
  <c r="M1615" i="16"/>
  <c r="M1616" i="16"/>
  <c r="M1617" i="16"/>
  <c r="M1618" i="16"/>
  <c r="M1619" i="16"/>
  <c r="M1620" i="16"/>
  <c r="M1621" i="16"/>
  <c r="M1622" i="16"/>
  <c r="M1623" i="16"/>
  <c r="M1624" i="16"/>
  <c r="M1625" i="16"/>
  <c r="M1626" i="16"/>
  <c r="M1627" i="16"/>
  <c r="M1628" i="16"/>
  <c r="M1629" i="16"/>
  <c r="M1630" i="16"/>
  <c r="M1631" i="16"/>
  <c r="M1632" i="16"/>
  <c r="M1633" i="16"/>
  <c r="M1634" i="16"/>
  <c r="M1635" i="16"/>
  <c r="M1636" i="16"/>
  <c r="M1637" i="16"/>
  <c r="M1638" i="16"/>
  <c r="M1639" i="16"/>
  <c r="M1640" i="16"/>
  <c r="M1641" i="16"/>
  <c r="M1642" i="16"/>
  <c r="M1643" i="16"/>
  <c r="M1644" i="16"/>
  <c r="M1645" i="16"/>
  <c r="M1646" i="16"/>
  <c r="M1647" i="16"/>
  <c r="M1648" i="16"/>
  <c r="M1649" i="16"/>
  <c r="M1650" i="16"/>
  <c r="M1651" i="16"/>
  <c r="M1652" i="16"/>
  <c r="M1653" i="16"/>
  <c r="M1654" i="16"/>
  <c r="M1655" i="16"/>
  <c r="M1656" i="16"/>
  <c r="M1657" i="16"/>
  <c r="M1658" i="16"/>
  <c r="M1659" i="16"/>
  <c r="M1660" i="16"/>
  <c r="M1661" i="16"/>
  <c r="M1662" i="16"/>
  <c r="M1663" i="16"/>
  <c r="M1664" i="16"/>
  <c r="M1665" i="16"/>
  <c r="M1666" i="16"/>
  <c r="M1667" i="16"/>
  <c r="M1668" i="16"/>
  <c r="M1669" i="16"/>
  <c r="M1670" i="16"/>
  <c r="M1671" i="16"/>
  <c r="M1672" i="16"/>
  <c r="M1673" i="16"/>
  <c r="M1674" i="16"/>
  <c r="M1675" i="16"/>
  <c r="M1676" i="16"/>
  <c r="M1677" i="16"/>
  <c r="M1678" i="16"/>
  <c r="M1680" i="16"/>
  <c r="M1681" i="16"/>
  <c r="M1682" i="16"/>
  <c r="M1683" i="16"/>
  <c r="M1684" i="16"/>
  <c r="M1685" i="16"/>
  <c r="M1686" i="16"/>
  <c r="M1687" i="16"/>
  <c r="M1688" i="16"/>
  <c r="M1689" i="16"/>
  <c r="M1690" i="16"/>
  <c r="M1691" i="16"/>
  <c r="M1692" i="16"/>
  <c r="M1693" i="16"/>
  <c r="M1694" i="16"/>
  <c r="M1695" i="16"/>
  <c r="M1696" i="16"/>
  <c r="M1697" i="16"/>
  <c r="M1698" i="16"/>
  <c r="M1699" i="16"/>
  <c r="M1700" i="16"/>
  <c r="M1701" i="16"/>
  <c r="M1702" i="16"/>
  <c r="M1703" i="16"/>
  <c r="M1704" i="16"/>
  <c r="M1705" i="16"/>
  <c r="M1706" i="16"/>
  <c r="M1707" i="16"/>
  <c r="M1708" i="16"/>
  <c r="M1709" i="16"/>
  <c r="M1710" i="16"/>
  <c r="M1711" i="16"/>
  <c r="M1712" i="16"/>
  <c r="M1713" i="16"/>
  <c r="M1714" i="16"/>
  <c r="M1715" i="16"/>
  <c r="M1716" i="16"/>
  <c r="M1717" i="16"/>
  <c r="M1718" i="16"/>
  <c r="M1719" i="16"/>
  <c r="M1720" i="16"/>
  <c r="M1721" i="16"/>
  <c r="M1722" i="16"/>
  <c r="M1723" i="16"/>
  <c r="M1724" i="16"/>
  <c r="M1725" i="16"/>
  <c r="M1726" i="16"/>
  <c r="M1727" i="16"/>
  <c r="M1728" i="16"/>
  <c r="M1729" i="16"/>
  <c r="M1730" i="16"/>
  <c r="M1731" i="16"/>
  <c r="M1732" i="16"/>
  <c r="M1733" i="16"/>
  <c r="M1734" i="16"/>
  <c r="M1735" i="16"/>
  <c r="M1736" i="16"/>
  <c r="M1737" i="16"/>
  <c r="M1738" i="16"/>
  <c r="M1739" i="16"/>
  <c r="M1740" i="16"/>
  <c r="M1741" i="16"/>
  <c r="M1742" i="16"/>
  <c r="M1743" i="16"/>
  <c r="M1744" i="16"/>
  <c r="M1745" i="16"/>
  <c r="M1746" i="16"/>
  <c r="M1747" i="16"/>
  <c r="M1748" i="16"/>
  <c r="M1749" i="16"/>
  <c r="M1750" i="16"/>
  <c r="M1751" i="16"/>
  <c r="M1752" i="16"/>
  <c r="M1753" i="16"/>
  <c r="M1754" i="16"/>
  <c r="M1755" i="16"/>
  <c r="M1756" i="16"/>
  <c r="M1757" i="16"/>
  <c r="M1758" i="16"/>
  <c r="M1759" i="16"/>
  <c r="M1760" i="16"/>
  <c r="M1761" i="16"/>
  <c r="M1762" i="16"/>
  <c r="M1763" i="16"/>
  <c r="M1764" i="16"/>
  <c r="M1765" i="16"/>
  <c r="M1766" i="16"/>
  <c r="M1767" i="16"/>
  <c r="M1768" i="16"/>
  <c r="M1769" i="16"/>
  <c r="M1770" i="16"/>
  <c r="M1771" i="16"/>
  <c r="M1772" i="16"/>
  <c r="M1773" i="16"/>
  <c r="M1774" i="16"/>
  <c r="M1775" i="16"/>
  <c r="M1776" i="16"/>
  <c r="M1777" i="16"/>
  <c r="M1778" i="16"/>
  <c r="M1779" i="16"/>
  <c r="M1780" i="16"/>
  <c r="M1781" i="16"/>
  <c r="M1782" i="16"/>
  <c r="M1783" i="16"/>
  <c r="M1784" i="16"/>
  <c r="M1785" i="16"/>
  <c r="M1786" i="16"/>
  <c r="M1787" i="16"/>
  <c r="M1788" i="16"/>
  <c r="M1789" i="16"/>
  <c r="M1790" i="16"/>
  <c r="M1791" i="16"/>
  <c r="M1792" i="16"/>
  <c r="M1793" i="16"/>
  <c r="M1794" i="16"/>
  <c r="M1795" i="16"/>
  <c r="M1796" i="16"/>
  <c r="M1797" i="16"/>
  <c r="M1798" i="16"/>
  <c r="M1799" i="16"/>
  <c r="M1800" i="16"/>
  <c r="M1801" i="16"/>
  <c r="M1802" i="16"/>
  <c r="M1803" i="16"/>
  <c r="M1804" i="16"/>
  <c r="M1805" i="16"/>
  <c r="M1806" i="16"/>
  <c r="M1807" i="16"/>
  <c r="M1808" i="16"/>
  <c r="M1809" i="16"/>
  <c r="M1810" i="16"/>
  <c r="M1811" i="16"/>
  <c r="M1812" i="16"/>
  <c r="M1813" i="16"/>
  <c r="M1814" i="16"/>
  <c r="M1815" i="16"/>
  <c r="M1816" i="16"/>
  <c r="M1817" i="16"/>
  <c r="M1818" i="16"/>
  <c r="M1819" i="16"/>
  <c r="M1820" i="16"/>
  <c r="M1821" i="16"/>
  <c r="M1822" i="16"/>
  <c r="M1823" i="16"/>
  <c r="M1824" i="16"/>
  <c r="M1825" i="16"/>
  <c r="M1826" i="16"/>
  <c r="M1827" i="16"/>
  <c r="M1828" i="16"/>
  <c r="M1829" i="16"/>
  <c r="M1830" i="16"/>
  <c r="M1831" i="16"/>
  <c r="M1832" i="16"/>
  <c r="M1833" i="16"/>
  <c r="M1834" i="16"/>
  <c r="M1835" i="16"/>
  <c r="M1836" i="16"/>
  <c r="M1837" i="16"/>
  <c r="M1838" i="16"/>
  <c r="M1839" i="16"/>
  <c r="M1840" i="16"/>
  <c r="M1841" i="16"/>
  <c r="M1842" i="16"/>
  <c r="M1843" i="16"/>
  <c r="M1844" i="16"/>
  <c r="M1845" i="16"/>
  <c r="M1846" i="16"/>
  <c r="M1847" i="16"/>
  <c r="M1848" i="16"/>
  <c r="M1849" i="16"/>
  <c r="M1850" i="16"/>
  <c r="M1851" i="16"/>
  <c r="M1852" i="16"/>
  <c r="M1853" i="16"/>
  <c r="M1854" i="16"/>
  <c r="M1855" i="16"/>
  <c r="M1856" i="16"/>
  <c r="M1857" i="16"/>
  <c r="M1858" i="16"/>
  <c r="M1859" i="16"/>
  <c r="M1860" i="16"/>
  <c r="M1861" i="16"/>
  <c r="M1862" i="16"/>
  <c r="M1863" i="16"/>
  <c r="M1864" i="16"/>
  <c r="M1865" i="16"/>
  <c r="M1866" i="16"/>
  <c r="M1867" i="16"/>
  <c r="M1868" i="16"/>
  <c r="M1869" i="16"/>
  <c r="M1870" i="16"/>
  <c r="M1871" i="16"/>
  <c r="M1872" i="16"/>
  <c r="M1873" i="16"/>
  <c r="M1874" i="16"/>
  <c r="M1875" i="16"/>
  <c r="M1876" i="16"/>
  <c r="M1877" i="16"/>
  <c r="M1878" i="16"/>
  <c r="M1879" i="16"/>
  <c r="M1880" i="16"/>
  <c r="M1881" i="16"/>
  <c r="M1882" i="16"/>
  <c r="M1883" i="16"/>
  <c r="M1884" i="16"/>
  <c r="M1885" i="16"/>
  <c r="M1886" i="16"/>
  <c r="M1887" i="16"/>
  <c r="M1888" i="16"/>
  <c r="M1889" i="16"/>
  <c r="M1890" i="16"/>
  <c r="M1891" i="16"/>
  <c r="M1892" i="16"/>
  <c r="M1893" i="16"/>
  <c r="M1894" i="16"/>
  <c r="M1895" i="16"/>
  <c r="M1896" i="16"/>
  <c r="M1897" i="16"/>
  <c r="M1898" i="16"/>
  <c r="M1899" i="16"/>
  <c r="M1900" i="16"/>
  <c r="M1901" i="16"/>
  <c r="M1902" i="16"/>
  <c r="M1903" i="16"/>
  <c r="M1904" i="16"/>
  <c r="M1905" i="16"/>
  <c r="M1906" i="16"/>
  <c r="M1907" i="16"/>
  <c r="M1908" i="16"/>
  <c r="M1909" i="16"/>
  <c r="M1910" i="16"/>
  <c r="M1911" i="16"/>
  <c r="M1912" i="16"/>
  <c r="M1913" i="16"/>
  <c r="M1914" i="16"/>
  <c r="M1915" i="16"/>
  <c r="M1916" i="16"/>
  <c r="M1917" i="16"/>
  <c r="M1918" i="16"/>
  <c r="M1919" i="16"/>
  <c r="M1920" i="16"/>
  <c r="M1921" i="16"/>
  <c r="M1922" i="16"/>
  <c r="M1923" i="16"/>
  <c r="M1924" i="16"/>
  <c r="M1925" i="16"/>
  <c r="M1926" i="16"/>
  <c r="M1927" i="16"/>
  <c r="M1928" i="16"/>
  <c r="M1929" i="16"/>
  <c r="M1930" i="16"/>
  <c r="M1931" i="16"/>
  <c r="M1932" i="16"/>
  <c r="M1933" i="16"/>
  <c r="M1934" i="16"/>
  <c r="M1935" i="16"/>
  <c r="M1936" i="16"/>
  <c r="M1937" i="16"/>
  <c r="M1938" i="16"/>
  <c r="M1939" i="16"/>
  <c r="M1940" i="16"/>
  <c r="M1941" i="16"/>
  <c r="M1942" i="16"/>
  <c r="M1943" i="16"/>
  <c r="M1944" i="16"/>
  <c r="M1945" i="16"/>
  <c r="M1946" i="16"/>
  <c r="M1947" i="16"/>
  <c r="M1948" i="16"/>
  <c r="M1949" i="16"/>
  <c r="M1950" i="16"/>
  <c r="M1951" i="16"/>
  <c r="M1952" i="16"/>
  <c r="M1953" i="16"/>
  <c r="M1954" i="16"/>
  <c r="M1955" i="16"/>
  <c r="M1956" i="16"/>
  <c r="M1957" i="16"/>
  <c r="M1958" i="16"/>
  <c r="M1959" i="16"/>
  <c r="M1960" i="16"/>
  <c r="M1961" i="16"/>
  <c r="M1962" i="16"/>
  <c r="M1963" i="16"/>
  <c r="M1964" i="16"/>
  <c r="M1965" i="16"/>
  <c r="M1966" i="16"/>
  <c r="M1967" i="16"/>
  <c r="M1968" i="16"/>
  <c r="M1969" i="16"/>
  <c r="M1970" i="16"/>
  <c r="M1971" i="16"/>
  <c r="M1972" i="16"/>
  <c r="M1973" i="16"/>
  <c r="M1974" i="16"/>
  <c r="M1975" i="16"/>
  <c r="M1976" i="16"/>
  <c r="M1977" i="16"/>
  <c r="M1978" i="16"/>
  <c r="M1979" i="16"/>
  <c r="M1980" i="16"/>
  <c r="M1981" i="16"/>
  <c r="M1982" i="16"/>
  <c r="M1983" i="16"/>
  <c r="M1984" i="16"/>
  <c r="M1985" i="16"/>
  <c r="M1986" i="16"/>
  <c r="M1987" i="16"/>
  <c r="M1988" i="16"/>
  <c r="M1989" i="16"/>
  <c r="M1990" i="16"/>
  <c r="M1991" i="16"/>
  <c r="M1992" i="16"/>
  <c r="M1993" i="16"/>
  <c r="M1994" i="16"/>
  <c r="M1995" i="16"/>
  <c r="M1996" i="16"/>
  <c r="M1997" i="16"/>
  <c r="M1998" i="16"/>
  <c r="M1999" i="16"/>
  <c r="M2000" i="16"/>
  <c r="M2001" i="16"/>
  <c r="M2002" i="16"/>
  <c r="M2003" i="16"/>
  <c r="M2004" i="16"/>
  <c r="M2005" i="16"/>
  <c r="M2006" i="16"/>
  <c r="M2007" i="16"/>
  <c r="M2008" i="16"/>
  <c r="M2009" i="16"/>
  <c r="M2010" i="16"/>
  <c r="M2011" i="16"/>
  <c r="M2012" i="16"/>
  <c r="M2013" i="16"/>
  <c r="M2014" i="16"/>
  <c r="M2015" i="16"/>
  <c r="M2016" i="16"/>
  <c r="M2017" i="16"/>
  <c r="M2018" i="16"/>
  <c r="M2019" i="16"/>
  <c r="M2020" i="16"/>
  <c r="M2021" i="16"/>
  <c r="M2022" i="16"/>
  <c r="M2023" i="16"/>
  <c r="M2024" i="16"/>
  <c r="M2025" i="16"/>
  <c r="M2026" i="16"/>
  <c r="M2027" i="16"/>
  <c r="M2028" i="16"/>
  <c r="M2029" i="16"/>
  <c r="M2030" i="16"/>
  <c r="M2031" i="16"/>
  <c r="M2032" i="16"/>
  <c r="M2033" i="16"/>
  <c r="M2034" i="16"/>
  <c r="M2035" i="16"/>
  <c r="M2036" i="16"/>
  <c r="M2037" i="16"/>
  <c r="M2038" i="16"/>
  <c r="M2039" i="16"/>
  <c r="M2040" i="16"/>
  <c r="M2041" i="16"/>
  <c r="M2042" i="16"/>
  <c r="M2043" i="16"/>
  <c r="M2044" i="16"/>
  <c r="M2045" i="16"/>
  <c r="M2046" i="16"/>
  <c r="M2047" i="16"/>
  <c r="M2048" i="16"/>
  <c r="M2049" i="16"/>
  <c r="M2050" i="16"/>
  <c r="M2051" i="16"/>
  <c r="M2052" i="16"/>
  <c r="M2053" i="16"/>
  <c r="M2054" i="16"/>
  <c r="M2055" i="16"/>
  <c r="M2056" i="16"/>
  <c r="M2057" i="16"/>
  <c r="M2058" i="16"/>
  <c r="M2059" i="16"/>
  <c r="M2060" i="16"/>
  <c r="M2061" i="16"/>
  <c r="M2062" i="16"/>
  <c r="M2063" i="16"/>
  <c r="M2064" i="16"/>
  <c r="M2065" i="16"/>
  <c r="M2066" i="16"/>
  <c r="M2067" i="16"/>
  <c r="M2068" i="16"/>
  <c r="M2069" i="16"/>
  <c r="M2070" i="16"/>
  <c r="M2071" i="16"/>
  <c r="M2072" i="16"/>
  <c r="M2073" i="16"/>
  <c r="M2074" i="16"/>
  <c r="M2075" i="16"/>
  <c r="M12" i="16"/>
  <c r="M13" i="16"/>
  <c r="M14" i="16"/>
  <c r="M15" i="16"/>
  <c r="M16" i="16"/>
  <c r="M11" i="16"/>
  <c r="B177" i="18"/>
  <c r="A12" i="16" l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l="1"/>
  <c r="A342" i="16" s="1"/>
  <c r="A12" i="14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86" i="14" s="1"/>
  <c r="A87" i="14" s="1"/>
  <c r="A88" i="14" s="1"/>
  <c r="A89" i="14" s="1"/>
  <c r="A90" i="14" s="1"/>
  <c r="A91" i="14" s="1"/>
  <c r="A92" i="14" s="1"/>
  <c r="A93" i="14" s="1"/>
  <c r="A94" i="14" s="1"/>
  <c r="A95" i="14" s="1"/>
  <c r="A96" i="14" s="1"/>
  <c r="A97" i="14" s="1"/>
  <c r="A98" i="14" s="1"/>
  <c r="A99" i="14" s="1"/>
  <c r="A100" i="14" s="1"/>
  <c r="A101" i="14" s="1"/>
  <c r="A102" i="14" s="1"/>
  <c r="A103" i="14" s="1"/>
  <c r="A104" i="14" s="1"/>
  <c r="A105" i="14" s="1"/>
  <c r="A106" i="14" s="1"/>
  <c r="A107" i="14" s="1"/>
  <c r="A108" i="14" s="1"/>
  <c r="A109" i="14" s="1"/>
  <c r="A110" i="14" s="1"/>
  <c r="A111" i="14" s="1"/>
  <c r="A112" i="14" s="1"/>
  <c r="A113" i="14" s="1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A131" i="14" s="1"/>
  <c r="A132" i="14" s="1"/>
  <c r="A133" i="14" s="1"/>
  <c r="A134" i="14" s="1"/>
  <c r="A135" i="14" s="1"/>
  <c r="A136" i="14" s="1"/>
  <c r="A137" i="14" s="1"/>
  <c r="A138" i="14" s="1"/>
  <c r="A139" i="14" s="1"/>
  <c r="A140" i="14" s="1"/>
  <c r="A141" i="14" s="1"/>
  <c r="A142" i="14" s="1"/>
  <c r="A143" i="14" s="1"/>
  <c r="A144" i="14" s="1"/>
  <c r="A145" i="14" s="1"/>
  <c r="A146" i="14" s="1"/>
  <c r="A147" i="14" s="1"/>
  <c r="A148" i="14" s="1"/>
  <c r="A149" i="14" s="1"/>
  <c r="A150" i="14" s="1"/>
  <c r="A151" i="14" s="1"/>
  <c r="A152" i="14" s="1"/>
  <c r="A153" i="14" s="1"/>
  <c r="A154" i="14" s="1"/>
  <c r="A155" i="14" s="1"/>
  <c r="A156" i="14" s="1"/>
  <c r="A157" i="14" s="1"/>
  <c r="A158" i="14" s="1"/>
  <c r="A159" i="14" s="1"/>
  <c r="A160" i="14" s="1"/>
  <c r="A161" i="14" s="1"/>
  <c r="A162" i="14" s="1"/>
  <c r="A163" i="14" s="1"/>
  <c r="A164" i="14" s="1"/>
  <c r="A165" i="14" s="1"/>
  <c r="A166" i="14" s="1"/>
  <c r="A167" i="14" s="1"/>
  <c r="A168" i="14" s="1"/>
  <c r="A169" i="14" s="1"/>
  <c r="A170" i="14" s="1"/>
  <c r="A171" i="14" s="1"/>
  <c r="A172" i="14" s="1"/>
  <c r="A173" i="14" s="1"/>
  <c r="A174" i="14" s="1"/>
  <c r="A175" i="14" s="1"/>
  <c r="A176" i="14" s="1"/>
  <c r="A177" i="14" s="1"/>
  <c r="A178" i="14" s="1"/>
  <c r="A179" i="14" s="1"/>
  <c r="A180" i="14" s="1"/>
  <c r="A181" i="14" s="1"/>
  <c r="A182" i="14" s="1"/>
  <c r="A183" i="14" s="1"/>
  <c r="A184" i="14" s="1"/>
  <c r="A185" i="14" s="1"/>
  <c r="A186" i="14" s="1"/>
  <c r="A187" i="14" s="1"/>
  <c r="A188" i="14" s="1"/>
  <c r="A189" i="14" s="1"/>
  <c r="A190" i="14" s="1"/>
  <c r="A191" i="14" s="1"/>
  <c r="A192" i="14" s="1"/>
  <c r="A193" i="14" s="1"/>
  <c r="A194" i="14" s="1"/>
  <c r="A195" i="14" s="1"/>
  <c r="A196" i="14" s="1"/>
  <c r="A197" i="14" s="1"/>
  <c r="A198" i="14" s="1"/>
  <c r="A199" i="14" s="1"/>
  <c r="A200" i="14" s="1"/>
  <c r="A201" i="14" s="1"/>
  <c r="A202" i="14" s="1"/>
  <c r="A203" i="14" s="1"/>
  <c r="A204" i="14" s="1"/>
  <c r="A205" i="14" s="1"/>
  <c r="A206" i="14" s="1"/>
  <c r="A207" i="14" s="1"/>
  <c r="A208" i="14" s="1"/>
  <c r="A209" i="14" s="1"/>
  <c r="A210" i="14" s="1"/>
  <c r="A211" i="14" s="1"/>
  <c r="A212" i="14" s="1"/>
  <c r="A213" i="14" s="1"/>
  <c r="A214" i="14" s="1"/>
  <c r="A215" i="14" s="1"/>
  <c r="A216" i="14" s="1"/>
  <c r="A217" i="14" s="1"/>
  <c r="A218" i="14" s="1"/>
  <c r="A219" i="14" s="1"/>
  <c r="A220" i="14" s="1"/>
  <c r="A221" i="14" s="1"/>
  <c r="A222" i="14" s="1"/>
  <c r="A223" i="14" s="1"/>
  <c r="A224" i="14" s="1"/>
  <c r="A225" i="14" s="1"/>
  <c r="A226" i="14" s="1"/>
  <c r="A227" i="14" s="1"/>
  <c r="A228" i="14" s="1"/>
  <c r="A229" i="14" s="1"/>
  <c r="A230" i="14" s="1"/>
  <c r="A231" i="14" s="1"/>
  <c r="A232" i="14" s="1"/>
  <c r="A233" i="14" s="1"/>
  <c r="A234" i="14" s="1"/>
  <c r="A235" i="14" s="1"/>
  <c r="A236" i="14" s="1"/>
  <c r="A237" i="14" s="1"/>
  <c r="A238" i="14" s="1"/>
  <c r="A239" i="14" s="1"/>
  <c r="A240" i="14" s="1"/>
  <c r="A241" i="14" s="1"/>
  <c r="A242" i="14" s="1"/>
  <c r="A243" i="14" s="1"/>
  <c r="A244" i="14" s="1"/>
  <c r="A245" i="14" s="1"/>
  <c r="A246" i="14" s="1"/>
  <c r="A247" i="14" s="1"/>
  <c r="A248" i="14" s="1"/>
  <c r="A249" i="14" s="1"/>
  <c r="A250" i="14" s="1"/>
  <c r="A251" i="14" s="1"/>
  <c r="A252" i="14" s="1"/>
  <c r="A253" i="14" s="1"/>
  <c r="A254" i="14" s="1"/>
  <c r="A255" i="14" s="1"/>
  <c r="A256" i="14" s="1"/>
  <c r="A257" i="14" s="1"/>
  <c r="A258" i="14" s="1"/>
  <c r="A259" i="14" s="1"/>
  <c r="A260" i="14" s="1"/>
  <c r="A261" i="14" s="1"/>
  <c r="A262" i="14" s="1"/>
  <c r="A263" i="14" s="1"/>
  <c r="A264" i="14" s="1"/>
  <c r="A265" i="14" s="1"/>
  <c r="A266" i="14" s="1"/>
  <c r="A267" i="14" s="1"/>
  <c r="A268" i="14" s="1"/>
  <c r="A269" i="14" s="1"/>
  <c r="A270" i="14" s="1"/>
  <c r="A271" i="14" s="1"/>
  <c r="A272" i="14" s="1"/>
  <c r="A273" i="14" s="1"/>
  <c r="A274" i="14" s="1"/>
  <c r="A275" i="14" s="1"/>
  <c r="A276" i="14" s="1"/>
  <c r="A277" i="14" s="1"/>
  <c r="A278" i="14" s="1"/>
  <c r="A279" i="14" s="1"/>
  <c r="A280" i="14" s="1"/>
  <c r="A281" i="14" s="1"/>
  <c r="A282" i="14" s="1"/>
  <c r="A283" i="14" s="1"/>
  <c r="A284" i="14" s="1"/>
  <c r="A285" i="14" s="1"/>
  <c r="A286" i="14" s="1"/>
  <c r="A287" i="14" s="1"/>
  <c r="A288" i="14" s="1"/>
  <c r="A289" i="14" s="1"/>
  <c r="A290" i="14" s="1"/>
  <c r="A291" i="14" s="1"/>
  <c r="A292" i="14" s="1"/>
  <c r="A293" i="14" s="1"/>
  <c r="A294" i="14" s="1"/>
  <c r="A295" i="14" s="1"/>
  <c r="A296" i="14" s="1"/>
  <c r="A297" i="14" s="1"/>
  <c r="A298" i="14" s="1"/>
  <c r="A299" i="14" s="1"/>
  <c r="A300" i="14" s="1"/>
  <c r="A301" i="14" s="1"/>
  <c r="A302" i="14" s="1"/>
  <c r="A303" i="14" s="1"/>
  <c r="A304" i="14" s="1"/>
  <c r="A305" i="14" s="1"/>
  <c r="A306" i="14" s="1"/>
  <c r="A307" i="14" s="1"/>
  <c r="A308" i="14" s="1"/>
  <c r="A309" i="14" s="1"/>
  <c r="A310" i="14" s="1"/>
  <c r="A311" i="14" s="1"/>
  <c r="A312" i="14" s="1"/>
  <c r="A313" i="14" s="1"/>
  <c r="A314" i="14" s="1"/>
  <c r="A315" i="14" s="1"/>
  <c r="A316" i="14" s="1"/>
  <c r="A317" i="14" s="1"/>
  <c r="A343" i="16" l="1"/>
  <c r="A344" i="16" s="1"/>
  <c r="A345" i="16" s="1"/>
  <c r="A210" i="15"/>
  <c r="A211" i="15" s="1"/>
  <c r="A212" i="15" s="1"/>
  <c r="A213" i="15" s="1"/>
  <c r="A214" i="15" s="1"/>
  <c r="A215" i="15" s="1"/>
  <c r="A216" i="15" s="1"/>
  <c r="A217" i="15" s="1"/>
  <c r="A218" i="15" s="1"/>
  <c r="A219" i="15" s="1"/>
  <c r="A220" i="15" s="1"/>
  <c r="A221" i="15" s="1"/>
  <c r="A222" i="15" s="1"/>
  <c r="A223" i="15" s="1"/>
  <c r="A224" i="15" s="1"/>
  <c r="A225" i="15" s="1"/>
  <c r="A226" i="15" s="1"/>
  <c r="A227" i="15" s="1"/>
  <c r="A228" i="15" s="1"/>
  <c r="A229" i="15" s="1"/>
  <c r="A230" i="15" s="1"/>
  <c r="A231" i="15" s="1"/>
  <c r="A232" i="15" s="1"/>
  <c r="A233" i="15" s="1"/>
  <c r="A234" i="15" s="1"/>
  <c r="A235" i="15" s="1"/>
  <c r="A236" i="15" s="1"/>
  <c r="A237" i="15" s="1"/>
  <c r="A238" i="15" s="1"/>
  <c r="A239" i="15" s="1"/>
  <c r="A240" i="15" s="1"/>
  <c r="A241" i="15" s="1"/>
  <c r="A242" i="15" s="1"/>
  <c r="A243" i="15" s="1"/>
  <c r="A244" i="15" s="1"/>
  <c r="A245" i="15" s="1"/>
  <c r="A246" i="15" s="1"/>
  <c r="A247" i="15" s="1"/>
  <c r="A248" i="15" s="1"/>
  <c r="A249" i="15" s="1"/>
  <c r="A250" i="15" s="1"/>
  <c r="A251" i="15" s="1"/>
  <c r="A252" i="15" s="1"/>
  <c r="A253" i="15" s="1"/>
  <c r="A254" i="15" s="1"/>
  <c r="A255" i="15" s="1"/>
  <c r="A256" i="15" s="1"/>
  <c r="A257" i="15" s="1"/>
  <c r="A258" i="15" s="1"/>
  <c r="A259" i="15" s="1"/>
  <c r="A260" i="15" s="1"/>
  <c r="A261" i="15" s="1"/>
  <c r="A262" i="15" s="1"/>
  <c r="A263" i="15" s="1"/>
  <c r="A264" i="15" s="1"/>
  <c r="A265" i="15" s="1"/>
  <c r="A266" i="15" s="1"/>
  <c r="A267" i="15" s="1"/>
  <c r="A268" i="15" s="1"/>
  <c r="A269" i="15" s="1"/>
  <c r="A270" i="15" s="1"/>
  <c r="A271" i="15" s="1"/>
  <c r="A272" i="15" s="1"/>
  <c r="A273" i="15" s="1"/>
  <c r="A274" i="15" s="1"/>
  <c r="A275" i="15" s="1"/>
  <c r="A276" i="15" s="1"/>
  <c r="A277" i="15" s="1"/>
  <c r="A278" i="15" s="1"/>
  <c r="A279" i="15" s="1"/>
  <c r="A280" i="15" s="1"/>
  <c r="A281" i="15" s="1"/>
  <c r="A282" i="15" s="1"/>
  <c r="A283" i="15" s="1"/>
  <c r="A284" i="15" s="1"/>
  <c r="A285" i="15" s="1"/>
  <c r="A286" i="15" s="1"/>
  <c r="A287" i="15" s="1"/>
  <c r="A288" i="15" s="1"/>
  <c r="A289" i="15" s="1"/>
  <c r="A290" i="15" s="1"/>
  <c r="A291" i="15" s="1"/>
  <c r="A292" i="15" s="1"/>
  <c r="A293" i="15" s="1"/>
  <c r="A294" i="15" s="1"/>
  <c r="A295" i="15" s="1"/>
  <c r="A296" i="15" s="1"/>
  <c r="A11" i="15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346" i="16" l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3" i="16" s="1"/>
  <c r="A574" i="16" s="1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s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A1594" i="16" s="1"/>
  <c r="A1595" i="16" s="1"/>
  <c r="A1596" i="16" s="1"/>
  <c r="A1597" i="16" s="1"/>
  <c r="A1598" i="16" s="1"/>
  <c r="A1599" i="16" s="1"/>
  <c r="A1600" i="16" s="1"/>
  <c r="A1601" i="16" s="1"/>
  <c r="A1602" i="16" s="1"/>
  <c r="A1603" i="16" s="1"/>
  <c r="A1604" i="16" s="1"/>
  <c r="A1605" i="16" s="1"/>
  <c r="A1606" i="16" s="1"/>
  <c r="A1607" i="16" s="1"/>
  <c r="A1608" i="16" s="1"/>
  <c r="A1609" i="16" s="1"/>
  <c r="A1610" i="16" s="1"/>
  <c r="A1611" i="16" s="1"/>
  <c r="A1612" i="16" s="1"/>
  <c r="A1613" i="16" s="1"/>
  <c r="A1614" i="16" s="1"/>
  <c r="A1615" i="16" s="1"/>
  <c r="A1616" i="16" s="1"/>
  <c r="A1617" i="16" s="1"/>
  <c r="A1618" i="16" s="1"/>
  <c r="A1619" i="16" s="1"/>
  <c r="A1620" i="16" s="1"/>
  <c r="A1621" i="16" s="1"/>
  <c r="A1622" i="16" s="1"/>
  <c r="A1623" i="16" s="1"/>
  <c r="A1624" i="16" s="1"/>
  <c r="A1625" i="16" s="1"/>
  <c r="A1626" i="16" s="1"/>
  <c r="A1627" i="16" s="1"/>
  <c r="A1628" i="16" s="1"/>
  <c r="A1629" i="16" s="1"/>
  <c r="A1630" i="16" s="1"/>
  <c r="A1631" i="16" s="1"/>
  <c r="A1632" i="16" s="1"/>
  <c r="A1633" i="16" s="1"/>
  <c r="A1634" i="16" s="1"/>
  <c r="A1635" i="16" s="1"/>
  <c r="A1636" i="16" s="1"/>
  <c r="A1637" i="16" s="1"/>
  <c r="A1638" i="16" s="1"/>
  <c r="A1639" i="16" s="1"/>
  <c r="A1640" i="16" s="1"/>
  <c r="A1641" i="16" s="1"/>
  <c r="A1642" i="16" s="1"/>
  <c r="A1643" i="16" s="1"/>
  <c r="A1644" i="16" s="1"/>
  <c r="A1645" i="16" s="1"/>
  <c r="A1646" i="16" s="1"/>
  <c r="A1647" i="16" s="1"/>
  <c r="A1648" i="16" s="1"/>
  <c r="A1649" i="16" s="1"/>
  <c r="A1650" i="16" s="1"/>
  <c r="A1651" i="16" s="1"/>
  <c r="A1652" i="16" s="1"/>
  <c r="A1653" i="16" s="1"/>
  <c r="A1654" i="16" s="1"/>
  <c r="A1655" i="16" s="1"/>
  <c r="A1656" i="16" s="1"/>
  <c r="A1657" i="16" s="1"/>
  <c r="A1658" i="16" s="1"/>
  <c r="A1659" i="16" s="1"/>
  <c r="A1660" i="16" s="1"/>
  <c r="A1661" i="16" s="1"/>
  <c r="A1662" i="16" s="1"/>
  <c r="A1663" i="16" s="1"/>
  <c r="A1664" i="16" s="1"/>
  <c r="A1665" i="16" s="1"/>
  <c r="A1666" i="16" s="1"/>
  <c r="A1667" i="16" s="1"/>
  <c r="A1668" i="16" s="1"/>
  <c r="A1669" i="16" s="1"/>
  <c r="A1670" i="16" s="1"/>
  <c r="A1671" i="16" s="1"/>
  <c r="A1672" i="16" s="1"/>
  <c r="A1673" i="16" s="1"/>
  <c r="A1674" i="16" s="1"/>
  <c r="A1675" i="16" s="1"/>
  <c r="A1676" i="16" s="1"/>
  <c r="A1677" i="16" s="1"/>
  <c r="A1678" i="16" s="1"/>
  <c r="A1679" i="16" s="1"/>
  <c r="A1680" i="16" s="1"/>
  <c r="A1681" i="16" s="1"/>
  <c r="A1682" i="16" s="1"/>
  <c r="A1683" i="16" s="1"/>
  <c r="A1684" i="16" s="1"/>
  <c r="A1685" i="16" s="1"/>
  <c r="A1686" i="16" s="1"/>
  <c r="A1687" i="16" s="1"/>
  <c r="A1688" i="16" s="1"/>
  <c r="A1689" i="16" s="1"/>
  <c r="A1690" i="16" s="1"/>
  <c r="A1691" i="16" s="1"/>
  <c r="A1692" i="16" s="1"/>
  <c r="A1693" i="16" s="1"/>
  <c r="A1694" i="16" s="1"/>
  <c r="A1695" i="16" s="1"/>
  <c r="A1696" i="16" s="1"/>
  <c r="A1697" i="16" s="1"/>
  <c r="A1698" i="16" s="1"/>
  <c r="A1699" i="16" s="1"/>
  <c r="A1700" i="16" s="1"/>
  <c r="A1701" i="16" s="1"/>
  <c r="A1702" i="16" s="1"/>
  <c r="A1703" i="16" s="1"/>
  <c r="A1704" i="16" s="1"/>
  <c r="A1705" i="16" s="1"/>
  <c r="A1706" i="16" s="1"/>
  <c r="A1707" i="16" s="1"/>
  <c r="A1708" i="16" s="1"/>
  <c r="A1709" i="16" s="1"/>
  <c r="A1710" i="16" s="1"/>
  <c r="A1711" i="16" s="1"/>
  <c r="A1712" i="16" s="1"/>
  <c r="A1713" i="16" s="1"/>
  <c r="A1714" i="16" s="1"/>
  <c r="A1715" i="16" s="1"/>
  <c r="A1716" i="16" s="1"/>
  <c r="A1717" i="16" s="1"/>
  <c r="A1718" i="16" s="1"/>
  <c r="A1719" i="16" s="1"/>
  <c r="A1720" i="16" s="1"/>
  <c r="A1721" i="16" s="1"/>
  <c r="A1722" i="16" s="1"/>
  <c r="A1723" i="16" s="1"/>
  <c r="A1724" i="16" s="1"/>
  <c r="A1725" i="16" s="1"/>
  <c r="A1726" i="16" s="1"/>
  <c r="A1727" i="16" s="1"/>
  <c r="A1728" i="16" s="1"/>
  <c r="A1729" i="16" s="1"/>
  <c r="A1730" i="16" s="1"/>
  <c r="A1731" i="16" s="1"/>
  <c r="A1732" i="16" s="1"/>
  <c r="A1733" i="16" s="1"/>
  <c r="A1734" i="16" s="1"/>
  <c r="A1735" i="16" s="1"/>
  <c r="A1736" i="16" s="1"/>
  <c r="A1737" i="16" s="1"/>
  <c r="A1738" i="16" s="1"/>
  <c r="A1739" i="16" s="1"/>
  <c r="A1740" i="16" s="1"/>
  <c r="A1741" i="16" s="1"/>
  <c r="A1742" i="16" s="1"/>
  <c r="A1743" i="16" s="1"/>
  <c r="A1744" i="16" s="1"/>
  <c r="A1745" i="16" s="1"/>
  <c r="A1746" i="16" s="1"/>
  <c r="A1747" i="16" s="1"/>
  <c r="A1748" i="16" s="1"/>
  <c r="A1749" i="16" s="1"/>
  <c r="A1750" i="16" s="1"/>
  <c r="A1751" i="16" s="1"/>
  <c r="A1752" i="16" s="1"/>
  <c r="A1753" i="16" s="1"/>
  <c r="A1754" i="16" s="1"/>
  <c r="A1755" i="16" s="1"/>
  <c r="A1756" i="16" s="1"/>
  <c r="A1757" i="16" s="1"/>
  <c r="A1758" i="16" s="1"/>
  <c r="A1759" i="16" s="1"/>
  <c r="A1760" i="16" s="1"/>
  <c r="A1761" i="16" s="1"/>
  <c r="A1762" i="16" s="1"/>
  <c r="A1763" i="16" s="1"/>
  <c r="A1764" i="16" s="1"/>
  <c r="A1765" i="16" s="1"/>
  <c r="A1766" i="16" s="1"/>
  <c r="A1767" i="16" s="1"/>
  <c r="A1768" i="16" s="1"/>
  <c r="A1769" i="16" s="1"/>
  <c r="A1770" i="16" s="1"/>
  <c r="A1771" i="16" s="1"/>
  <c r="A1772" i="16" s="1"/>
  <c r="A1773" i="16" s="1"/>
  <c r="A1774" i="16" s="1"/>
  <c r="A1775" i="16" s="1"/>
  <c r="A1776" i="16" s="1"/>
  <c r="A1777" i="16" s="1"/>
  <c r="A1778" i="16" s="1"/>
  <c r="A1779" i="16" s="1"/>
  <c r="A1780" i="16" s="1"/>
  <c r="A1781" i="16" s="1"/>
  <c r="A1782" i="16" s="1"/>
  <c r="A1783" i="16" s="1"/>
  <c r="A1784" i="16" s="1"/>
  <c r="A1785" i="16" s="1"/>
  <c r="A1786" i="16" s="1"/>
  <c r="A1787" i="16" s="1"/>
  <c r="A1788" i="16" s="1"/>
  <c r="A1789" i="16" s="1"/>
  <c r="A1790" i="16" s="1"/>
  <c r="A1791" i="16" s="1"/>
  <c r="A1792" i="16" s="1"/>
  <c r="A1793" i="16" s="1"/>
  <c r="A1794" i="16" s="1"/>
  <c r="A1795" i="16" s="1"/>
  <c r="A1796" i="16" s="1"/>
  <c r="A1797" i="16" s="1"/>
  <c r="A1798" i="16" s="1"/>
  <c r="A1799" i="16" s="1"/>
  <c r="A1800" i="16" s="1"/>
  <c r="A1801" i="16" s="1"/>
  <c r="A1802" i="16" s="1"/>
  <c r="A1803" i="16" s="1"/>
  <c r="A1804" i="16" s="1"/>
  <c r="A1805" i="16" s="1"/>
  <c r="A1806" i="16" s="1"/>
  <c r="A1807" i="16" s="1"/>
  <c r="A1808" i="16" s="1"/>
  <c r="A1809" i="16" s="1"/>
  <c r="A1810" i="16" s="1"/>
  <c r="A1811" i="16" s="1"/>
  <c r="A1812" i="16" s="1"/>
  <c r="A1813" i="16" s="1"/>
  <c r="A1814" i="16" s="1"/>
  <c r="A1815" i="16" s="1"/>
  <c r="A1816" i="16" s="1"/>
  <c r="A1817" i="16" s="1"/>
  <c r="A1818" i="16" s="1"/>
  <c r="A1819" i="16" s="1"/>
  <c r="A1820" i="16" s="1"/>
  <c r="A1821" i="16" s="1"/>
  <c r="A1822" i="16" s="1"/>
  <c r="A1823" i="16" s="1"/>
  <c r="A1824" i="16" s="1"/>
  <c r="A1825" i="16" s="1"/>
  <c r="A1826" i="16" s="1"/>
  <c r="A1827" i="16" s="1"/>
  <c r="A1828" i="16" s="1"/>
  <c r="A1829" i="16" s="1"/>
  <c r="A1830" i="16" s="1"/>
  <c r="A1831" i="16" s="1"/>
  <c r="A1832" i="16" s="1"/>
  <c r="A1833" i="16" s="1"/>
  <c r="A1834" i="16" s="1"/>
  <c r="A1835" i="16" s="1"/>
  <c r="A1836" i="16" s="1"/>
  <c r="A1837" i="16" s="1"/>
  <c r="A1838" i="16" s="1"/>
  <c r="A1839" i="16" s="1"/>
  <c r="A1840" i="16" s="1"/>
  <c r="A1841" i="16" s="1"/>
  <c r="A1842" i="16" s="1"/>
  <c r="A1843" i="16" s="1"/>
  <c r="A1844" i="16" s="1"/>
  <c r="A1845" i="16" s="1"/>
  <c r="A1846" i="16" s="1"/>
  <c r="A1847" i="16" s="1"/>
  <c r="A1848" i="16" s="1"/>
  <c r="A1849" i="16" s="1"/>
  <c r="A1850" i="16" s="1"/>
  <c r="A1851" i="16" s="1"/>
  <c r="A1852" i="16" s="1"/>
  <c r="A1853" i="16" s="1"/>
  <c r="A1854" i="16" s="1"/>
  <c r="A1855" i="16" s="1"/>
  <c r="A1856" i="16" s="1"/>
  <c r="A1857" i="16" s="1"/>
  <c r="A1858" i="16" s="1"/>
  <c r="A1859" i="16" s="1"/>
  <c r="A1860" i="16" s="1"/>
  <c r="A1861" i="16" s="1"/>
  <c r="A1862" i="16" s="1"/>
  <c r="A1863" i="16" s="1"/>
  <c r="A1864" i="16" s="1"/>
  <c r="A1865" i="16" s="1"/>
  <c r="A1866" i="16" s="1"/>
  <c r="A1867" i="16" s="1"/>
  <c r="A1868" i="16" s="1"/>
  <c r="A1869" i="16" s="1"/>
  <c r="A1870" i="16" s="1"/>
  <c r="A1871" i="16" s="1"/>
  <c r="A1872" i="16" s="1"/>
  <c r="A1873" i="16" s="1"/>
  <c r="A1874" i="16" s="1"/>
  <c r="A1875" i="16" s="1"/>
  <c r="A1876" i="16" s="1"/>
  <c r="A1877" i="16" s="1"/>
  <c r="A1878" i="16" s="1"/>
  <c r="A1879" i="16" s="1"/>
  <c r="A1880" i="16" s="1"/>
  <c r="A1881" i="16" s="1"/>
  <c r="A1882" i="16" s="1"/>
  <c r="A1883" i="16" s="1"/>
  <c r="A1884" i="16" s="1"/>
  <c r="A1885" i="16" s="1"/>
  <c r="A1886" i="16" s="1"/>
  <c r="A1887" i="16" s="1"/>
  <c r="A1888" i="16" s="1"/>
  <c r="A1889" i="16" s="1"/>
  <c r="A1890" i="16" s="1"/>
  <c r="A1891" i="16" s="1"/>
  <c r="A1892" i="16" s="1"/>
  <c r="A1893" i="16" s="1"/>
  <c r="A1894" i="16" s="1"/>
  <c r="A1895" i="16" s="1"/>
  <c r="A1896" i="16" s="1"/>
  <c r="A1897" i="16" s="1"/>
  <c r="A1898" i="16" s="1"/>
  <c r="A1899" i="16" s="1"/>
  <c r="A1900" i="16" s="1"/>
  <c r="A1901" i="16" s="1"/>
  <c r="A1902" i="16" s="1"/>
  <c r="A1903" i="16" s="1"/>
  <c r="A1904" i="16" s="1"/>
  <c r="A1905" i="16" s="1"/>
  <c r="A1906" i="16" s="1"/>
  <c r="A1907" i="16" s="1"/>
  <c r="A1908" i="16" s="1"/>
  <c r="A1909" i="16" s="1"/>
  <c r="A1910" i="16" s="1"/>
  <c r="A1911" i="16" s="1"/>
  <c r="A1912" i="16" s="1"/>
  <c r="A1913" i="16" s="1"/>
  <c r="A1914" i="16" s="1"/>
  <c r="A1915" i="16" s="1"/>
  <c r="A1916" i="16" s="1"/>
  <c r="A1917" i="16" s="1"/>
  <c r="A1918" i="16" s="1"/>
  <c r="A1919" i="16" s="1"/>
  <c r="A1920" i="16" s="1"/>
  <c r="A1921" i="16" s="1"/>
  <c r="A1922" i="16" s="1"/>
  <c r="A1923" i="16" s="1"/>
  <c r="A1924" i="16" s="1"/>
  <c r="A1925" i="16" s="1"/>
  <c r="A1926" i="16" s="1"/>
  <c r="A1927" i="16" s="1"/>
  <c r="A1928" i="16" s="1"/>
  <c r="A1929" i="16" s="1"/>
  <c r="A1930" i="16" s="1"/>
  <c r="A1931" i="16" s="1"/>
  <c r="A1932" i="16" s="1"/>
  <c r="A1933" i="16" s="1"/>
  <c r="A1934" i="16" s="1"/>
  <c r="A1935" i="16" s="1"/>
  <c r="A1936" i="16" s="1"/>
  <c r="A1937" i="16" s="1"/>
  <c r="A1938" i="16" s="1"/>
  <c r="A1939" i="16" s="1"/>
  <c r="A1940" i="16" s="1"/>
  <c r="A1941" i="16" s="1"/>
  <c r="A1942" i="16" s="1"/>
  <c r="A1943" i="16" s="1"/>
  <c r="A1944" i="16" s="1"/>
  <c r="A1945" i="16" s="1"/>
  <c r="A1946" i="16" s="1"/>
  <c r="A1947" i="16" s="1"/>
  <c r="A1948" i="16" s="1"/>
  <c r="A1949" i="16" s="1"/>
  <c r="A1950" i="16" s="1"/>
  <c r="A1951" i="16" s="1"/>
  <c r="A1952" i="16" s="1"/>
  <c r="A1953" i="16" s="1"/>
  <c r="A1954" i="16" s="1"/>
  <c r="A1955" i="16" s="1"/>
  <c r="A1956" i="16" s="1"/>
  <c r="A1957" i="16" s="1"/>
  <c r="A1958" i="16" s="1"/>
  <c r="A1959" i="16" s="1"/>
  <c r="A1960" i="16" s="1"/>
  <c r="A1961" i="16" s="1"/>
  <c r="A1962" i="16" s="1"/>
  <c r="A1963" i="16" s="1"/>
  <c r="A1964" i="16" s="1"/>
  <c r="A1965" i="16" s="1"/>
  <c r="A1966" i="16" s="1"/>
  <c r="A1967" i="16" s="1"/>
  <c r="A1968" i="16" s="1"/>
  <c r="A1969" i="16" s="1"/>
  <c r="A1970" i="16" s="1"/>
  <c r="A1971" i="16" s="1"/>
  <c r="A1972" i="16" s="1"/>
  <c r="A1973" i="16" s="1"/>
  <c r="A1974" i="16" s="1"/>
  <c r="A1975" i="16" s="1"/>
  <c r="A1976" i="16" s="1"/>
  <c r="A1977" i="16" s="1"/>
  <c r="A1978" i="16" s="1"/>
  <c r="A1979" i="16" s="1"/>
  <c r="A1980" i="16" s="1"/>
  <c r="A1981" i="16" s="1"/>
  <c r="A1982" i="16" s="1"/>
  <c r="A1983" i="16" s="1"/>
  <c r="A1984" i="16" s="1"/>
  <c r="A1985" i="16" s="1"/>
  <c r="A1986" i="16" s="1"/>
  <c r="A1987" i="16" s="1"/>
  <c r="A1988" i="16" s="1"/>
  <c r="A1989" i="16" s="1"/>
  <c r="A1990" i="16" s="1"/>
  <c r="A1991" i="16" s="1"/>
  <c r="A1992" i="16" s="1"/>
  <c r="A1993" i="16" s="1"/>
  <c r="A1994" i="16" s="1"/>
  <c r="A1995" i="16" s="1"/>
  <c r="A1996" i="16" s="1"/>
  <c r="A1997" i="16" s="1"/>
  <c r="A1998" i="16" s="1"/>
  <c r="A1999" i="16" s="1"/>
  <c r="A2000" i="16" s="1"/>
  <c r="A2001" i="16" s="1"/>
  <c r="A2002" i="16" s="1"/>
  <c r="A2003" i="16" s="1"/>
  <c r="A2004" i="16" s="1"/>
  <c r="A2005" i="16" s="1"/>
  <c r="A2006" i="16" s="1"/>
  <c r="A2007" i="16" s="1"/>
  <c r="A2008" i="16" s="1"/>
  <c r="A2009" i="16" s="1"/>
  <c r="A2010" i="16" s="1"/>
  <c r="A2011" i="16" s="1"/>
  <c r="A2012" i="16" s="1"/>
  <c r="A2013" i="16" s="1"/>
  <c r="A2014" i="16" s="1"/>
  <c r="A2015" i="16" s="1"/>
  <c r="A2016" i="16" s="1"/>
  <c r="A2017" i="16" s="1"/>
  <c r="A2018" i="16" s="1"/>
  <c r="A2019" i="16" s="1"/>
  <c r="A2020" i="16" s="1"/>
  <c r="A2021" i="16" s="1"/>
  <c r="A2022" i="16" s="1"/>
  <c r="A2023" i="16" s="1"/>
  <c r="A2024" i="16" s="1"/>
  <c r="A2025" i="16" s="1"/>
  <c r="A2026" i="16" s="1"/>
  <c r="A2027" i="16" s="1"/>
  <c r="A2028" i="16" s="1"/>
  <c r="A2029" i="16" s="1"/>
  <c r="A2030" i="16" s="1"/>
  <c r="A2031" i="16" s="1"/>
  <c r="A2032" i="16" s="1"/>
  <c r="A2033" i="16" s="1"/>
  <c r="A2034" i="16" s="1"/>
  <c r="A2035" i="16" s="1"/>
  <c r="A2036" i="16" s="1"/>
  <c r="A2037" i="16" s="1"/>
  <c r="A2038" i="16" s="1"/>
  <c r="A2039" i="16" s="1"/>
  <c r="A2040" i="16" s="1"/>
  <c r="A2041" i="16" s="1"/>
  <c r="A2042" i="16" s="1"/>
  <c r="A2043" i="16" s="1"/>
  <c r="A2044" i="16" s="1"/>
  <c r="A2045" i="16" s="1"/>
  <c r="A2046" i="16" s="1"/>
  <c r="A2047" i="16" s="1"/>
  <c r="A2048" i="16" s="1"/>
  <c r="A2049" i="16" s="1"/>
  <c r="A2050" i="16" s="1"/>
  <c r="A2051" i="16" s="1"/>
  <c r="A2052" i="16" s="1"/>
  <c r="A2053" i="16" s="1"/>
  <c r="A2054" i="16" s="1"/>
  <c r="A2055" i="16" s="1"/>
  <c r="A2056" i="16" s="1"/>
  <c r="A2057" i="16" s="1"/>
  <c r="A2058" i="16" s="1"/>
  <c r="A2059" i="16" s="1"/>
  <c r="A2060" i="16" s="1"/>
  <c r="A2061" i="16" s="1"/>
  <c r="A2062" i="16" s="1"/>
  <c r="A2063" i="16" s="1"/>
  <c r="A2064" i="16" s="1"/>
  <c r="A2065" i="16" s="1"/>
  <c r="A2066" i="16" s="1"/>
  <c r="A2067" i="16" s="1"/>
  <c r="A2068" i="16" s="1"/>
  <c r="A2069" i="16" s="1"/>
  <c r="A2070" i="16" s="1"/>
  <c r="A2071" i="16" s="1"/>
  <c r="A2072" i="16" s="1"/>
  <c r="A2073" i="16" s="1"/>
  <c r="A2074" i="16" s="1"/>
  <c r="A2075" i="16" s="1"/>
  <c r="A107" i="15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5" i="15" s="1"/>
  <c r="A146" i="15" s="1"/>
  <c r="A147" i="15" s="1"/>
  <c r="A148" i="15" s="1"/>
  <c r="A149" i="15" s="1"/>
  <c r="A150" i="15" s="1"/>
  <c r="A151" i="15" s="1"/>
  <c r="A152" i="15" s="1"/>
  <c r="A153" i="15" s="1"/>
  <c r="A154" i="15" s="1"/>
  <c r="A155" i="15" s="1"/>
  <c r="A156" i="15" s="1"/>
  <c r="A157" i="15" s="1"/>
  <c r="A158" i="15" s="1"/>
  <c r="A159" i="15" s="1"/>
  <c r="A160" i="15" s="1"/>
  <c r="A161" i="15" s="1"/>
  <c r="A162" i="15" s="1"/>
  <c r="A163" i="15" s="1"/>
  <c r="A164" i="15" s="1"/>
  <c r="A165" i="15" s="1"/>
  <c r="A166" i="15" s="1"/>
  <c r="A167" i="15" s="1"/>
  <c r="A168" i="15" s="1"/>
  <c r="A169" i="15" s="1"/>
  <c r="A170" i="15" s="1"/>
  <c r="A171" i="15" s="1"/>
  <c r="A172" i="15" s="1"/>
  <c r="A173" i="15" s="1"/>
  <c r="A174" i="15" s="1"/>
  <c r="A175" i="15" s="1"/>
  <c r="A176" i="15" s="1"/>
  <c r="A177" i="15" s="1"/>
  <c r="A178" i="15" s="1"/>
  <c r="A179" i="15" s="1"/>
  <c r="A180" i="15" s="1"/>
  <c r="A181" i="15" s="1"/>
  <c r="A182" i="15" s="1"/>
  <c r="A183" i="15" s="1"/>
  <c r="A184" i="15" s="1"/>
  <c r="A185" i="15" s="1"/>
  <c r="A186" i="15" s="1"/>
  <c r="A187" i="15" s="1"/>
  <c r="A188" i="15" s="1"/>
  <c r="A189" i="15" s="1"/>
  <c r="A190" i="15" s="1"/>
  <c r="A191" i="15" s="1"/>
  <c r="A192" i="15" s="1"/>
  <c r="A193" i="15" s="1"/>
  <c r="A194" i="15" s="1"/>
  <c r="A195" i="15" s="1"/>
  <c r="A196" i="15" s="1"/>
  <c r="A197" i="15" s="1"/>
  <c r="A198" i="15" s="1"/>
  <c r="A199" i="15" s="1"/>
  <c r="A200" i="15" s="1"/>
  <c r="A201" i="15" s="1"/>
  <c r="A202" i="15" s="1"/>
  <c r="A203" i="15" s="1"/>
  <c r="A204" i="15" s="1"/>
  <c r="A205" i="15" s="1"/>
  <c r="A105" i="15"/>
  <c r="A106" i="15" s="1"/>
  <c r="A318" i="14"/>
  <c r="A319" i="14" s="1"/>
  <c r="A320" i="14" s="1"/>
  <c r="A321" i="14" s="1"/>
  <c r="A322" i="14" s="1"/>
  <c r="A323" i="14" s="1"/>
  <c r="A324" i="14" s="1"/>
  <c r="A325" i="14" s="1"/>
  <c r="A326" i="14" s="1"/>
  <c r="A327" i="14" s="1"/>
  <c r="A328" i="14" s="1"/>
  <c r="A329" i="14" s="1"/>
  <c r="A330" i="14" s="1"/>
  <c r="A331" i="14" s="1"/>
  <c r="A332" i="14" s="1"/>
  <c r="A333" i="14" s="1"/>
  <c r="A334" i="14" s="1"/>
  <c r="A335" i="14" s="1"/>
  <c r="A336" i="14" l="1"/>
  <c r="A337" i="14" s="1"/>
  <c r="A338" i="14" s="1"/>
  <c r="A339" i="14" s="1"/>
  <c r="A340" i="14" s="1"/>
  <c r="A341" i="14" s="1"/>
  <c r="A342" i="14" s="1"/>
  <c r="A343" i="14" s="1"/>
  <c r="A344" i="14" s="1"/>
  <c r="A345" i="14" s="1"/>
  <c r="A346" i="14" s="1"/>
  <c r="A347" i="14" s="1"/>
  <c r="A348" i="14" s="1"/>
  <c r="A349" i="14" s="1"/>
  <c r="A350" i="14" s="1"/>
  <c r="A351" i="14" s="1"/>
  <c r="A352" i="14" s="1"/>
  <c r="A353" i="14" s="1"/>
  <c r="A354" i="14" s="1"/>
  <c r="A355" i="14" s="1"/>
  <c r="A356" i="14" s="1"/>
  <c r="A357" i="14" s="1"/>
  <c r="A358" i="14" s="1"/>
  <c r="A359" i="14" s="1"/>
  <c r="A360" i="14" s="1"/>
  <c r="A361" i="14" s="1"/>
  <c r="A362" i="14" s="1"/>
  <c r="A363" i="14" s="1"/>
  <c r="A364" i="14" s="1"/>
  <c r="A365" i="14" s="1"/>
  <c r="A366" i="14" s="1"/>
  <c r="A367" i="14" s="1"/>
  <c r="A368" i="14" s="1"/>
  <c r="A369" i="14" s="1"/>
  <c r="A370" i="14" s="1"/>
  <c r="A371" i="14" s="1"/>
  <c r="A372" i="14" s="1"/>
  <c r="A373" i="14" s="1"/>
  <c r="A374" i="14" s="1"/>
  <c r="A375" i="14" s="1"/>
  <c r="A376" i="14" s="1"/>
  <c r="A377" i="14" s="1"/>
  <c r="A378" i="14" s="1"/>
  <c r="A379" i="14" s="1"/>
  <c r="A380" i="14" s="1"/>
  <c r="A381" i="14" s="1"/>
  <c r="A382" i="14" s="1"/>
  <c r="A383" i="14" s="1"/>
  <c r="A384" i="14" s="1"/>
  <c r="A385" i="14" s="1"/>
  <c r="A386" i="14" s="1"/>
  <c r="A387" i="14" s="1"/>
  <c r="A388" i="14" s="1"/>
  <c r="A389" i="14" s="1"/>
  <c r="A390" i="14" s="1"/>
  <c r="A391" i="14" s="1"/>
  <c r="A392" i="14" s="1"/>
  <c r="A393" i="14" s="1"/>
  <c r="A394" i="14" s="1"/>
  <c r="A395" i="14" s="1"/>
  <c r="A396" i="14" s="1"/>
  <c r="A397" i="14" s="1"/>
  <c r="A398" i="14" s="1"/>
  <c r="A399" i="14" s="1"/>
  <c r="A400" i="14" s="1"/>
  <c r="A401" i="14" s="1"/>
  <c r="A402" i="14" s="1"/>
  <c r="A403" i="14" s="1"/>
  <c r="A404" i="14" s="1"/>
  <c r="A405" i="14" s="1"/>
  <c r="A406" i="14" s="1"/>
  <c r="A407" i="14" s="1"/>
  <c r="A408" i="14" s="1"/>
  <c r="A409" i="14" s="1"/>
  <c r="A410" i="14" s="1"/>
  <c r="A411" i="14" s="1"/>
  <c r="A412" i="14" s="1"/>
  <c r="A413" i="14" s="1"/>
  <c r="A414" i="14" s="1"/>
  <c r="A415" i="14" s="1"/>
  <c r="A416" i="14" s="1"/>
  <c r="A417" i="14" s="1"/>
  <c r="A418" i="14" s="1"/>
  <c r="A419" i="14" s="1"/>
  <c r="A420" i="14" s="1"/>
  <c r="A421" i="14" s="1"/>
  <c r="A422" i="14" s="1"/>
  <c r="A423" i="14" s="1"/>
  <c r="A424" i="14" s="1"/>
  <c r="A425" i="14" s="1"/>
  <c r="A426" i="14" s="1"/>
  <c r="A427" i="14" s="1"/>
  <c r="A428" i="14" s="1"/>
  <c r="A429" i="14" s="1"/>
  <c r="A430" i="14" s="1"/>
  <c r="A431" i="14" s="1"/>
  <c r="A432" i="14" s="1"/>
  <c r="A433" i="14" s="1"/>
  <c r="A434" i="14" s="1"/>
  <c r="A435" i="14" s="1"/>
  <c r="A436" i="14" s="1"/>
  <c r="A437" i="14" s="1"/>
  <c r="A438" i="14" s="1"/>
  <c r="A439" i="14" s="1"/>
  <c r="A440" i="14" s="1"/>
  <c r="A441" i="14" s="1"/>
  <c r="A442" i="14" s="1"/>
  <c r="A443" i="14" s="1"/>
  <c r="A444" i="14" s="1"/>
  <c r="A445" i="14" s="1"/>
  <c r="A446" i="14" s="1"/>
  <c r="A447" i="14" s="1"/>
  <c r="A448" i="14" s="1"/>
  <c r="A449" i="14" s="1"/>
  <c r="A450" i="14" s="1"/>
  <c r="A451" i="14" s="1"/>
  <c r="A452" i="14" s="1"/>
  <c r="A453" i="14" s="1"/>
  <c r="A454" i="14" s="1"/>
  <c r="A455" i="14" s="1"/>
  <c r="A456" i="14" s="1"/>
  <c r="A457" i="14" s="1"/>
  <c r="A458" i="14" s="1"/>
  <c r="A459" i="14" s="1"/>
  <c r="A460" i="14" s="1"/>
  <c r="A461" i="14" s="1"/>
  <c r="A462" i="14" s="1"/>
  <c r="A463" i="14" s="1"/>
  <c r="A464" i="14" s="1"/>
  <c r="A465" i="14" s="1"/>
  <c r="A466" i="14" s="1"/>
  <c r="A467" i="14" s="1"/>
  <c r="A468" i="14" s="1"/>
  <c r="A469" i="14" s="1"/>
  <c r="A470" i="14" s="1"/>
  <c r="A471" i="14" s="1"/>
  <c r="A472" i="14" s="1"/>
  <c r="A473" i="14" s="1"/>
  <c r="A474" i="14" s="1"/>
  <c r="A475" i="14" s="1"/>
  <c r="A476" i="14" s="1"/>
  <c r="A477" i="14" s="1"/>
  <c r="A478" i="14" s="1"/>
  <c r="A479" i="14" s="1"/>
  <c r="A480" i="14" s="1"/>
  <c r="A481" i="14" s="1"/>
  <c r="A482" i="14" s="1"/>
  <c r="A483" i="14" s="1"/>
  <c r="A484" i="14" s="1"/>
  <c r="A485" i="14" s="1"/>
  <c r="A486" i="14" s="1"/>
  <c r="A487" i="14" s="1"/>
  <c r="A488" i="14" s="1"/>
  <c r="A489" i="14" s="1"/>
  <c r="A490" i="14" s="1"/>
  <c r="A491" i="14" s="1"/>
  <c r="A492" i="14" s="1"/>
  <c r="A493" i="14" s="1"/>
  <c r="A494" i="14" s="1"/>
  <c r="A495" i="14" s="1"/>
  <c r="A496" i="14" s="1"/>
  <c r="A497" i="14" s="1"/>
  <c r="A498" i="14" s="1"/>
  <c r="A499" i="14" s="1"/>
  <c r="A500" i="14" s="1"/>
  <c r="A501" i="14" s="1"/>
  <c r="A502" i="14" s="1"/>
  <c r="A503" i="14" s="1"/>
  <c r="A504" i="14" s="1"/>
  <c r="A505" i="14" s="1"/>
  <c r="A506" i="14" s="1"/>
  <c r="A507" i="14" s="1"/>
  <c r="A508" i="14" s="1"/>
  <c r="A509" i="14" s="1"/>
  <c r="A510" i="14" s="1"/>
  <c r="A511" i="14" s="1"/>
  <c r="A512" i="14" s="1"/>
  <c r="A513" i="14" s="1"/>
  <c r="A514" i="14" s="1"/>
  <c r="A515" i="14" s="1"/>
  <c r="A516" i="14" s="1"/>
  <c r="A517" i="14" s="1"/>
  <c r="A518" i="14" s="1"/>
  <c r="A519" i="14" s="1"/>
  <c r="A520" i="14" s="1"/>
  <c r="A521" i="14" s="1"/>
  <c r="A522" i="14" s="1"/>
  <c r="A523" i="14" s="1"/>
  <c r="A524" i="14" s="1"/>
  <c r="A525" i="14" s="1"/>
  <c r="A526" i="14" s="1"/>
  <c r="A527" i="14" s="1"/>
  <c r="A528" i="14" s="1"/>
  <c r="A529" i="14" s="1"/>
  <c r="A530" i="14" s="1"/>
  <c r="A531" i="14" s="1"/>
  <c r="A532" i="14" s="1"/>
  <c r="A533" i="14" s="1"/>
  <c r="A534" i="14" s="1"/>
  <c r="A535" i="14" s="1"/>
  <c r="A536" i="14" s="1"/>
  <c r="A537" i="14" s="1"/>
  <c r="A538" i="14" s="1"/>
  <c r="A539" i="14" s="1"/>
  <c r="A540" i="14" s="1"/>
  <c r="A541" i="14" s="1"/>
  <c r="A542" i="14" s="1"/>
  <c r="A543" i="14" s="1"/>
  <c r="A544" i="14" s="1"/>
  <c r="A545" i="14" s="1"/>
  <c r="A546" i="14" s="1"/>
  <c r="A547" i="14" s="1"/>
  <c r="A548" i="14" s="1"/>
  <c r="A549" i="14" s="1"/>
  <c r="A550" i="14" s="1"/>
  <c r="A551" i="14" s="1"/>
  <c r="A552" i="14" s="1"/>
  <c r="A553" i="14" s="1"/>
  <c r="A554" i="14" s="1"/>
  <c r="A555" i="14" s="1"/>
  <c r="A556" i="14" s="1"/>
  <c r="A557" i="14" s="1"/>
  <c r="A558" i="14" s="1"/>
  <c r="A559" i="14" s="1"/>
  <c r="A560" i="14" s="1"/>
  <c r="A561" i="14" s="1"/>
  <c r="A562" i="14" s="1"/>
  <c r="A563" i="14" s="1"/>
  <c r="A564" i="14" s="1"/>
  <c r="A565" i="14" s="1"/>
  <c r="A566" i="14" s="1"/>
  <c r="A567" i="14" s="1"/>
  <c r="A568" i="14" s="1"/>
  <c r="A569" i="14" s="1"/>
  <c r="A570" i="14" s="1"/>
  <c r="A571" i="14" s="1"/>
  <c r="A572" i="14" s="1"/>
  <c r="A573" i="14" s="1"/>
  <c r="A574" i="14" s="1"/>
  <c r="A575" i="14" s="1"/>
  <c r="A576" i="14" s="1"/>
  <c r="A577" i="14" s="1"/>
  <c r="A578" i="14" s="1"/>
  <c r="A579" i="14" s="1"/>
  <c r="A580" i="14" s="1"/>
  <c r="A581" i="14" s="1"/>
  <c r="A582" i="14" s="1"/>
  <c r="A583" i="14" s="1"/>
  <c r="A584" i="14" s="1"/>
  <c r="A585" i="14" s="1"/>
  <c r="A586" i="14" s="1"/>
  <c r="A587" i="14" s="1"/>
  <c r="A588" i="14" s="1"/>
  <c r="A589" i="14" s="1"/>
  <c r="A590" i="14" s="1"/>
  <c r="A591" i="14" s="1"/>
  <c r="A592" i="14" s="1"/>
  <c r="A593" i="14" s="1"/>
  <c r="A594" i="14" s="1"/>
  <c r="A595" i="14" s="1"/>
  <c r="A596" i="14" s="1"/>
  <c r="A597" i="14" s="1"/>
  <c r="A598" i="14" s="1"/>
  <c r="A599" i="14" s="1"/>
  <c r="A600" i="14" s="1"/>
  <c r="A601" i="14" s="1"/>
  <c r="A602" i="14" s="1"/>
  <c r="A603" i="14" s="1"/>
  <c r="A604" i="14" s="1"/>
  <c r="A605" i="14" s="1"/>
  <c r="A606" i="14" s="1"/>
  <c r="A607" i="14" s="1"/>
  <c r="A608" i="14" s="1"/>
  <c r="A609" i="14" s="1"/>
  <c r="A610" i="14" s="1"/>
  <c r="A611" i="14" s="1"/>
  <c r="A612" i="14" s="1"/>
  <c r="A613" i="14" s="1"/>
  <c r="A614" i="14" s="1"/>
  <c r="A615" i="14" s="1"/>
  <c r="A616" i="14" s="1"/>
  <c r="A617" i="14" s="1"/>
  <c r="A618" i="14" s="1"/>
  <c r="A619" i="14" s="1"/>
  <c r="A620" i="14" s="1"/>
  <c r="A621" i="14" s="1"/>
  <c r="A622" i="14" s="1"/>
  <c r="A623" i="14" s="1"/>
  <c r="A624" i="14" s="1"/>
  <c r="A625" i="14" s="1"/>
  <c r="A626" i="14" s="1"/>
  <c r="A627" i="14" s="1"/>
  <c r="A628" i="14" s="1"/>
  <c r="A629" i="14" s="1"/>
  <c r="A630" i="14" s="1"/>
  <c r="A631" i="14" s="1"/>
  <c r="A632" i="14" s="1"/>
  <c r="A633" i="14" s="1"/>
  <c r="A634" i="14" s="1"/>
  <c r="A635" i="14" s="1"/>
  <c r="A636" i="14" s="1"/>
  <c r="A637" i="14" s="1"/>
  <c r="A638" i="14" s="1"/>
  <c r="A639" i="14" s="1"/>
  <c r="A640" i="14" s="1"/>
  <c r="A641" i="14" s="1"/>
  <c r="A642" i="14" s="1"/>
  <c r="A643" i="14" s="1"/>
  <c r="A644" i="14" s="1"/>
  <c r="A645" i="14" s="1"/>
  <c r="A646" i="14" s="1"/>
  <c r="A647" i="14" s="1"/>
  <c r="A648" i="14" s="1"/>
  <c r="A649" i="14" s="1"/>
  <c r="A650" i="14" s="1"/>
  <c r="A651" i="14" s="1"/>
  <c r="A652" i="14" s="1"/>
  <c r="A653" i="14" s="1"/>
  <c r="A654" i="14" s="1"/>
  <c r="A655" i="14" s="1"/>
  <c r="A656" i="14" s="1"/>
  <c r="A657" i="14" s="1"/>
  <c r="A658" i="14" s="1"/>
  <c r="A659" i="14" s="1"/>
  <c r="A660" i="14" s="1"/>
  <c r="A661" i="14" s="1"/>
  <c r="A662" i="14" s="1"/>
  <c r="A663" i="14" s="1"/>
  <c r="A664" i="14" s="1"/>
  <c r="A665" i="14" s="1"/>
  <c r="A666" i="14" s="1"/>
  <c r="A667" i="14" s="1"/>
  <c r="A668" i="14" s="1"/>
  <c r="A669" i="14" s="1"/>
  <c r="A670" i="14" s="1"/>
  <c r="A671" i="14" s="1"/>
  <c r="A672" i="14" s="1"/>
  <c r="A673" i="14" s="1"/>
  <c r="A674" i="14" s="1"/>
  <c r="A675" i="14" s="1"/>
  <c r="A676" i="14" s="1"/>
  <c r="A677" i="14" s="1"/>
  <c r="A678" i="14" s="1"/>
  <c r="A679" i="14" s="1"/>
  <c r="A680" i="14" s="1"/>
  <c r="A681" i="14" s="1"/>
  <c r="A682" i="14" s="1"/>
  <c r="A683" i="14" s="1"/>
  <c r="A684" i="14" s="1"/>
  <c r="A685" i="14" s="1"/>
  <c r="A686" i="14" s="1"/>
  <c r="A687" i="14" s="1"/>
  <c r="A688" i="14" s="1"/>
  <c r="A689" i="14" s="1"/>
  <c r="A690" i="14" s="1"/>
  <c r="A691" i="14" s="1"/>
  <c r="A692" i="14" s="1"/>
  <c r="A693" i="14" s="1"/>
  <c r="A694" i="14" s="1"/>
  <c r="A695" i="14" s="1"/>
  <c r="A696" i="14" s="1"/>
  <c r="A697" i="14" s="1"/>
  <c r="A698" i="14" s="1"/>
  <c r="A699" i="14" s="1"/>
  <c r="A700" i="14" s="1"/>
  <c r="A701" i="14" s="1"/>
  <c r="A702" i="14" s="1"/>
  <c r="A703" i="14" s="1"/>
  <c r="A704" i="14" s="1"/>
  <c r="A705" i="14" s="1"/>
  <c r="A706" i="14" s="1"/>
  <c r="A707" i="14" s="1"/>
  <c r="A708" i="14" s="1"/>
  <c r="A709" i="14" s="1"/>
  <c r="A710" i="14" s="1"/>
  <c r="A711" i="14" s="1"/>
  <c r="A712" i="14" s="1"/>
  <c r="A713" i="14" s="1"/>
  <c r="A714" i="14" s="1"/>
  <c r="A715" i="14" s="1"/>
  <c r="A716" i="14" s="1"/>
  <c r="A717" i="14" s="1"/>
  <c r="A718" i="14" s="1"/>
  <c r="A719" i="14" s="1"/>
  <c r="A720" i="14" s="1"/>
  <c r="A721" i="14" s="1"/>
  <c r="A722" i="14" s="1"/>
  <c r="A723" i="14" s="1"/>
  <c r="A724" i="14" s="1"/>
  <c r="A725" i="14" s="1"/>
  <c r="A726" i="14" s="1"/>
  <c r="A727" i="14" s="1"/>
  <c r="A728" i="14" s="1"/>
  <c r="A729" i="14" s="1"/>
  <c r="A730" i="14" s="1"/>
  <c r="A731" i="14" s="1"/>
  <c r="A732" i="14" s="1"/>
  <c r="A733" i="14" s="1"/>
  <c r="A734" i="14" s="1"/>
  <c r="A735" i="14" s="1"/>
  <c r="A736" i="14" s="1"/>
  <c r="A737" i="14" s="1"/>
  <c r="A738" i="14" s="1"/>
  <c r="A739" i="14" s="1"/>
  <c r="A740" i="14" s="1"/>
  <c r="A741" i="14" s="1"/>
  <c r="A742" i="14" s="1"/>
  <c r="A743" i="14" s="1"/>
  <c r="A744" i="14" s="1"/>
  <c r="A745" i="14" s="1"/>
  <c r="A746" i="14" s="1"/>
  <c r="A747" i="14" s="1"/>
  <c r="A748" i="14" s="1"/>
  <c r="A749" i="14" s="1"/>
  <c r="A750" i="14" s="1"/>
  <c r="A751" i="14" s="1"/>
  <c r="A752" i="14" s="1"/>
  <c r="A753" i="14" s="1"/>
  <c r="A754" i="14" s="1"/>
  <c r="A755" i="14" s="1"/>
  <c r="A756" i="14" s="1"/>
  <c r="A757" i="14" s="1"/>
  <c r="A758" i="14" s="1"/>
  <c r="A759" i="14" s="1"/>
  <c r="A760" i="14" s="1"/>
  <c r="A761" i="14" s="1"/>
  <c r="A762" i="14" s="1"/>
  <c r="A763" i="14" s="1"/>
  <c r="A764" i="14" s="1"/>
  <c r="A765" i="14" s="1"/>
  <c r="A766" i="14" s="1"/>
  <c r="A767" i="14" s="1"/>
  <c r="A768" i="14" s="1"/>
  <c r="A769" i="14" s="1"/>
  <c r="A770" i="14" s="1"/>
  <c r="A771" i="14" s="1"/>
  <c r="A772" i="14" s="1"/>
  <c r="A773" i="14" s="1"/>
  <c r="A774" i="14" s="1"/>
  <c r="A775" i="14" s="1"/>
  <c r="A776" i="14" s="1"/>
  <c r="A777" i="14" s="1"/>
  <c r="A778" i="14" s="1"/>
  <c r="A779" i="14" s="1"/>
  <c r="A780" i="14" s="1"/>
  <c r="A781" i="14" s="1"/>
  <c r="A782" i="14" s="1"/>
  <c r="A783" i="14" s="1"/>
  <c r="A784" i="14" s="1"/>
  <c r="A785" i="14" s="1"/>
  <c r="A786" i="14" s="1"/>
  <c r="A787" i="14" s="1"/>
  <c r="A788" i="14" s="1"/>
  <c r="A789" i="14" s="1"/>
  <c r="A790" i="14" s="1"/>
  <c r="A791" i="14" s="1"/>
  <c r="A792" i="14" s="1"/>
  <c r="A793" i="14" s="1"/>
  <c r="A794" i="14" s="1"/>
  <c r="A795" i="14" s="1"/>
  <c r="A796" i="14" s="1"/>
  <c r="A797" i="14" s="1"/>
  <c r="A798" i="14" s="1"/>
  <c r="A799" i="14" s="1"/>
  <c r="A800" i="14" s="1"/>
  <c r="A801" i="14" s="1"/>
  <c r="A802" i="14" s="1"/>
  <c r="A803" i="14" s="1"/>
  <c r="A804" i="14" s="1"/>
  <c r="A805" i="14" s="1"/>
  <c r="A806" i="14" s="1"/>
  <c r="A807" i="14" s="1"/>
  <c r="A808" i="14" s="1"/>
  <c r="A809" i="14" s="1"/>
  <c r="A810" i="14" s="1"/>
  <c r="A811" i="14" s="1"/>
  <c r="A812" i="14" s="1"/>
  <c r="A813" i="14" s="1"/>
  <c r="A814" i="14" s="1"/>
  <c r="A815" i="14" s="1"/>
  <c r="A816" i="14" s="1"/>
  <c r="A817" i="14" s="1"/>
  <c r="A818" i="14" s="1"/>
  <c r="A819" i="14" s="1"/>
  <c r="A820" i="14" s="1"/>
  <c r="A821" i="14" s="1"/>
  <c r="A822" i="14" s="1"/>
  <c r="A823" i="14" s="1"/>
  <c r="A824" i="14" s="1"/>
  <c r="A825" i="14" s="1"/>
  <c r="A826" i="14" s="1"/>
  <c r="A827" i="14" s="1"/>
  <c r="A828" i="14" s="1"/>
  <c r="A829" i="14" s="1"/>
  <c r="A830" i="14" s="1"/>
  <c r="A831" i="14" s="1"/>
  <c r="A832" i="14" s="1"/>
  <c r="A833" i="14" s="1"/>
  <c r="A834" i="14" s="1"/>
  <c r="A835" i="14" s="1"/>
  <c r="A836" i="14" s="1"/>
  <c r="A837" i="14" s="1"/>
  <c r="A838" i="14" s="1"/>
  <c r="A839" i="14" s="1"/>
  <c r="A840" i="14" s="1"/>
  <c r="A841" i="14" s="1"/>
  <c r="A842" i="14" s="1"/>
  <c r="A843" i="14" s="1"/>
  <c r="A844" i="14" s="1"/>
  <c r="A845" i="14" s="1"/>
  <c r="A846" i="14" s="1"/>
  <c r="A847" i="14" s="1"/>
  <c r="A848" i="14" s="1"/>
  <c r="A849" i="14" s="1"/>
  <c r="A850" i="14" s="1"/>
  <c r="A851" i="14" s="1"/>
  <c r="A852" i="14" s="1"/>
  <c r="A853" i="14" s="1"/>
  <c r="A854" i="14" s="1"/>
  <c r="A855" i="14" s="1"/>
  <c r="A856" i="14" s="1"/>
  <c r="A857" i="14" s="1"/>
  <c r="A858" i="14" s="1"/>
  <c r="A859" i="14" s="1"/>
  <c r="A860" i="14" s="1"/>
  <c r="A861" i="14" s="1"/>
  <c r="A862" i="14" s="1"/>
  <c r="A863" i="14" s="1"/>
  <c r="A864" i="14" s="1"/>
  <c r="A865" i="14" s="1"/>
  <c r="A866" i="14" s="1"/>
  <c r="A867" i="14" s="1"/>
  <c r="A868" i="14" s="1"/>
  <c r="A869" i="14" s="1"/>
  <c r="A870" i="14" s="1"/>
  <c r="A871" i="14" s="1"/>
  <c r="A872" i="14" s="1"/>
  <c r="A873" i="14" s="1"/>
  <c r="A874" i="14" s="1"/>
  <c r="A875" i="14" s="1"/>
  <c r="A876" i="14" s="1"/>
  <c r="A877" i="14" s="1"/>
  <c r="A878" i="14" s="1"/>
  <c r="A879" i="14" s="1"/>
  <c r="A880" i="14" s="1"/>
  <c r="A881" i="14" s="1"/>
  <c r="A882" i="14" s="1"/>
  <c r="A883" i="14" s="1"/>
  <c r="A884" i="14" s="1"/>
  <c r="A885" i="14" s="1"/>
  <c r="A886" i="14" s="1"/>
  <c r="A887" i="14" s="1"/>
  <c r="A888" i="14" s="1"/>
  <c r="A889" i="14" s="1"/>
  <c r="A890" i="14" s="1"/>
  <c r="A891" i="14" s="1"/>
  <c r="A892" i="14" s="1"/>
  <c r="A893" i="14" s="1"/>
  <c r="A894" i="14" s="1"/>
  <c r="A895" i="14" s="1"/>
  <c r="A896" i="14" s="1"/>
  <c r="A897" i="14" s="1"/>
  <c r="A898" i="14" s="1"/>
  <c r="A899" i="14" s="1"/>
  <c r="A900" i="14" s="1"/>
  <c r="A901" i="14" s="1"/>
  <c r="A902" i="14" s="1"/>
  <c r="A903" i="14" s="1"/>
  <c r="A904" i="14" s="1"/>
  <c r="A905" i="14" s="1"/>
  <c r="A906" i="14" s="1"/>
  <c r="A907" i="14" s="1"/>
  <c r="A908" i="14" s="1"/>
  <c r="A909" i="14" s="1"/>
  <c r="A910" i="14" s="1"/>
  <c r="A911" i="14" s="1"/>
  <c r="A912" i="14" s="1"/>
  <c r="A913" i="14" s="1"/>
  <c r="A914" i="14" s="1"/>
  <c r="A915" i="14" s="1"/>
  <c r="A916" i="14" s="1"/>
  <c r="A917" i="14" s="1"/>
  <c r="A918" i="14" s="1"/>
  <c r="A919" i="14" s="1"/>
  <c r="A920" i="14" s="1"/>
  <c r="A921" i="14" s="1"/>
  <c r="A922" i="14" s="1"/>
  <c r="A923" i="14" s="1"/>
  <c r="A924" i="14" s="1"/>
  <c r="A925" i="14" s="1"/>
  <c r="A926" i="14" s="1"/>
  <c r="A927" i="14" s="1"/>
  <c r="A928" i="14" s="1"/>
  <c r="A929" i="14" s="1"/>
  <c r="A930" i="14" s="1"/>
  <c r="A931" i="14" s="1"/>
  <c r="A932" i="14" s="1"/>
  <c r="A933" i="14" s="1"/>
  <c r="A934" i="14" s="1"/>
  <c r="A935" i="14" s="1"/>
  <c r="A936" i="14" s="1"/>
  <c r="A937" i="14" s="1"/>
  <c r="A938" i="14" s="1"/>
  <c r="A939" i="14" s="1"/>
  <c r="A940" i="14" s="1"/>
  <c r="A941" i="14" s="1"/>
  <c r="A942" i="14" s="1"/>
  <c r="A943" i="14" s="1"/>
  <c r="A944" i="14" s="1"/>
  <c r="A945" i="14" s="1"/>
  <c r="A946" i="14" s="1"/>
  <c r="A947" i="14" s="1"/>
  <c r="A948" i="14" s="1"/>
  <c r="A949" i="14" s="1"/>
  <c r="A950" i="14" s="1"/>
  <c r="A951" i="14" s="1"/>
  <c r="A952" i="14" s="1"/>
  <c r="A953" i="14" s="1"/>
  <c r="A954" i="14" s="1"/>
  <c r="A955" i="14" s="1"/>
  <c r="A956" i="14" s="1"/>
  <c r="A957" i="14" s="1"/>
  <c r="A958" i="14" s="1"/>
  <c r="A959" i="14" s="1"/>
  <c r="A960" i="14" s="1"/>
  <c r="A961" i="14" s="1"/>
  <c r="A962" i="14" s="1"/>
  <c r="A963" i="14" s="1"/>
  <c r="A964" i="14" s="1"/>
  <c r="A965" i="14" s="1"/>
  <c r="A966" i="14" s="1"/>
  <c r="A967" i="14" s="1"/>
  <c r="A968" i="14" s="1"/>
  <c r="A969" i="14" s="1"/>
  <c r="A970" i="14" s="1"/>
  <c r="A971" i="14" s="1"/>
  <c r="A972" i="14" s="1"/>
  <c r="A973" i="14" s="1"/>
  <c r="A974" i="14" s="1"/>
  <c r="A975" i="14" s="1"/>
  <c r="A976" i="14" s="1"/>
  <c r="A977" i="14" s="1"/>
  <c r="A978" i="14" s="1"/>
  <c r="A979" i="14" s="1"/>
  <c r="A980" i="14" s="1"/>
  <c r="A981" i="14" s="1"/>
  <c r="A982" i="14" s="1"/>
  <c r="A983" i="14" s="1"/>
  <c r="A984" i="14" s="1"/>
  <c r="A985" i="14" s="1"/>
  <c r="A986" i="14" s="1"/>
  <c r="A987" i="14" s="1"/>
  <c r="A988" i="14" s="1"/>
  <c r="A989" i="14" s="1"/>
  <c r="A990" i="14" s="1"/>
  <c r="A991" i="14" s="1"/>
  <c r="A992" i="14" s="1"/>
  <c r="A993" i="14" s="1"/>
  <c r="A994" i="14" s="1"/>
  <c r="A995" i="14" s="1"/>
  <c r="A996" i="14" s="1"/>
  <c r="A997" i="14" s="1"/>
  <c r="A998" i="14" s="1"/>
  <c r="A999" i="14" s="1"/>
  <c r="A1000" i="14" s="1"/>
  <c r="A1001" i="14" s="1"/>
  <c r="A1002" i="14" s="1"/>
  <c r="A1003" i="14" s="1"/>
  <c r="A1004" i="14" s="1"/>
  <c r="A1005" i="14" s="1"/>
  <c r="A1006" i="14" s="1"/>
  <c r="A1007" i="14" s="1"/>
  <c r="A1008" i="14" s="1"/>
  <c r="A1009" i="14" s="1"/>
  <c r="A1010" i="14" s="1"/>
  <c r="A1011" i="14" s="1"/>
  <c r="A1012" i="14" s="1"/>
  <c r="A1013" i="14" s="1"/>
  <c r="A1014" i="14" s="1"/>
  <c r="A1015" i="14" s="1"/>
  <c r="A1016" i="14" s="1"/>
  <c r="A1017" i="14" s="1"/>
  <c r="A1018" i="14" s="1"/>
  <c r="A1019" i="14" s="1"/>
  <c r="A1020" i="14" s="1"/>
  <c r="A1021" i="14" s="1"/>
  <c r="A1022" i="14" s="1"/>
  <c r="A1023" i="14" s="1"/>
  <c r="A1024" i="14" s="1"/>
  <c r="A1025" i="14" s="1"/>
  <c r="A1026" i="14" s="1"/>
  <c r="A1027" i="14" s="1"/>
  <c r="A1028" i="14" s="1"/>
  <c r="A1029" i="14" s="1"/>
  <c r="A1030" i="14" s="1"/>
  <c r="A1031" i="14" s="1"/>
  <c r="A1032" i="14" s="1"/>
  <c r="A1033" i="14" s="1"/>
  <c r="A1034" i="14" s="1"/>
  <c r="A1035" i="14" s="1"/>
  <c r="A1036" i="14" s="1"/>
  <c r="A1037" i="14" s="1"/>
  <c r="A1038" i="14" s="1"/>
  <c r="A1039" i="14" s="1"/>
  <c r="A1040" i="14" s="1"/>
  <c r="A1041" i="14" s="1"/>
  <c r="A1042" i="14" s="1"/>
  <c r="A1043" i="14" s="1"/>
  <c r="A1044" i="14" s="1"/>
  <c r="A1045" i="14" s="1"/>
  <c r="A1046" i="14" s="1"/>
  <c r="A1047" i="14" s="1"/>
  <c r="A1048" i="14" s="1"/>
  <c r="A1049" i="14" s="1"/>
  <c r="A1050" i="14" s="1"/>
  <c r="A1051" i="14" s="1"/>
  <c r="A1052" i="14" s="1"/>
  <c r="A1053" i="14" s="1"/>
  <c r="A1054" i="14" s="1"/>
  <c r="A1055" i="14" s="1"/>
  <c r="A1056" i="14" s="1"/>
  <c r="A1057" i="14" s="1"/>
  <c r="A1058" i="14" s="1"/>
  <c r="A1059" i="14" s="1"/>
  <c r="A1060" i="14" s="1"/>
  <c r="A1061" i="14" s="1"/>
  <c r="A1062" i="14" s="1"/>
  <c r="A1063" i="14" s="1"/>
  <c r="A1064" i="14" s="1"/>
  <c r="A1065" i="14" s="1"/>
  <c r="A1066" i="14" s="1"/>
  <c r="A1067" i="14" s="1"/>
  <c r="A1068" i="14" s="1"/>
  <c r="A1069" i="14" s="1"/>
  <c r="A1070" i="14" s="1"/>
  <c r="A1071" i="14" s="1"/>
  <c r="A1072" i="14" s="1"/>
  <c r="A1073" i="14" s="1"/>
  <c r="A1074" i="14" s="1"/>
  <c r="A1075" i="14" s="1"/>
  <c r="A1076" i="14" s="1"/>
  <c r="A1077" i="14" s="1"/>
  <c r="A1078" i="14" s="1"/>
  <c r="A1079" i="14" s="1"/>
  <c r="A1080" i="14" s="1"/>
  <c r="A1081" i="14" s="1"/>
  <c r="A1082" i="14" s="1"/>
  <c r="A1083" i="14" s="1"/>
  <c r="A1084" i="14" s="1"/>
  <c r="A1085" i="14" s="1"/>
  <c r="A1086" i="14" s="1"/>
  <c r="A1087" i="14" s="1"/>
  <c r="A1088" i="14" s="1"/>
  <c r="A1089" i="14" s="1"/>
  <c r="A1090" i="14" s="1"/>
  <c r="A1091" i="14" s="1"/>
  <c r="A1092" i="14" s="1"/>
  <c r="A1093" i="14" s="1"/>
  <c r="A1094" i="14" s="1"/>
  <c r="A1095" i="14" s="1"/>
  <c r="A1096" i="14" s="1"/>
  <c r="A1097" i="14" s="1"/>
  <c r="A1098" i="14" s="1"/>
  <c r="A1099" i="14" s="1"/>
  <c r="A1100" i="14" s="1"/>
  <c r="A1101" i="14" s="1"/>
  <c r="A1102" i="14" s="1"/>
  <c r="A1103" i="14" s="1"/>
  <c r="A1104" i="14" s="1"/>
  <c r="A1105" i="14" s="1"/>
  <c r="A1106" i="14" s="1"/>
  <c r="A1107" i="14" s="1"/>
  <c r="A1108" i="14" s="1"/>
  <c r="A1109" i="14" s="1"/>
  <c r="A1110" i="14" s="1"/>
  <c r="A1111" i="14" s="1"/>
  <c r="A1112" i="14" s="1"/>
  <c r="A1113" i="14" s="1"/>
  <c r="A1114" i="14" s="1"/>
  <c r="A1115" i="14" s="1"/>
  <c r="A1116" i="14" s="1"/>
  <c r="A1117" i="14" s="1"/>
  <c r="A1118" i="14" s="1"/>
  <c r="A1119" i="14" s="1"/>
  <c r="A1120" i="14" s="1"/>
  <c r="A1121" i="14" s="1"/>
  <c r="A1122" i="14" s="1"/>
  <c r="A1123" i="14" s="1"/>
  <c r="A1124" i="14" s="1"/>
  <c r="A1125" i="14" s="1"/>
  <c r="A1126" i="14" s="1"/>
  <c r="A1127" i="14" s="1"/>
  <c r="A1128" i="14" s="1"/>
  <c r="A1129" i="14" s="1"/>
  <c r="A1130" i="14" s="1"/>
  <c r="A1131" i="14" s="1"/>
  <c r="A1132" i="14" s="1"/>
  <c r="A1133" i="14" s="1"/>
  <c r="A1134" i="14" s="1"/>
  <c r="A1135" i="14" s="1"/>
  <c r="A1136" i="14" s="1"/>
  <c r="A1137" i="14" s="1"/>
  <c r="A1138" i="14" s="1"/>
  <c r="A1139" i="14" s="1"/>
  <c r="A1140" i="14" s="1"/>
  <c r="A1141" i="14" s="1"/>
  <c r="A1142" i="14" s="1"/>
  <c r="A1143" i="14" s="1"/>
  <c r="A1144" i="14" s="1"/>
  <c r="A1145" i="14" s="1"/>
  <c r="A1146" i="14" s="1"/>
  <c r="A1147" i="14" s="1"/>
  <c r="A1148" i="14" s="1"/>
  <c r="A1149" i="14" s="1"/>
  <c r="A1150" i="14" s="1"/>
  <c r="A1151" i="14" s="1"/>
  <c r="A1152" i="14" s="1"/>
  <c r="A1153" i="14" s="1"/>
  <c r="A1154" i="14" s="1"/>
  <c r="A1155" i="14" s="1"/>
  <c r="A1156" i="14" s="1"/>
  <c r="A1157" i="14" s="1"/>
  <c r="A1158" i="14" s="1"/>
  <c r="A1159" i="14" s="1"/>
  <c r="A1160" i="14" s="1"/>
  <c r="A1161" i="14" s="1"/>
  <c r="A1162" i="14" s="1"/>
  <c r="A1163" i="14" s="1"/>
  <c r="A1164" i="14" s="1"/>
  <c r="A1165" i="14" s="1"/>
  <c r="A1166" i="14" s="1"/>
  <c r="A1167" i="14" s="1"/>
  <c r="A1168" i="14" s="1"/>
  <c r="A1169" i="14" s="1"/>
  <c r="A1170" i="14" s="1"/>
  <c r="A1171" i="14" s="1"/>
  <c r="A1172" i="14" s="1"/>
  <c r="A1173" i="14" s="1"/>
  <c r="A1174" i="14" s="1"/>
  <c r="A1175" i="14" s="1"/>
  <c r="A1176" i="14" s="1"/>
  <c r="A1177" i="14" s="1"/>
  <c r="A1178" i="14" s="1"/>
  <c r="A1179" i="14" s="1"/>
  <c r="A1180" i="14" s="1"/>
  <c r="A1181" i="14" s="1"/>
  <c r="A1182" i="14" s="1"/>
  <c r="A1183" i="14" s="1"/>
  <c r="A1184" i="14" s="1"/>
  <c r="A1185" i="14" s="1"/>
  <c r="A1186" i="14" s="1"/>
  <c r="A1187" i="14" s="1"/>
  <c r="A1188" i="14" s="1"/>
  <c r="A1189" i="14" s="1"/>
  <c r="A1190" i="14" s="1"/>
  <c r="A1191" i="14" s="1"/>
  <c r="A1192" i="14" s="1"/>
  <c r="A1193" i="14" s="1"/>
  <c r="A1194" i="14" s="1"/>
  <c r="A1195" i="14" s="1"/>
  <c r="A1196" i="14" s="1"/>
  <c r="A1197" i="14" s="1"/>
  <c r="A1198" i="14" s="1"/>
  <c r="A1199" i="14" s="1"/>
  <c r="A1200" i="14" s="1"/>
  <c r="A1201" i="14" s="1"/>
  <c r="A1202" i="14" s="1"/>
  <c r="A1203" i="14" s="1"/>
  <c r="A1204" i="14" s="1"/>
  <c r="A1205" i="14" s="1"/>
  <c r="A1206" i="14" s="1"/>
  <c r="A1207" i="14" s="1"/>
  <c r="A1208" i="14" s="1"/>
  <c r="A1209" i="14" s="1"/>
  <c r="A1210" i="14" s="1"/>
  <c r="A1211" i="14" s="1"/>
  <c r="A1212" i="14" s="1"/>
  <c r="A1213" i="14" s="1"/>
  <c r="A1214" i="14" s="1"/>
  <c r="A1215" i="14" s="1"/>
  <c r="A1216" i="14" s="1"/>
  <c r="A1217" i="14" s="1"/>
  <c r="A1218" i="14" s="1"/>
  <c r="A1219" i="14" s="1"/>
  <c r="A1220" i="14" s="1"/>
  <c r="A1221" i="14" s="1"/>
  <c r="A1222" i="14" s="1"/>
  <c r="A1223" i="14" s="1"/>
  <c r="A1224" i="14" s="1"/>
  <c r="A1225" i="14" s="1"/>
  <c r="A1226" i="14" s="1"/>
  <c r="A1227" i="14" s="1"/>
  <c r="A1228" i="14" s="1"/>
  <c r="A1229" i="14" s="1"/>
  <c r="A1230" i="14" s="1"/>
  <c r="A1231" i="14" s="1"/>
  <c r="A1232" i="14" s="1"/>
  <c r="A1233" i="14" s="1"/>
  <c r="A1234" i="14" s="1"/>
  <c r="A1235" i="14" s="1"/>
  <c r="A1236" i="14" s="1"/>
  <c r="A1237" i="14" s="1"/>
  <c r="A1238" i="14" s="1"/>
  <c r="A1239" i="14" s="1"/>
  <c r="A1240" i="14" s="1"/>
  <c r="A1241" i="14" s="1"/>
  <c r="A1242" i="14" s="1"/>
  <c r="A1243" i="14" s="1"/>
  <c r="A1244" i="14" s="1"/>
  <c r="A1245" i="14" s="1"/>
  <c r="A1246" i="14" s="1"/>
  <c r="A1247" i="14" s="1"/>
  <c r="A1248" i="14" s="1"/>
  <c r="A1249" i="14" s="1"/>
  <c r="A1250" i="14" s="1"/>
  <c r="A1251" i="14" s="1"/>
  <c r="A1252" i="14" s="1"/>
  <c r="A1253" i="14" s="1"/>
  <c r="A1254" i="14" s="1"/>
  <c r="A1255" i="14" s="1"/>
  <c r="A1256" i="14" s="1"/>
  <c r="A1257" i="14" s="1"/>
  <c r="A1258" i="14" s="1"/>
  <c r="A1259" i="14" s="1"/>
  <c r="A1260" i="14" s="1"/>
  <c r="A1261" i="14" s="1"/>
  <c r="A1262" i="14" s="1"/>
  <c r="A1263" i="14" s="1"/>
  <c r="A1264" i="14" s="1"/>
  <c r="A1265" i="14" s="1"/>
  <c r="A1266" i="14" s="1"/>
  <c r="A1267" i="14" s="1"/>
  <c r="A1268" i="14" s="1"/>
  <c r="A1269" i="14" s="1"/>
  <c r="A1270" i="14" s="1"/>
  <c r="A1271" i="14" s="1"/>
  <c r="A1272" i="14" s="1"/>
  <c r="A1273" i="14" s="1"/>
  <c r="A1274" i="14" s="1"/>
  <c r="A1275" i="14" s="1"/>
  <c r="A1276" i="14" s="1"/>
  <c r="A1277" i="14" s="1"/>
  <c r="A1278" i="14" s="1"/>
  <c r="A1279" i="14" s="1"/>
  <c r="A1280" i="14" s="1"/>
  <c r="A1281" i="14" s="1"/>
  <c r="A1282" i="14" s="1"/>
  <c r="A1283" i="14" s="1"/>
  <c r="A1284" i="14" s="1"/>
  <c r="A1285" i="14" s="1"/>
  <c r="A1286" i="14" s="1"/>
  <c r="A1287" i="14" s="1"/>
  <c r="A1288" i="14" s="1"/>
  <c r="A1289" i="14" s="1"/>
  <c r="A1290" i="14" s="1"/>
  <c r="A1291" i="14" s="1"/>
  <c r="A1292" i="14" s="1"/>
  <c r="A1293" i="14" s="1"/>
  <c r="A1294" i="14" s="1"/>
  <c r="A1295" i="14" s="1"/>
  <c r="A1296" i="14" s="1"/>
  <c r="A1297" i="14" s="1"/>
  <c r="A1298" i="14" s="1"/>
  <c r="A1299" i="14" s="1"/>
  <c r="A1300" i="14" s="1"/>
  <c r="A1301" i="14" s="1"/>
  <c r="A1302" i="14" s="1"/>
  <c r="A1303" i="14" s="1"/>
  <c r="A1304" i="14" s="1"/>
  <c r="A1305" i="14" s="1"/>
  <c r="A1306" i="14" s="1"/>
  <c r="A1307" i="14" s="1"/>
  <c r="A1308" i="14" s="1"/>
  <c r="A1309" i="14" s="1"/>
  <c r="A1310" i="14" s="1"/>
  <c r="A1311" i="14" s="1"/>
  <c r="A1312" i="14" s="1"/>
  <c r="A1313" i="14" s="1"/>
  <c r="A1314" i="14" s="1"/>
  <c r="A1315" i="14" s="1"/>
  <c r="A1316" i="14" s="1"/>
  <c r="A1317" i="14" s="1"/>
  <c r="A1318" i="14" s="1"/>
  <c r="A1319" i="14" s="1"/>
  <c r="A1320" i="14" s="1"/>
  <c r="A1321" i="14" s="1"/>
  <c r="A1322" i="14" s="1"/>
  <c r="A1323" i="14" s="1"/>
  <c r="A1324" i="14" s="1"/>
  <c r="A1325" i="14" s="1"/>
  <c r="A1326" i="14" s="1"/>
  <c r="A1327" i="14" s="1"/>
  <c r="A1328" i="14" s="1"/>
  <c r="A1329" i="14" s="1"/>
  <c r="A1330" i="14" s="1"/>
  <c r="A1331" i="14" s="1"/>
  <c r="A1332" i="14" s="1"/>
  <c r="A1333" i="14" s="1"/>
  <c r="A1334" i="14" s="1"/>
  <c r="A1335" i="14" s="1"/>
  <c r="A1336" i="14" s="1"/>
  <c r="A1337" i="14" s="1"/>
  <c r="A1338" i="14" s="1"/>
  <c r="A1339" i="14" s="1"/>
  <c r="A1340" i="14" s="1"/>
  <c r="A1341" i="14" s="1"/>
  <c r="A1342" i="14" s="1"/>
  <c r="A1343" i="14" s="1"/>
  <c r="A1344" i="14" s="1"/>
  <c r="A1345" i="14" s="1"/>
  <c r="A1346" i="14" s="1"/>
  <c r="A1347" i="14" s="1"/>
  <c r="A1348" i="14" s="1"/>
  <c r="A1349" i="14" s="1"/>
  <c r="A1350" i="14" s="1"/>
  <c r="A1351" i="14" s="1"/>
  <c r="A1352" i="14" s="1"/>
  <c r="A1353" i="14" s="1"/>
  <c r="A1354" i="14" s="1"/>
  <c r="A1355" i="14" s="1"/>
  <c r="A1356" i="14" s="1"/>
  <c r="A1357" i="14" s="1"/>
  <c r="A1358" i="14" s="1"/>
  <c r="A1359" i="14" s="1"/>
  <c r="A1360" i="14" s="1"/>
  <c r="A1361" i="14" s="1"/>
  <c r="A1362" i="14" s="1"/>
  <c r="A1363" i="14" s="1"/>
  <c r="A1364" i="14" s="1"/>
  <c r="A1365" i="14" s="1"/>
  <c r="A1366" i="14" s="1"/>
  <c r="A1367" i="14" s="1"/>
  <c r="A1368" i="14" s="1"/>
  <c r="A1369" i="14" s="1"/>
  <c r="A1370" i="14" s="1"/>
  <c r="A1371" i="14" s="1"/>
  <c r="A1372" i="14" s="1"/>
  <c r="A1373" i="14" s="1"/>
  <c r="A1374" i="14" s="1"/>
  <c r="A1375" i="14" s="1"/>
  <c r="A1376" i="14" s="1"/>
  <c r="A1377" i="14" s="1"/>
  <c r="A1378" i="14" s="1"/>
  <c r="A1379" i="14" s="1"/>
  <c r="A1380" i="14" s="1"/>
  <c r="A1381" i="14" s="1"/>
  <c r="A1382" i="14" s="1"/>
  <c r="A1383" i="14" s="1"/>
  <c r="A1384" i="14" s="1"/>
  <c r="A1385" i="14" s="1"/>
  <c r="A1386" i="14" s="1"/>
  <c r="A1387" i="14" s="1"/>
  <c r="A1388" i="14" s="1"/>
  <c r="A1389" i="14" s="1"/>
  <c r="A1390" i="14" s="1"/>
  <c r="A1391" i="14" s="1"/>
  <c r="A1392" i="14" s="1"/>
  <c r="A1393" i="14" s="1"/>
  <c r="A1394" i="14" s="1"/>
  <c r="A1395" i="14" s="1"/>
  <c r="A1396" i="14" s="1"/>
  <c r="A1397" i="14" s="1"/>
  <c r="A1398" i="14" s="1"/>
  <c r="A1399" i="14" s="1"/>
  <c r="A1400" i="14" s="1"/>
  <c r="A1401" i="14" s="1"/>
  <c r="A1402" i="14" s="1"/>
  <c r="A1403" i="14" s="1"/>
  <c r="A1404" i="14" s="1"/>
  <c r="A1405" i="14" s="1"/>
  <c r="A1406" i="14" s="1"/>
  <c r="A1407" i="14" s="1"/>
  <c r="A1408" i="14" s="1"/>
  <c r="A1409" i="14" s="1"/>
  <c r="A1410" i="14" s="1"/>
  <c r="A1411" i="14" s="1"/>
  <c r="A1412" i="14" s="1"/>
  <c r="A1413" i="14" s="1"/>
  <c r="A1414" i="14" s="1"/>
  <c r="A1415" i="14" s="1"/>
  <c r="A1416" i="14" s="1"/>
  <c r="A1417" i="14" s="1"/>
  <c r="A1418" i="14" s="1"/>
  <c r="A1419" i="14" s="1"/>
  <c r="A1420" i="14" s="1"/>
  <c r="A1421" i="14" s="1"/>
  <c r="A1422" i="14" s="1"/>
  <c r="A1423" i="14" s="1"/>
  <c r="A1424" i="14" s="1"/>
  <c r="A1425" i="14" s="1"/>
  <c r="A1426" i="14" s="1"/>
  <c r="A1427" i="14" s="1"/>
  <c r="A1428" i="14" s="1"/>
  <c r="A1429" i="14" s="1"/>
  <c r="A1430" i="14" s="1"/>
  <c r="A1431" i="14" s="1"/>
  <c r="A1432" i="14" s="1"/>
  <c r="A1433" i="14" s="1"/>
  <c r="A1434" i="14" s="1"/>
  <c r="A1435" i="14" s="1"/>
  <c r="A1436" i="14" s="1"/>
  <c r="A1437" i="14" s="1"/>
  <c r="A1438" i="14" s="1"/>
  <c r="A1439" i="14" s="1"/>
  <c r="A1440" i="14" s="1"/>
  <c r="A1441" i="14" s="1"/>
  <c r="A1442" i="14" s="1"/>
  <c r="A1443" i="14" s="1"/>
  <c r="A1444" i="14" s="1"/>
  <c r="A1445" i="14" s="1"/>
  <c r="A1446" i="14" s="1"/>
  <c r="A1447" i="14" s="1"/>
  <c r="A1448" i="14" s="1"/>
  <c r="A1449" i="14" s="1"/>
  <c r="A1450" i="14" s="1"/>
  <c r="A1451" i="14" s="1"/>
  <c r="A1452" i="14" s="1"/>
  <c r="A1453" i="14" s="1"/>
  <c r="A1454" i="14" s="1"/>
  <c r="A1455" i="14" s="1"/>
  <c r="A1456" i="14" s="1"/>
  <c r="A1457" i="14" s="1"/>
  <c r="A1458" i="14" s="1"/>
  <c r="A1459" i="14" s="1"/>
  <c r="A1460" i="14" s="1"/>
  <c r="A1461" i="14" s="1"/>
  <c r="A1462" i="14" s="1"/>
  <c r="A1463" i="14" s="1"/>
  <c r="A1464" i="14" s="1"/>
  <c r="A1465" i="14" s="1"/>
  <c r="A1466" i="14" s="1"/>
  <c r="A1467" i="14" s="1"/>
  <c r="A1468" i="14" s="1"/>
  <c r="A1469" i="14" s="1"/>
  <c r="A1470" i="14" s="1"/>
  <c r="A1471" i="14" s="1"/>
  <c r="A1472" i="14" s="1"/>
  <c r="A1473" i="14" s="1"/>
  <c r="A1474" i="14" s="1"/>
  <c r="A1475" i="14" s="1"/>
  <c r="A1476" i="14" s="1"/>
  <c r="A1477" i="14" s="1"/>
  <c r="A1478" i="14" s="1"/>
  <c r="A1479" i="14" s="1"/>
  <c r="A1480" i="14" s="1"/>
  <c r="A1481" i="14" s="1"/>
  <c r="A1482" i="14" s="1"/>
  <c r="A1483" i="14" s="1"/>
  <c r="A1484" i="14" s="1"/>
  <c r="A1485" i="14" s="1"/>
  <c r="A1486" i="14" s="1"/>
  <c r="A1487" i="14" s="1"/>
  <c r="A1488" i="14" s="1"/>
  <c r="A1489" i="14" s="1"/>
  <c r="A1490" i="14" s="1"/>
  <c r="A1491" i="14" s="1"/>
  <c r="A1492" i="14" s="1"/>
  <c r="A1493" i="14" s="1"/>
  <c r="A1494" i="14" s="1"/>
  <c r="A1495" i="14" s="1"/>
  <c r="A1496" i="14" s="1"/>
  <c r="A1497" i="14" s="1"/>
  <c r="A1498" i="14" s="1"/>
  <c r="A1499" i="14" s="1"/>
  <c r="A1500" i="14" s="1"/>
  <c r="A1501" i="14" s="1"/>
  <c r="A1502" i="14" s="1"/>
  <c r="A1503" i="14" s="1"/>
  <c r="A1504" i="14" s="1"/>
  <c r="A1505" i="14" s="1"/>
  <c r="A1506" i="14" s="1"/>
  <c r="A1507" i="14" s="1"/>
  <c r="A1508" i="14" s="1"/>
  <c r="A1509" i="14" s="1"/>
  <c r="A1510" i="14" s="1"/>
  <c r="A1511" i="14" s="1"/>
  <c r="A1512" i="14" s="1"/>
  <c r="A1513" i="14" s="1"/>
  <c r="A1514" i="14" s="1"/>
  <c r="A1515" i="14" s="1"/>
  <c r="A1516" i="14" s="1"/>
  <c r="A1517" i="14" s="1"/>
  <c r="A1518" i="14" s="1"/>
  <c r="A1519" i="14" s="1"/>
  <c r="A1520" i="14" s="1"/>
  <c r="A1521" i="14" s="1"/>
  <c r="A1522" i="14" s="1"/>
  <c r="A1523" i="14" s="1"/>
  <c r="A1524" i="14" s="1"/>
  <c r="A1525" i="14" s="1"/>
  <c r="A1526" i="14" s="1"/>
  <c r="A1527" i="14" s="1"/>
  <c r="A1528" i="14" s="1"/>
  <c r="A1529" i="14" s="1"/>
  <c r="A1530" i="14" s="1"/>
  <c r="A1531" i="14" s="1"/>
  <c r="A1532" i="14" s="1"/>
  <c r="A1533" i="14" s="1"/>
  <c r="A1534" i="14" s="1"/>
  <c r="A1535" i="14" s="1"/>
  <c r="A1536" i="14" s="1"/>
  <c r="A1537" i="14" s="1"/>
  <c r="A1538" i="14" s="1"/>
  <c r="A1539" i="14" s="1"/>
  <c r="A1540" i="14" s="1"/>
  <c r="A1541" i="14" s="1"/>
  <c r="A1542" i="14" s="1"/>
  <c r="A1543" i="14" s="1"/>
  <c r="A1544" i="14" s="1"/>
  <c r="A1545" i="14" s="1"/>
  <c r="A1546" i="14" s="1"/>
  <c r="A1547" i="14" s="1"/>
  <c r="A1548" i="14" s="1"/>
  <c r="A1549" i="14" s="1"/>
  <c r="A1550" i="14" s="1"/>
  <c r="A1551" i="14" s="1"/>
  <c r="A1552" i="14" s="1"/>
  <c r="A1553" i="14" s="1"/>
  <c r="A1554" i="14" s="1"/>
  <c r="A1555" i="14" s="1"/>
  <c r="A1556" i="14" s="1"/>
  <c r="A1557" i="14" s="1"/>
  <c r="A1558" i="14" s="1"/>
  <c r="A1559" i="14" s="1"/>
  <c r="A1560" i="14" s="1"/>
  <c r="A1561" i="14" s="1"/>
  <c r="A1562" i="14" s="1"/>
  <c r="A1563" i="14" s="1"/>
  <c r="A1564" i="14" s="1"/>
  <c r="A1565" i="14" s="1"/>
  <c r="A1566" i="14" s="1"/>
  <c r="A1567" i="14" s="1"/>
  <c r="A1568" i="14" s="1"/>
  <c r="A1569" i="14" s="1"/>
  <c r="A1570" i="14" s="1"/>
  <c r="A1571" i="14" s="1"/>
  <c r="A1572" i="14" s="1"/>
  <c r="A1573" i="14" s="1"/>
  <c r="A1574" i="14" s="1"/>
  <c r="A1575" i="14" s="1"/>
  <c r="A1576" i="14" s="1"/>
  <c r="A1577" i="14" s="1"/>
  <c r="A1578" i="14" s="1"/>
  <c r="A1579" i="14" s="1"/>
  <c r="A1580" i="14" s="1"/>
  <c r="A1581" i="14" s="1"/>
  <c r="A1582" i="14" s="1"/>
  <c r="A1583" i="14" s="1"/>
  <c r="A1584" i="14" s="1"/>
  <c r="A1585" i="14" s="1"/>
  <c r="A1586" i="14" s="1"/>
  <c r="A1587" i="14" s="1"/>
  <c r="A1588" i="14" s="1"/>
  <c r="A1589" i="14" s="1"/>
  <c r="A1590" i="14" s="1"/>
  <c r="A1591" i="14" s="1"/>
  <c r="A1592" i="14" s="1"/>
  <c r="A1593" i="14" s="1"/>
  <c r="A1594" i="14" s="1"/>
  <c r="A1595" i="14" s="1"/>
  <c r="A1596" i="14" s="1"/>
  <c r="A1597" i="14" s="1"/>
  <c r="A1598" i="14" s="1"/>
  <c r="A1599" i="14" s="1"/>
  <c r="A1600" i="14" s="1"/>
  <c r="A1601" i="14" s="1"/>
  <c r="A1602" i="14" s="1"/>
  <c r="A1603" i="14" s="1"/>
  <c r="A1604" i="14" s="1"/>
  <c r="A1605" i="14" s="1"/>
  <c r="A1606" i="14" s="1"/>
  <c r="A1607" i="14" s="1"/>
  <c r="A1608" i="14" s="1"/>
  <c r="A1609" i="14" s="1"/>
  <c r="A1610" i="14" s="1"/>
  <c r="A1611" i="14" s="1"/>
  <c r="A1612" i="14" s="1"/>
  <c r="A1613" i="14" s="1"/>
  <c r="A1614" i="14" s="1"/>
  <c r="A1615" i="14" s="1"/>
  <c r="A1616" i="14" s="1"/>
  <c r="A1617" i="14" s="1"/>
  <c r="A1618" i="14" s="1"/>
  <c r="A1619" i="14" s="1"/>
  <c r="A1620" i="14" s="1"/>
  <c r="A1621" i="14" s="1"/>
  <c r="A1622" i="14" s="1"/>
  <c r="A1623" i="14" s="1"/>
  <c r="A1624" i="14" s="1"/>
  <c r="A1625" i="14" s="1"/>
  <c r="A1626" i="14" s="1"/>
  <c r="A1627" i="14" s="1"/>
  <c r="A1628" i="14" s="1"/>
  <c r="A1629" i="14" s="1"/>
  <c r="A1630" i="14" s="1"/>
  <c r="A1631" i="14" s="1"/>
  <c r="A1632" i="14" s="1"/>
  <c r="A1633" i="14" s="1"/>
  <c r="A1634" i="14" s="1"/>
  <c r="A1635" i="14" s="1"/>
  <c r="A1636" i="14" s="1"/>
  <c r="A1637" i="14" s="1"/>
  <c r="A1638" i="14" s="1"/>
  <c r="A1639" i="14" s="1"/>
  <c r="A1640" i="14" s="1"/>
  <c r="A1641" i="14" s="1"/>
  <c r="A1642" i="14" s="1"/>
  <c r="A1643" i="14" s="1"/>
  <c r="A1644" i="14" s="1"/>
  <c r="A1645" i="14" s="1"/>
  <c r="A1646" i="14" s="1"/>
  <c r="A1647" i="14" s="1"/>
  <c r="A1648" i="14" s="1"/>
  <c r="A1649" i="14" s="1"/>
  <c r="A1650" i="14" s="1"/>
  <c r="A1651" i="14" s="1"/>
  <c r="A1652" i="14" s="1"/>
  <c r="A1653" i="14" s="1"/>
  <c r="A1654" i="14" s="1"/>
  <c r="A1655" i="14" s="1"/>
  <c r="A1656" i="14" s="1"/>
  <c r="A1657" i="14" s="1"/>
  <c r="A1658" i="14" s="1"/>
  <c r="A1659" i="14" s="1"/>
  <c r="A1660" i="14" s="1"/>
  <c r="A1661" i="14" s="1"/>
  <c r="A1662" i="14" s="1"/>
  <c r="A1663" i="14" s="1"/>
  <c r="A1664" i="14" s="1"/>
  <c r="A1665" i="14" s="1"/>
  <c r="A1666" i="14" s="1"/>
  <c r="A1667" i="14" s="1"/>
  <c r="A1668" i="14" s="1"/>
  <c r="A1669" i="14" s="1"/>
  <c r="A1670" i="14" s="1"/>
  <c r="A1671" i="14" s="1"/>
  <c r="A1672" i="14" s="1"/>
  <c r="A1673" i="14" s="1"/>
  <c r="A1674" i="14" s="1"/>
  <c r="A1675" i="14" s="1"/>
  <c r="A1676" i="14" s="1"/>
  <c r="A1677" i="14" s="1"/>
  <c r="A1678" i="14" s="1"/>
  <c r="A1679" i="14" s="1"/>
  <c r="A1680" i="14" s="1"/>
  <c r="A1681" i="14" s="1"/>
  <c r="A1682" i="14" s="1"/>
  <c r="A1683" i="14" s="1"/>
  <c r="A1684" i="14" s="1"/>
  <c r="A1685" i="14" s="1"/>
  <c r="A1686" i="14" s="1"/>
  <c r="A1687" i="14" s="1"/>
  <c r="A1688" i="14" s="1"/>
  <c r="A1689" i="14" s="1"/>
  <c r="A1690" i="14" s="1"/>
  <c r="A1691" i="14" s="1"/>
  <c r="A1692" i="14" s="1"/>
  <c r="A1693" i="14" s="1"/>
  <c r="A1694" i="14" s="1"/>
  <c r="A1695" i="14" s="1"/>
  <c r="A1696" i="14" s="1"/>
  <c r="A1697" i="14" s="1"/>
  <c r="A1698" i="14" s="1"/>
  <c r="A1699" i="14" s="1"/>
  <c r="A1700" i="14" s="1"/>
  <c r="A1701" i="14" s="1"/>
  <c r="A1702" i="14" s="1"/>
  <c r="A1703" i="14" s="1"/>
  <c r="A1704" i="14" s="1"/>
  <c r="A1705" i="14" s="1"/>
  <c r="A1706" i="14" s="1"/>
  <c r="A1707" i="14" s="1"/>
  <c r="A1708" i="14" s="1"/>
  <c r="A1709" i="14" s="1"/>
  <c r="A1710" i="14" s="1"/>
  <c r="A1711" i="14" s="1"/>
  <c r="A1712" i="14" s="1"/>
  <c r="A1713" i="14" s="1"/>
  <c r="A1714" i="14" s="1"/>
  <c r="A1715" i="14" s="1"/>
  <c r="A1716" i="14" s="1"/>
  <c r="A1717" i="14" s="1"/>
  <c r="A1718" i="14" s="1"/>
  <c r="A1719" i="14" s="1"/>
  <c r="A1720" i="14" s="1"/>
  <c r="A1721" i="14" s="1"/>
  <c r="A1722" i="14" s="1"/>
  <c r="A1723" i="14" s="1"/>
  <c r="A1724" i="14" s="1"/>
  <c r="A1725" i="14" s="1"/>
  <c r="A1726" i="14" s="1"/>
  <c r="A1727" i="14" s="1"/>
  <c r="A1728" i="14" s="1"/>
  <c r="A1729" i="14" s="1"/>
  <c r="A1730" i="14" s="1"/>
  <c r="A1731" i="14" s="1"/>
  <c r="A1732" i="14" s="1"/>
  <c r="A1733" i="14" s="1"/>
  <c r="A1734" i="14" s="1"/>
  <c r="A1735" i="14" s="1"/>
  <c r="A1736" i="14" s="1"/>
  <c r="A1737" i="14" s="1"/>
  <c r="A1738" i="14" s="1"/>
  <c r="A1739" i="14" s="1"/>
  <c r="A1740" i="14" s="1"/>
  <c r="A1741" i="14" s="1"/>
  <c r="A1742" i="14" s="1"/>
  <c r="A1743" i="14" s="1"/>
  <c r="A1744" i="14" s="1"/>
  <c r="A1745" i="14" s="1"/>
  <c r="A1746" i="14" s="1"/>
  <c r="A1747" i="14" s="1"/>
  <c r="A1748" i="14" s="1"/>
  <c r="A1749" i="14" s="1"/>
  <c r="A1750" i="14" s="1"/>
  <c r="A1751" i="14" s="1"/>
  <c r="A1752" i="14" s="1"/>
  <c r="A1753" i="14" s="1"/>
  <c r="A1754" i="14" s="1"/>
  <c r="A1755" i="14" s="1"/>
  <c r="A1756" i="14" s="1"/>
  <c r="A1757" i="14" s="1"/>
  <c r="A1758" i="14" s="1"/>
  <c r="A1759" i="14" s="1"/>
  <c r="A1760" i="14" s="1"/>
  <c r="A1761" i="14" s="1"/>
  <c r="A1762" i="14" s="1"/>
  <c r="A1763" i="14" s="1"/>
  <c r="A1764" i="14" s="1"/>
  <c r="A1765" i="14" s="1"/>
  <c r="A1766" i="14" s="1"/>
  <c r="A1767" i="14" s="1"/>
  <c r="A1768" i="14" s="1"/>
  <c r="A1769" i="14" s="1"/>
  <c r="A1770" i="14" s="1"/>
  <c r="A1771" i="14" s="1"/>
  <c r="A1772" i="14" s="1"/>
  <c r="A1773" i="14" s="1"/>
  <c r="A1774" i="14" s="1"/>
  <c r="A1775" i="14" s="1"/>
  <c r="A1776" i="14" s="1"/>
  <c r="A1777" i="14" s="1"/>
  <c r="A1778" i="14" s="1"/>
  <c r="A1779" i="14" s="1"/>
  <c r="A1780" i="14" s="1"/>
  <c r="A1781" i="14" s="1"/>
  <c r="A1782" i="14" s="1"/>
  <c r="A1783" i="14" s="1"/>
  <c r="A1784" i="14" s="1"/>
  <c r="A1785" i="14" s="1"/>
  <c r="A1786" i="14" s="1"/>
  <c r="A1787" i="14" s="1"/>
  <c r="A1788" i="14" s="1"/>
  <c r="A1789" i="14" s="1"/>
  <c r="A1790" i="14" s="1"/>
  <c r="A1791" i="14" s="1"/>
  <c r="A1792" i="14" s="1"/>
  <c r="A1793" i="14" s="1"/>
  <c r="A1794" i="14" s="1"/>
  <c r="A1795" i="14" s="1"/>
  <c r="A1796" i="14" s="1"/>
  <c r="A1797" i="14" s="1"/>
  <c r="A1798" i="14" s="1"/>
  <c r="A1799" i="14" s="1"/>
  <c r="A1800" i="14" s="1"/>
  <c r="A1801" i="14" s="1"/>
  <c r="A1802" i="14" s="1"/>
  <c r="A1803" i="14" s="1"/>
  <c r="A1804" i="14" s="1"/>
  <c r="A1805" i="14" s="1"/>
  <c r="A1806" i="14" s="1"/>
  <c r="A1807" i="14" s="1"/>
  <c r="A1808" i="14" s="1"/>
  <c r="A1809" i="14" s="1"/>
  <c r="A1810" i="14" s="1"/>
  <c r="A1811" i="14" s="1"/>
  <c r="A1812" i="14" s="1"/>
  <c r="A1813" i="14" s="1"/>
  <c r="A1814" i="14" s="1"/>
  <c r="A1815" i="14" s="1"/>
  <c r="A1816" i="14" s="1"/>
  <c r="A1817" i="14" s="1"/>
  <c r="A1818" i="14" s="1"/>
  <c r="A1819" i="14" s="1"/>
  <c r="A1820" i="14" s="1"/>
  <c r="A1821" i="14" s="1"/>
  <c r="A1822" i="14" s="1"/>
  <c r="A1823" i="14" s="1"/>
  <c r="A1824" i="14" s="1"/>
  <c r="A1825" i="14" s="1"/>
  <c r="A1826" i="14" s="1"/>
  <c r="A1827" i="14" s="1"/>
  <c r="A1828" i="14" s="1"/>
  <c r="A1829" i="14" s="1"/>
  <c r="A1830" i="14" s="1"/>
  <c r="A1831" i="14" s="1"/>
  <c r="A1832" i="14" s="1"/>
  <c r="A1833" i="14" s="1"/>
  <c r="A1834" i="14" s="1"/>
  <c r="A1835" i="14" s="1"/>
  <c r="A1836" i="14" s="1"/>
  <c r="A1837" i="14" s="1"/>
  <c r="A1838" i="14" s="1"/>
  <c r="A1839" i="14" s="1"/>
  <c r="A1840" i="14" s="1"/>
  <c r="A1841" i="14" s="1"/>
  <c r="A1842" i="14" s="1"/>
  <c r="A1843" i="14" s="1"/>
  <c r="A1844" i="14" s="1"/>
  <c r="A1845" i="14" s="1"/>
  <c r="A1846" i="14" s="1"/>
  <c r="A1847" i="14" s="1"/>
  <c r="A1848" i="14" s="1"/>
  <c r="A1849" i="14" s="1"/>
  <c r="A1850" i="14" s="1"/>
  <c r="A1851" i="14" s="1"/>
  <c r="A1852" i="14" s="1"/>
  <c r="A1853" i="14" s="1"/>
  <c r="A1854" i="14" s="1"/>
  <c r="A1855" i="14" s="1"/>
  <c r="A1856" i="14" s="1"/>
  <c r="A1857" i="14" s="1"/>
  <c r="A1858" i="14" s="1"/>
  <c r="A1859" i="14" s="1"/>
  <c r="A1860" i="14" s="1"/>
  <c r="A1861" i="14" s="1"/>
  <c r="A1862" i="14" s="1"/>
  <c r="A1863" i="14" s="1"/>
  <c r="A1864" i="14" s="1"/>
  <c r="A1865" i="14" s="1"/>
  <c r="A1866" i="14" s="1"/>
  <c r="A1867" i="14" s="1"/>
  <c r="A1868" i="14" s="1"/>
  <c r="A1869" i="14" s="1"/>
  <c r="A1870" i="14" s="1"/>
  <c r="A1871" i="14" s="1"/>
  <c r="A1872" i="14" s="1"/>
  <c r="A1873" i="14" s="1"/>
  <c r="A1874" i="14" s="1"/>
  <c r="A1875" i="14" s="1"/>
  <c r="A1876" i="14" s="1"/>
  <c r="A1877" i="14" s="1"/>
  <c r="A1878" i="14" s="1"/>
  <c r="A1879" i="14" s="1"/>
  <c r="A1880" i="14" s="1"/>
  <c r="A1881" i="14" s="1"/>
  <c r="A1882" i="14" s="1"/>
  <c r="A1883" i="14" s="1"/>
  <c r="A1884" i="14" s="1"/>
  <c r="A1885" i="14" s="1"/>
  <c r="A1886" i="14" s="1"/>
  <c r="A1887" i="14" s="1"/>
  <c r="A1888" i="14" s="1"/>
  <c r="A1889" i="14" s="1"/>
  <c r="A1890" i="14" s="1"/>
  <c r="A1891" i="14" s="1"/>
  <c r="A1892" i="14" s="1"/>
  <c r="A1893" i="14" s="1"/>
  <c r="A1894" i="14" s="1"/>
  <c r="A1895" i="14" s="1"/>
  <c r="A1896" i="14" s="1"/>
  <c r="A1897" i="14" s="1"/>
  <c r="A1898" i="14" s="1"/>
  <c r="A1899" i="14" s="1"/>
  <c r="A1900" i="14" s="1"/>
  <c r="A1901" i="14" s="1"/>
  <c r="A1902" i="14" s="1"/>
  <c r="A1903" i="14" s="1"/>
  <c r="A1904" i="14" s="1"/>
  <c r="A1905" i="14" s="1"/>
  <c r="A1906" i="14" s="1"/>
  <c r="A1907" i="14" s="1"/>
  <c r="A1908" i="14" s="1"/>
  <c r="A1909" i="14" s="1"/>
  <c r="A1910" i="14" s="1"/>
  <c r="A1911" i="14" s="1"/>
  <c r="A1912" i="14" s="1"/>
  <c r="A1913" i="14" s="1"/>
  <c r="A1914" i="14" s="1"/>
  <c r="A1915" i="14" s="1"/>
  <c r="A1916" i="14" s="1"/>
  <c r="A1917" i="14" s="1"/>
  <c r="A1918" i="14" s="1"/>
  <c r="A1919" i="14" s="1"/>
  <c r="A1920" i="14" s="1"/>
  <c r="A1921" i="14" s="1"/>
  <c r="A1922" i="14" s="1"/>
  <c r="A1923" i="14" s="1"/>
  <c r="A1924" i="14" s="1"/>
  <c r="A1925" i="14" s="1"/>
  <c r="A1926" i="14" s="1"/>
  <c r="A1927" i="14" s="1"/>
  <c r="A1928" i="14" s="1"/>
  <c r="A1929" i="14" s="1"/>
  <c r="A1930" i="14" s="1"/>
  <c r="A1931" i="14" s="1"/>
  <c r="A1932" i="14" s="1"/>
  <c r="A1933" i="14" s="1"/>
  <c r="A1934" i="14" s="1"/>
  <c r="A1935" i="14" s="1"/>
  <c r="A1936" i="14" s="1"/>
  <c r="A1937" i="14" s="1"/>
  <c r="A1938" i="14" s="1"/>
  <c r="A1939" i="14" s="1"/>
  <c r="A1940" i="14" s="1"/>
  <c r="A1941" i="14" s="1"/>
  <c r="A1942" i="14" s="1"/>
  <c r="A1943" i="14" s="1"/>
  <c r="A1944" i="14" s="1"/>
  <c r="A1945" i="14" s="1"/>
  <c r="A1946" i="14" s="1"/>
  <c r="A1947" i="14" s="1"/>
  <c r="A1948" i="14" s="1"/>
  <c r="A1949" i="14" s="1"/>
  <c r="A1950" i="14" s="1"/>
  <c r="A1951" i="14" s="1"/>
  <c r="A1952" i="14" s="1"/>
  <c r="A1953" i="14" s="1"/>
  <c r="A1954" i="14" s="1"/>
  <c r="A1955" i="14" s="1"/>
  <c r="A1956" i="14" s="1"/>
  <c r="A1957" i="14" s="1"/>
  <c r="A1958" i="14" s="1"/>
  <c r="A1959" i="14" s="1"/>
  <c r="A1960" i="14" s="1"/>
  <c r="A1961" i="14" s="1"/>
  <c r="A1962" i="14" s="1"/>
  <c r="A1963" i="14" s="1"/>
  <c r="A1964" i="14" s="1"/>
  <c r="A1965" i="14" s="1"/>
  <c r="A1966" i="14" s="1"/>
  <c r="A1967" i="14" s="1"/>
  <c r="A1968" i="14" s="1"/>
  <c r="A1969" i="14" s="1"/>
  <c r="A1970" i="14" s="1"/>
  <c r="A1971" i="14" s="1"/>
  <c r="A1972" i="14" s="1"/>
  <c r="A1973" i="14" s="1"/>
  <c r="A1974" i="14" s="1"/>
  <c r="A1975" i="14" s="1"/>
  <c r="A1976" i="14" s="1"/>
  <c r="A1977" i="14" s="1"/>
  <c r="A1978" i="14" s="1"/>
  <c r="A1979" i="14" s="1"/>
  <c r="A1980" i="14" s="1"/>
  <c r="A1981" i="14" s="1"/>
  <c r="A1982" i="14" s="1"/>
  <c r="A1983" i="14" s="1"/>
  <c r="A1984" i="14" s="1"/>
  <c r="A1985" i="14" s="1"/>
  <c r="A1986" i="14" s="1"/>
  <c r="A1987" i="14" s="1"/>
  <c r="A1988" i="14" s="1"/>
  <c r="A1989" i="14" s="1"/>
  <c r="A1990" i="14" s="1"/>
  <c r="A1991" i="14" s="1"/>
  <c r="A1992" i="14" s="1"/>
  <c r="A1993" i="14" s="1"/>
  <c r="A1994" i="14" s="1"/>
  <c r="A1995" i="14" s="1"/>
  <c r="A1996" i="14" s="1"/>
  <c r="A1997" i="14" s="1"/>
  <c r="A1998" i="14" s="1"/>
  <c r="A1999" i="14" s="1"/>
  <c r="A2000" i="14" s="1"/>
  <c r="A2001" i="14" s="1"/>
  <c r="A2002" i="14" s="1"/>
  <c r="A2003" i="14" s="1"/>
  <c r="A2004" i="14" s="1"/>
  <c r="A2005" i="14" s="1"/>
  <c r="A2006" i="14" s="1"/>
  <c r="A2007" i="14" s="1"/>
  <c r="A2008" i="14" s="1"/>
  <c r="A2009" i="14" s="1"/>
  <c r="A2010" i="14" s="1"/>
  <c r="A2011" i="14" s="1"/>
  <c r="A2012" i="14" s="1"/>
  <c r="A2013" i="14" s="1"/>
  <c r="A2014" i="14" s="1"/>
  <c r="A2015" i="14" s="1"/>
  <c r="A2016" i="14" s="1"/>
  <c r="A2017" i="14" s="1"/>
  <c r="A2018" i="14" s="1"/>
  <c r="A2019" i="14" s="1"/>
  <c r="A2020" i="14" s="1"/>
  <c r="A2021" i="14" s="1"/>
  <c r="A2022" i="14" s="1"/>
  <c r="A2023" i="14" s="1"/>
  <c r="A2024" i="14" s="1"/>
  <c r="A2025" i="14" s="1"/>
  <c r="A2026" i="14" s="1"/>
  <c r="A2027" i="14" s="1"/>
  <c r="A2028" i="14" s="1"/>
  <c r="A2029" i="14" s="1"/>
  <c r="A2030" i="14" s="1"/>
  <c r="A2031" i="14" s="1"/>
  <c r="A2032" i="14" s="1"/>
  <c r="A2033" i="14" s="1"/>
  <c r="A2034" i="14" s="1"/>
  <c r="A2035" i="14" s="1"/>
  <c r="A2036" i="14" s="1"/>
  <c r="A2037" i="14" s="1"/>
  <c r="A2038" i="14" s="1"/>
  <c r="A2039" i="14" s="1"/>
  <c r="A2040" i="14" s="1"/>
  <c r="A2041" i="14" s="1"/>
  <c r="A2042" i="14" s="1"/>
  <c r="A2043" i="14" s="1"/>
  <c r="A2044" i="14" s="1"/>
  <c r="A2045" i="14" s="1"/>
  <c r="A2046" i="14" s="1"/>
  <c r="A2047" i="14" s="1"/>
  <c r="A2048" i="14" s="1"/>
  <c r="A2049" i="14" s="1"/>
  <c r="A2050" i="14" s="1"/>
  <c r="A2051" i="14" s="1"/>
  <c r="A2052" i="14" s="1"/>
  <c r="A2053" i="14" s="1"/>
  <c r="A2054" i="14" s="1"/>
  <c r="A2055" i="14" s="1"/>
  <c r="A2056" i="14" s="1"/>
  <c r="A2057" i="14" s="1"/>
  <c r="A2058" i="14" s="1"/>
  <c r="A2059" i="14" s="1"/>
  <c r="A2060" i="14" s="1"/>
  <c r="A2061" i="14" s="1"/>
  <c r="A2062" i="14" s="1"/>
  <c r="A2063" i="14" s="1"/>
  <c r="A2064" i="14" s="1"/>
  <c r="A2065" i="14" s="1"/>
  <c r="A2066" i="14" s="1"/>
  <c r="A2067" i="14" s="1"/>
  <c r="A2068" i="14" s="1"/>
  <c r="A2069" i="14" s="1"/>
</calcChain>
</file>

<file path=xl/sharedStrings.xml><?xml version="1.0" encoding="utf-8"?>
<sst xmlns="http://schemas.openxmlformats.org/spreadsheetml/2006/main" count="35104" uniqueCount="4278">
  <si>
    <t>STT</t>
  </si>
  <si>
    <t>Tên tài sản</t>
  </si>
  <si>
    <t>Ghi chú</t>
  </si>
  <si>
    <t>Mã tài sản</t>
  </si>
  <si>
    <t>BIÊN BẢN KIỂM KÊ TÀI SẢN, CÔNG CỤ DỤNG CỤ</t>
  </si>
  <si>
    <t>1. Thời gian kiểm kê</t>
  </si>
  <si>
    <t>2. Địa điểm</t>
  </si>
  <si>
    <t>Tình trạng</t>
  </si>
  <si>
    <t>Đã tiến hành kiểm kê tài sản, CCDC kết quả như sau:</t>
  </si>
  <si>
    <t>3. Ban kiểm kê gồm</t>
  </si>
  <si>
    <t>:</t>
  </si>
  <si>
    <t>- Họ và tên</t>
  </si>
  <si>
    <t>Số 
lượng</t>
  </si>
  <si>
    <t>Phòng ban</t>
  </si>
  <si>
    <t>Đơn 
vị tính</t>
  </si>
  <si>
    <t xml:space="preserve">: </t>
  </si>
  <si>
    <t>sắp hỏng</t>
  </si>
  <si>
    <t>HCNS</t>
  </si>
  <si>
    <t>Chiếc</t>
  </si>
  <si>
    <t>Dell M4800</t>
  </si>
  <si>
    <t>Hỏng hoàn toàn</t>
  </si>
  <si>
    <t>Laptop HP</t>
  </si>
  <si>
    <t>Sếp Hoàng dùng</t>
  </si>
  <si>
    <t>Ghế Hòa Phát</t>
  </si>
  <si>
    <t>GHE142</t>
  </si>
  <si>
    <t>phòng giám đốc</t>
  </si>
  <si>
    <t>Ghế sofa</t>
  </si>
  <si>
    <t>GSF004</t>
  </si>
  <si>
    <t>Bàn sofa</t>
  </si>
  <si>
    <t>BSF003</t>
  </si>
  <si>
    <t>Bảng trắng</t>
  </si>
  <si>
    <t>BTR007</t>
  </si>
  <si>
    <t>Hộc tủ gỗ</t>
  </si>
  <si>
    <t>phòng hộ nhỏ</t>
  </si>
  <si>
    <t xml:space="preserve">Hành chính </t>
  </si>
  <si>
    <t>Ghế chân quỳ</t>
  </si>
  <si>
    <t>GCQ029-033</t>
  </si>
  <si>
    <t>phòng họp lớn</t>
  </si>
  <si>
    <t>GCQ011-028</t>
  </si>
  <si>
    <t>phòng họp nhỏ</t>
  </si>
  <si>
    <t>Bàn hộ tròn</t>
  </si>
  <si>
    <t>BHO005</t>
  </si>
  <si>
    <t>Bàn họp dài</t>
  </si>
  <si>
    <t>BHO004</t>
  </si>
  <si>
    <t>Khu vực sảnh</t>
  </si>
  <si>
    <t>12 bình</t>
  </si>
  <si>
    <t>Bình cứu hỏa</t>
  </si>
  <si>
    <t>BCH006</t>
  </si>
  <si>
    <t>Karofi</t>
  </si>
  <si>
    <t xml:space="preserve">Cây nước nóng lạnh </t>
  </si>
  <si>
    <t>MLN004</t>
  </si>
  <si>
    <t>Đồng hồ treo tường</t>
  </si>
  <si>
    <t>ĐHT002</t>
  </si>
  <si>
    <t>Tủ thuốc</t>
  </si>
  <si>
    <t>THU002</t>
  </si>
  <si>
    <t>Kể để lò vi sóng</t>
  </si>
  <si>
    <t>KVS001</t>
  </si>
  <si>
    <t>vp HN</t>
  </si>
  <si>
    <t xml:space="preserve">Tủ server </t>
  </si>
  <si>
    <t>TSE002</t>
  </si>
  <si>
    <t>Elextrolux</t>
  </si>
  <si>
    <t xml:space="preserve">Lò vi sóng </t>
  </si>
  <si>
    <t>LVS004</t>
  </si>
  <si>
    <t>Loại Sharp</t>
  </si>
  <si>
    <t>LVS003</t>
  </si>
  <si>
    <t>1 bàn, 4 ghế</t>
  </si>
  <si>
    <t>Bộ bàn ăn</t>
  </si>
  <si>
    <t>BBA001</t>
  </si>
  <si>
    <t>Ban thờ thần tài</t>
  </si>
  <si>
    <t>BTH002</t>
  </si>
  <si>
    <t>Ghế sofe+2 đôn màu nâu đỏ</t>
  </si>
  <si>
    <t>GSF003</t>
  </si>
  <si>
    <t>Ghế sofe+2 đon màu vàng</t>
  </si>
  <si>
    <t>GSF002</t>
  </si>
  <si>
    <t>BSF002</t>
  </si>
  <si>
    <t>Sảnh cửa số 2</t>
  </si>
  <si>
    <t>Chậu</t>
  </si>
  <si>
    <t>Chậu cây sảnh cửa ra vào số 1</t>
  </si>
  <si>
    <t>CAY007</t>
  </si>
  <si>
    <t>CAY006</t>
  </si>
  <si>
    <t>Phòng họp lớn</t>
  </si>
  <si>
    <t>Hộp thuyền vàng</t>
  </si>
  <si>
    <t>HTV001</t>
  </si>
  <si>
    <t>Loa kéo A2Pro</t>
  </si>
  <si>
    <t>LOA002</t>
  </si>
  <si>
    <t>Khu vực sân AGV</t>
  </si>
  <si>
    <t>Loa treo tường</t>
  </si>
  <si>
    <t>LOA001</t>
  </si>
  <si>
    <t>Phòng họp nhỏ</t>
  </si>
  <si>
    <t>Cây</t>
  </si>
  <si>
    <t>Cây cảnh nhỏ, chậu đỏ</t>
  </si>
  <si>
    <t xml:space="preserve">Chầu bà bát </t>
  </si>
  <si>
    <t>CAB004</t>
  </si>
  <si>
    <t>Bàn lễ tân</t>
  </si>
  <si>
    <t>CAB003</t>
  </si>
  <si>
    <t>CAB002</t>
  </si>
  <si>
    <t>CAB001</t>
  </si>
  <si>
    <t>Cạnh tủ sắt</t>
  </si>
  <si>
    <t xml:space="preserve">Chậu cây cảnh cạnh tủ tài liệu sắt </t>
  </si>
  <si>
    <t>CAY013</t>
  </si>
  <si>
    <t>Phòng giám đốc</t>
  </si>
  <si>
    <t>Chậu cây cảnh phòng Giám đốc</t>
  </si>
  <si>
    <t>CAY012</t>
  </si>
  <si>
    <t>Phòng họp</t>
  </si>
  <si>
    <t>Chậu cây cảnh phòng họp lớn</t>
  </si>
  <si>
    <t>CAY011</t>
  </si>
  <si>
    <t>Nguyễn Minh Anh</t>
  </si>
  <si>
    <t>Dell S2218H</t>
  </si>
  <si>
    <t>Màn hình + bộ nguồn</t>
  </si>
  <si>
    <t>MHD042</t>
  </si>
  <si>
    <t xml:space="preserve"> Bàn phím HP</t>
  </si>
  <si>
    <t>BPM021</t>
  </si>
  <si>
    <t>Chuột HP + Bàn phím HP</t>
  </si>
  <si>
    <t>CMT028</t>
  </si>
  <si>
    <t>Đặng Văn Thành</t>
  </si>
  <si>
    <t>Chuột HP</t>
  </si>
  <si>
    <t>CMT027</t>
  </si>
  <si>
    <t>Lương Thị Luyến</t>
  </si>
  <si>
    <t>CMT026</t>
  </si>
  <si>
    <t>Nguyễn Thị Huệ</t>
  </si>
  <si>
    <t>Sạc laptop</t>
  </si>
  <si>
    <t>SAC047</t>
  </si>
  <si>
    <t>SAC046</t>
  </si>
  <si>
    <t>SAC045</t>
  </si>
  <si>
    <t>SAC044</t>
  </si>
  <si>
    <t>i5-7300u, 8GB, SSD256GB</t>
  </si>
  <si>
    <t>Laptop Dell 7480</t>
  </si>
  <si>
    <t>LAP074</t>
  </si>
  <si>
    <t>i5-8365u, 16GB, SSD256GB</t>
  </si>
  <si>
    <t>Laptop Dell 5400</t>
  </si>
  <si>
    <t>LAP073</t>
  </si>
  <si>
    <t>17-7820HQ, 16GB,SSD256GB</t>
  </si>
  <si>
    <t>Laptop Dell 5580</t>
  </si>
  <si>
    <t>LAP072</t>
  </si>
  <si>
    <t>HTG084</t>
  </si>
  <si>
    <t>Cường chuyển cho Thành</t>
  </si>
  <si>
    <t>HTG002</t>
  </si>
  <si>
    <t>HTG082</t>
  </si>
  <si>
    <t>Tủ sắt 3 ngăn 4 tầng</t>
  </si>
  <si>
    <t>Tủ sắt</t>
  </si>
  <si>
    <t>TUS017</t>
  </si>
  <si>
    <t>Tủ sắt 2 ngăn 4 tầng</t>
  </si>
  <si>
    <t>TUS016</t>
  </si>
  <si>
    <t>Ghế hòa phát</t>
  </si>
  <si>
    <t>GHE145</t>
  </si>
  <si>
    <t>GHE144</t>
  </si>
  <si>
    <t>GHE143</t>
  </si>
  <si>
    <t xml:space="preserve">Bàn làm việc </t>
  </si>
  <si>
    <t>BAN142</t>
  </si>
  <si>
    <t>BAN141</t>
  </si>
  <si>
    <t>BAN140</t>
  </si>
  <si>
    <t>Nguyễn Thị Xứ</t>
  </si>
  <si>
    <t>Cây lau nhà</t>
  </si>
  <si>
    <t>CLN001</t>
  </si>
  <si>
    <t>Ổ cắm điện Masterplug E6030U</t>
  </si>
  <si>
    <t>OCD006</t>
  </si>
  <si>
    <t>Kìm cộng lực (dài 60 cm, tải cắt 60 kg)</t>
  </si>
  <si>
    <t>KIM001</t>
  </si>
  <si>
    <t>Búa tạ (thép cacbon cường độ cao, nặng 5 kg, cán dài 50 cm)</t>
  </si>
  <si>
    <t>BUA001</t>
  </si>
  <si>
    <t>Xà beng (một đầu nhọn, một đầu dẹt; dài 100 cm)</t>
  </si>
  <si>
    <t>XBE001</t>
  </si>
  <si>
    <t>Rìu cứu nạn (trọng lượng 2 kg, cán dài 90 cm, chất liệu thép cacbon cường độ cao)</t>
  </si>
  <si>
    <t>RIU001</t>
  </si>
  <si>
    <t>Mặt nạ lọc độc (đáp ứng QCVN10:2012/
BLĐTBXH)</t>
  </si>
  <si>
    <t>Mặt nạ lọc độc (đáp ứng QCVN10:2012/BLĐTBXH)</t>
  </si>
  <si>
    <t>MNA001</t>
  </si>
  <si>
    <t>Quần áo chữa cháy theo TT48 gồm (quần áo, ủng, mũ, găng tay, khẩu trang)</t>
  </si>
  <si>
    <t>QACC001</t>
  </si>
  <si>
    <t>Bình</t>
  </si>
  <si>
    <t>Bình khí chữa cháy</t>
  </si>
  <si>
    <t>BKCC001</t>
  </si>
  <si>
    <t>Bình bột chữa cháy</t>
  </si>
  <si>
    <t>BBCC001</t>
  </si>
  <si>
    <t>Bộ chuông cửa Hikvision DS-KIS202</t>
  </si>
  <si>
    <t>CHC001</t>
  </si>
  <si>
    <t>Lưu kho</t>
  </si>
  <si>
    <t>Giá treo tivi mua hôm triển lãm</t>
  </si>
  <si>
    <t>GIA004</t>
  </si>
  <si>
    <t>Hộp mica chữ nhật phục vụ triển lãm</t>
  </si>
  <si>
    <t>HMC001</t>
  </si>
  <si>
    <t>Bộ</t>
  </si>
  <si>
    <t>Giá mica catalogue để bàn (10c) phục vụ triển lãm</t>
  </si>
  <si>
    <t>GCA001</t>
  </si>
  <si>
    <t>Ghế đôn tròn inox</t>
  </si>
  <si>
    <t>GĐT001</t>
  </si>
  <si>
    <t>Cây cảnh VP Hateco (Trầu bà)</t>
  </si>
  <si>
    <t>Chậu cây cảnh khu vực sảnh chính</t>
  </si>
  <si>
    <t>CAY010</t>
  </si>
  <si>
    <t>CAY009</t>
  </si>
  <si>
    <t>CAY008</t>
  </si>
  <si>
    <t>Kinh doanh</t>
  </si>
  <si>
    <t>Kệ catalogue phục vụ triển lãm</t>
  </si>
  <si>
    <t>KCA002</t>
  </si>
  <si>
    <t>KCA001</t>
  </si>
  <si>
    <t>Kệ sách đứng 5 tầng phòng họp nhỏ</t>
  </si>
  <si>
    <t>KSA003</t>
  </si>
  <si>
    <t>Kệ sách đứng 5 tầng phòng họp lớn</t>
  </si>
  <si>
    <t>KSA002</t>
  </si>
  <si>
    <t xml:space="preserve">Tủ lạnh SBS Aqua Inverter 
480L AQR-S480XA (BL) </t>
  </si>
  <si>
    <t>TUL002</t>
  </si>
  <si>
    <t>Tiêu hao</t>
  </si>
  <si>
    <t>5 áo phản quang gile màu xám</t>
  </si>
  <si>
    <t>APQ001</t>
  </si>
  <si>
    <t>BLT001</t>
  </si>
  <si>
    <t>Ghế bàn lễ tân</t>
  </si>
  <si>
    <t>GHE098</t>
  </si>
  <si>
    <t>GHE097</t>
  </si>
  <si>
    <t>Gioăng cửa kính phòng AGV, Sale, Sản xuất</t>
  </si>
  <si>
    <t>GCK001</t>
  </si>
  <si>
    <t>OCD009</t>
  </si>
  <si>
    <t>OCD008</t>
  </si>
  <si>
    <t>OCD007</t>
  </si>
  <si>
    <t>Lưong Thị Luyến</t>
  </si>
  <si>
    <t>Dell Latitude i5  dell 5400</t>
  </si>
  <si>
    <t xml:space="preserve">Dell Latitude i5 </t>
  </si>
  <si>
    <t>LAP075</t>
  </si>
  <si>
    <t>Ngô Anh Đức</t>
  </si>
  <si>
    <t>Camera hành trình G40</t>
  </si>
  <si>
    <t>CHT002</t>
  </si>
  <si>
    <t>Nguyễn Trọng Thủy</t>
  </si>
  <si>
    <t>CHT001</t>
  </si>
  <si>
    <t>Lê Văn Tài</t>
  </si>
  <si>
    <t>BCH004</t>
  </si>
  <si>
    <t>BCH003</t>
  </si>
  <si>
    <t>BCH002</t>
  </si>
  <si>
    <t>BCH001</t>
  </si>
  <si>
    <t>Chèn lốp</t>
  </si>
  <si>
    <t>CHL002</t>
  </si>
  <si>
    <t>CHL001</t>
  </si>
  <si>
    <t>Mạnh AGV</t>
  </si>
  <si>
    <t>Dây HDMI lention 1,5m hỗ trợ 4K</t>
  </si>
  <si>
    <t>HDM002</t>
  </si>
  <si>
    <t>Ms.Ngân</t>
  </si>
  <si>
    <t>Bàn phím K120, chuột B100</t>
  </si>
  <si>
    <t>CMT025</t>
  </si>
  <si>
    <t>Bộ case PC H410M-H03, i5-10400, 8GB SSD 256GB, 500W</t>
  </si>
  <si>
    <t>CAS026</t>
  </si>
  <si>
    <t>Cap HDMI 2m lention HH20 -P2-2M hỗ trợ 4K</t>
  </si>
  <si>
    <t>CAP002</t>
  </si>
  <si>
    <t>Củ sạc Adapter 5W</t>
  </si>
  <si>
    <t>SAD001</t>
  </si>
  <si>
    <t>HUB Baseus 2 out 1 in</t>
  </si>
  <si>
    <t>HUB002</t>
  </si>
  <si>
    <t>Đầu chuyển VGA to HDMI</t>
  </si>
  <si>
    <t>VGA002</t>
  </si>
  <si>
    <t>Dây HDMI 10m</t>
  </si>
  <si>
    <t>HDM001</t>
  </si>
  <si>
    <t>Thiết bị kết nối không dây cho máy chiếu M11 Plus</t>
  </si>
  <si>
    <t>KNO001</t>
  </si>
  <si>
    <t>trong tường</t>
  </si>
  <si>
    <t>Dây mạng 20m phòng HCNS</t>
  </si>
  <si>
    <t>DMA001</t>
  </si>
  <si>
    <t>Wifi chuyên dụng Aruba IAP-215</t>
  </si>
  <si>
    <t>Wifi chuyên dụng Aruba IAP-215 P Kinh doanh</t>
  </si>
  <si>
    <t>WIF008</t>
  </si>
  <si>
    <t>WIF007</t>
  </si>
  <si>
    <t>Wifi chuyên dụng Aruba IAP-215 P Họp lớn</t>
  </si>
  <si>
    <t>WIF006</t>
  </si>
  <si>
    <t>Wifi chuyên dụng Aruba IAP-215 P AGV</t>
  </si>
  <si>
    <t>WIF005</t>
  </si>
  <si>
    <t>Wifi chuyên dụng Aruba IAP-215 P Kỹ thuật</t>
  </si>
  <si>
    <t>WIF004</t>
  </si>
  <si>
    <t>WIF003</t>
  </si>
  <si>
    <t>WIF002</t>
  </si>
  <si>
    <t>Wifi chuyên dụng Aruba IAP-215 P Giám đốc</t>
  </si>
  <si>
    <t>WIF001</t>
  </si>
  <si>
    <t xml:space="preserve">Cây thông Noel </t>
  </si>
  <si>
    <t>CTN001</t>
  </si>
  <si>
    <t>Phòng HCNS</t>
  </si>
  <si>
    <t>Sạc Laptop Dell PA-4E 
DA130PE1-00, JU012, ADP-130DB B, 100-240V~2.5A, 50-60HZ, 6.7A</t>
  </si>
  <si>
    <t>SAC034</t>
  </si>
  <si>
    <t>Dùng chung</t>
  </si>
  <si>
    <t>Hộp đựng giấy vệ sinh cuộn to</t>
  </si>
  <si>
    <t>HGW002</t>
  </si>
  <si>
    <t>HGW001</t>
  </si>
  <si>
    <t>Tủ giày sắt 30 lock</t>
  </si>
  <si>
    <t>TUS012</t>
  </si>
  <si>
    <t>Tủ giày sắt 24 lock</t>
  </si>
  <si>
    <t>TUS011</t>
  </si>
  <si>
    <t>TUS010</t>
  </si>
  <si>
    <t>TUS009</t>
  </si>
  <si>
    <t>Bảng trắng phòng họp nhỏ</t>
  </si>
  <si>
    <t>BTR004</t>
  </si>
  <si>
    <t>Bảng trắng phòng họp lớn</t>
  </si>
  <si>
    <t>BTR003</t>
  </si>
  <si>
    <t>Hub Dell DA310</t>
  </si>
  <si>
    <t>BCĐ003</t>
  </si>
  <si>
    <t>Bộ chuyển đổi Dell DA310</t>
  </si>
  <si>
    <t>BCĐ002</t>
  </si>
  <si>
    <t>Chậu lan Ý chữ nhật (10 chậu)</t>
  </si>
  <si>
    <t>CLY001</t>
  </si>
  <si>
    <t>Bộ tách trà (sử dụng tiếp khách) (10 set tách+đĩa)</t>
  </si>
  <si>
    <t>BTT001</t>
  </si>
  <si>
    <t>Bảng tin khu vực sảnh</t>
  </si>
  <si>
    <t>BTR002</t>
  </si>
  <si>
    <t>Két sắt CF155KC</t>
  </si>
  <si>
    <t>KET001</t>
  </si>
  <si>
    <t>Kệ sách đứng đa tầng(P.Giám đốc)</t>
  </si>
  <si>
    <t>KSA001</t>
  </si>
  <si>
    <t>Hỏng</t>
  </si>
  <si>
    <t>Máy xịt khử khuẩn cầm tay</t>
  </si>
  <si>
    <t>XKK001</t>
  </si>
  <si>
    <t xml:space="preserve">Chăn lông </t>
  </si>
  <si>
    <t>CHA003</t>
  </si>
  <si>
    <t>CHA002</t>
  </si>
  <si>
    <t>CHA001</t>
  </si>
  <si>
    <t>Biển cửa số 16</t>
  </si>
  <si>
    <t>BIEN034</t>
  </si>
  <si>
    <t>Biển cửa số 15</t>
  </si>
  <si>
    <t>BIEN033</t>
  </si>
  <si>
    <t>Biển cửa số 13</t>
  </si>
  <si>
    <t>BIEN032</t>
  </si>
  <si>
    <t>Biển cửa số 12</t>
  </si>
  <si>
    <t>BIEN031</t>
  </si>
  <si>
    <t>Biển cửa số 11</t>
  </si>
  <si>
    <t>BIEN030</t>
  </si>
  <si>
    <t>Biển cửa số 10</t>
  </si>
  <si>
    <t>BIEN029</t>
  </si>
  <si>
    <t>Biển cửa số 09</t>
  </si>
  <si>
    <t>BIEN028</t>
  </si>
  <si>
    <t>Biển cửa số 08</t>
  </si>
  <si>
    <t>BIEN027</t>
  </si>
  <si>
    <t>Biển cửa số 07</t>
  </si>
  <si>
    <t>BIEN026</t>
  </si>
  <si>
    <t>Biển cửa số 06</t>
  </si>
  <si>
    <t>BIEN025</t>
  </si>
  <si>
    <t>Biển cửa số 05</t>
  </si>
  <si>
    <t>BIEN024</t>
  </si>
  <si>
    <t>Biển cửa số 04</t>
  </si>
  <si>
    <t>BIEN023</t>
  </si>
  <si>
    <t>Biển cửa số 03</t>
  </si>
  <si>
    <t>BIEN022</t>
  </si>
  <si>
    <t>Biển cửa số 02</t>
  </si>
  <si>
    <t>BIEN021</t>
  </si>
  <si>
    <t>Biển cửa số 01</t>
  </si>
  <si>
    <t>BIEN020</t>
  </si>
  <si>
    <t xml:space="preserve">Thang nhôm ghế DIY TLN -06 </t>
  </si>
  <si>
    <t>THN001</t>
  </si>
  <si>
    <t>Sảnh số 2</t>
  </si>
  <si>
    <t>Kệ để chậu hoa</t>
  </si>
  <si>
    <t>KCH003</t>
  </si>
  <si>
    <t>KCH002</t>
  </si>
  <si>
    <t>KCH001</t>
  </si>
  <si>
    <t>Giá treo tivi</t>
  </si>
  <si>
    <t>GIA001</t>
  </si>
  <si>
    <t>Tivi VP Hateco</t>
  </si>
  <si>
    <t>TIV001</t>
  </si>
  <si>
    <t>Phòng Lái xe</t>
  </si>
  <si>
    <t>Giường tầng GT03-1  (PLX)</t>
  </si>
  <si>
    <t>GIT001</t>
  </si>
  <si>
    <t xml:space="preserve">Chăn ga gối đệm </t>
  </si>
  <si>
    <t xml:space="preserve">Chăn ga gối đệm phòng lái xe </t>
  </si>
  <si>
    <t>CHAN002</t>
  </si>
  <si>
    <t>CHAN001</t>
  </si>
  <si>
    <t>Biển công ty Yonko</t>
  </si>
  <si>
    <t>BIEN019</t>
  </si>
  <si>
    <t>Biển công ty MVI</t>
  </si>
  <si>
    <t>BIEN018</t>
  </si>
  <si>
    <t>Biển công ty APR</t>
  </si>
  <si>
    <t>BIEN017</t>
  </si>
  <si>
    <t>Biển công ty RTC</t>
  </si>
  <si>
    <t>BIEN016</t>
  </si>
  <si>
    <t xml:space="preserve">Cân điện tử </t>
  </si>
  <si>
    <t>CAN001</t>
  </si>
  <si>
    <t>Tủ locker để giày dép</t>
  </si>
  <si>
    <t>Tủ locker để giày dép (tủ gỗ màu trắng cạnh cửa số 5)</t>
  </si>
  <si>
    <t>TUD002</t>
  </si>
  <si>
    <t>Máy chiếu đa năng</t>
  </si>
  <si>
    <t>Máy chiếu đa năng phòng họp nhỏ</t>
  </si>
  <si>
    <t>MCH001</t>
  </si>
  <si>
    <t>Máy chiếu đa năng phòng họp lớn</t>
  </si>
  <si>
    <t>MCH002</t>
  </si>
  <si>
    <t>Tủ locker để giày dép (tủ gỗ màu trắng)</t>
  </si>
  <si>
    <t>TUD001</t>
  </si>
  <si>
    <r>
      <t xml:space="preserve">Người sử dụng
</t>
    </r>
    <r>
      <rPr>
        <i/>
        <sz val="12"/>
        <rFont val="Times New Roman"/>
        <family val="1"/>
      </rPr>
      <t>(Nếu là tài sản dùng chung của phòng thì ghi: Dùng chung)</t>
    </r>
  </si>
  <si>
    <r>
      <t xml:space="preserve">Mô tả chi tiết
</t>
    </r>
    <r>
      <rPr>
        <i/>
        <sz val="12"/>
        <rFont val="Times New Roman"/>
        <family val="1"/>
      </rPr>
      <t>(Model, thông số kỹ thuật…)</t>
    </r>
  </si>
  <si>
    <t>Chức vụ : TTS HCNS</t>
  </si>
  <si>
    <t>: Dương Thị Hải Yến</t>
  </si>
  <si>
    <t>Chức vụ : NV Hành chính</t>
  </si>
  <si>
    <t>: Lương Thị Luyến</t>
  </si>
  <si>
    <t>: Phòng HCNS - Công ty Cổ phần RTC Technology Việt Nam</t>
  </si>
  <si>
    <t>: 9h30 Ngày 05 tháng 12 năm 2022</t>
  </si>
  <si>
    <t>ĐTH002</t>
  </si>
  <si>
    <t>Điện thoại cá nhân</t>
  </si>
  <si>
    <t>Nokia 105</t>
  </si>
  <si>
    <t>Sử dụng bình thường</t>
  </si>
  <si>
    <t>P.Kế toán</t>
  </si>
  <si>
    <t>SIM001</t>
  </si>
  <si>
    <t xml:space="preserve">Sim số </t>
  </si>
  <si>
    <t>Số: 0246 654 4056</t>
  </si>
  <si>
    <t>SĐT001</t>
  </si>
  <si>
    <t>Cục sạc điện thoại chân vuông</t>
  </si>
  <si>
    <t>BAN035</t>
  </si>
  <si>
    <t>(D120xR60)</t>
  </si>
  <si>
    <t>KKH001</t>
  </si>
  <si>
    <t>Kệ kết hợp tủ đựng cây xanh</t>
  </si>
  <si>
    <t>TUS001-TUS002</t>
  </si>
  <si>
    <t>TUS003-TUS004</t>
  </si>
  <si>
    <t>MCG001</t>
  </si>
  <si>
    <t>Máy cắt giấy</t>
  </si>
  <si>
    <t>Deli No.3871</t>
  </si>
  <si>
    <t>BTR001</t>
  </si>
  <si>
    <t>TTT001-TTT004</t>
  </si>
  <si>
    <t>Tranh treo tường</t>
  </si>
  <si>
    <t>Bức</t>
  </si>
  <si>
    <t>MÃ MỚI</t>
  </si>
  <si>
    <t>HOP021-HOP026</t>
  </si>
  <si>
    <t>Thùng nhựa Song Long plastic</t>
  </si>
  <si>
    <t>Model : PP 515x360x280cm</t>
  </si>
  <si>
    <t>Thùng</t>
  </si>
  <si>
    <t>HOP027</t>
  </si>
  <si>
    <t>Model : PP 615x440x315cm</t>
  </si>
  <si>
    <t>OCĐ029-OCĐ034</t>
  </si>
  <si>
    <t>Ổ điện</t>
  </si>
  <si>
    <t>OCM001</t>
  </si>
  <si>
    <t>Switch Cisco SF95-24 (bộ chia mạng)</t>
  </si>
  <si>
    <t>Model: SF95-24 , S/N: PSZ23431FK5</t>
  </si>
  <si>
    <t>CAS002</t>
  </si>
  <si>
    <t xml:space="preserve">Case máy tính </t>
  </si>
  <si>
    <t>Intel(R) Core(TM) i5-10400 CPU @ 2.90GHz   2.90 GHz /R32G/HDD4T+HDD6T</t>
  </si>
  <si>
    <t xml:space="preserve">Vũ Thị Thanh </t>
  </si>
  <si>
    <t>+SSD240GB</t>
  </si>
  <si>
    <t>MHV002</t>
  </si>
  <si>
    <t xml:space="preserve">Màn hình máy tính </t>
  </si>
  <si>
    <t xml:space="preserve">Model: VA2718/SH 27inches </t>
  </si>
  <si>
    <t>LG</t>
  </si>
  <si>
    <t>BPM002</t>
  </si>
  <si>
    <t xml:space="preserve">Bàn phím máy tính HP
</t>
  </si>
  <si>
    <t>Model: HSA-C001K</t>
  </si>
  <si>
    <t>CMT001</t>
  </si>
  <si>
    <t xml:space="preserve">Chuột máy tính HP
</t>
  </si>
  <si>
    <t>Model: HSA- S001M</t>
  </si>
  <si>
    <t>Hỏng, thu hồi ngày 5/1/2023</t>
  </si>
  <si>
    <t>CMT037</t>
  </si>
  <si>
    <t>Model: HSA- S00IM</t>
  </si>
  <si>
    <t>Cấp ngày 5/1/2023</t>
  </si>
  <si>
    <t>BAN037</t>
  </si>
  <si>
    <t>D120xR60</t>
  </si>
  <si>
    <t>GHE033</t>
  </si>
  <si>
    <t>HTG006</t>
  </si>
  <si>
    <t>MTC003</t>
  </si>
  <si>
    <t xml:space="preserve">Máy tính tay casio AX-120B </t>
  </si>
  <si>
    <t>Model: AX-120B</t>
  </si>
  <si>
    <t>KPC004</t>
  </si>
  <si>
    <t>Kệ PC</t>
  </si>
  <si>
    <t>CAS011</t>
  </si>
  <si>
    <t>Intel(R) Core(TM) i3-7100 CPU @ 3.90GHz  3.91 GHz /R8G/</t>
  </si>
  <si>
    <t>Lê Thị Minh Nguyệt</t>
  </si>
  <si>
    <t>+SSD240GB
+HDD1TB</t>
  </si>
  <si>
    <t>MHD015</t>
  </si>
  <si>
    <t>Màn hình máy tính</t>
  </si>
  <si>
    <t>Model: DELL E2318H 24 inches</t>
  </si>
  <si>
    <t>BMP015</t>
  </si>
  <si>
    <t>Bàn phím máy tính HP</t>
  </si>
  <si>
    <t>Model: HSA-P010K</t>
  </si>
  <si>
    <t>CMT015</t>
  </si>
  <si>
    <t>Model: HAS- C001M</t>
  </si>
  <si>
    <t>BAN038</t>
  </si>
  <si>
    <t>GHE034</t>
  </si>
  <si>
    <t>HTG007</t>
  </si>
  <si>
    <t>KPC005</t>
  </si>
  <si>
    <t>BAN036</t>
  </si>
  <si>
    <t>Nguyễn Quỳnh Hương</t>
  </si>
  <si>
    <t>CPU002</t>
  </si>
  <si>
    <t>Intel(R) Core(TM) i5-10400 CPU @ 2.90GHz  2.90GHz, thông số: RAM-16.0 GB (15.8 GB usable)</t>
  </si>
  <si>
    <t>Nguyễn Thị Thanh Huyền</t>
  </si>
  <si>
    <t>MHD016</t>
  </si>
  <si>
    <t xml:space="preserve">Model: LG 24MP59G </t>
  </si>
  <si>
    <t>BMP011</t>
  </si>
  <si>
    <t>CMT011</t>
  </si>
  <si>
    <t>Model: HSA-P009M</t>
  </si>
  <si>
    <t>BAN039</t>
  </si>
  <si>
    <t>GHE035</t>
  </si>
  <si>
    <t>HTG078</t>
  </si>
  <si>
    <t>MTC002</t>
  </si>
  <si>
    <t>Máy tính Casio</t>
  </si>
  <si>
    <t>AX-12B 12DIGITS</t>
  </si>
  <si>
    <t>KPC003</t>
  </si>
  <si>
    <t>CAS012</t>
  </si>
  <si>
    <t>Intel(R) Core(TM) i5-9400 CPU @ 2.90GHz   2.90 GHz, thông số: RAM-16.0 GB (15.9 GB usable)</t>
  </si>
  <si>
    <t>Lê Thị Trang</t>
  </si>
  <si>
    <t>+SSD120GB
+HDD1TB</t>
  </si>
  <si>
    <t>MHV009</t>
  </si>
  <si>
    <t>Model: ViewSonic VS18115</t>
  </si>
  <si>
    <t>BPM012</t>
  </si>
  <si>
    <t>Model: SK-2120</t>
  </si>
  <si>
    <t>CMT012</t>
  </si>
  <si>
    <t>Model: SM-2022</t>
  </si>
  <si>
    <t>BAN040</t>
  </si>
  <si>
    <t>GHE036</t>
  </si>
  <si>
    <t>HTG008</t>
  </si>
  <si>
    <t>MĐT001</t>
  </si>
  <si>
    <t xml:space="preserve">Máy đếm tiền </t>
  </si>
  <si>
    <t>Model: Oudis - 3200C</t>
  </si>
  <si>
    <t>KET002</t>
  </si>
  <si>
    <t>Két sắt</t>
  </si>
  <si>
    <t>Model: K35, seri 3293, kích thước 680x440x330 cm</t>
  </si>
  <si>
    <t>KEG001</t>
  </si>
  <si>
    <t>Kệ góc</t>
  </si>
  <si>
    <t>Màu trắng, 5 tầng</t>
  </si>
  <si>
    <t>KPC007</t>
  </si>
  <si>
    <t>CAS013</t>
  </si>
  <si>
    <t>Intel(R) Pentium(R) GOLD G4500CPU @ 3.70GHz  3.70 GHz, thông số: RAM-8.0 GB (7.87 GB usable)</t>
  </si>
  <si>
    <t>Bùi Thị Huyền</t>
  </si>
  <si>
    <t>MHV010</t>
  </si>
  <si>
    <t>Model: ViewSonic VS16422</t>
  </si>
  <si>
    <t>BPM013</t>
  </si>
  <si>
    <t>Model: HAS-C001K</t>
  </si>
  <si>
    <t>CMT013</t>
  </si>
  <si>
    <t>Model: HP923574-001</t>
  </si>
  <si>
    <t>BAN041</t>
  </si>
  <si>
    <t>GHE037</t>
  </si>
  <si>
    <t>HTG009</t>
  </si>
  <si>
    <t>Hỏng khoá tủ</t>
  </si>
  <si>
    <t>KPC002</t>
  </si>
  <si>
    <t>CAS014</t>
  </si>
  <si>
    <t xml:space="preserve">Intel(R) Xeon(R) CPU E3-1231 v3@ 3.40GHz  3.40 GHz, thông số: RAM-16.0 GB </t>
  </si>
  <si>
    <t>Trần Thị Diệu Thúy</t>
  </si>
  <si>
    <t>+HDD512GB
+SSD240GB
+SSD120GB</t>
  </si>
  <si>
    <t>MHV011</t>
  </si>
  <si>
    <t>Model: ViewSonic VS16510</t>
  </si>
  <si>
    <t>BPM014</t>
  </si>
  <si>
    <t>Bàn phím máy tính</t>
  </si>
  <si>
    <t>Model: Dareu LK145</t>
  </si>
  <si>
    <t>CMT014</t>
  </si>
  <si>
    <t>Model: HAS- P009M</t>
  </si>
  <si>
    <t>BAN042</t>
  </si>
  <si>
    <t>D120xR60 12 Digits</t>
  </si>
  <si>
    <t>GHE038</t>
  </si>
  <si>
    <t>Đã nứt chân</t>
  </si>
  <si>
    <t>HTG010</t>
  </si>
  <si>
    <t>Đã bị hỏng khóa</t>
  </si>
  <si>
    <t>MTC001</t>
  </si>
  <si>
    <t>AX-12B</t>
  </si>
  <si>
    <t>KPC006</t>
  </si>
  <si>
    <t>CAS001</t>
  </si>
  <si>
    <t xml:space="preserve">Intel(R) Core(TM) i5-10400CPU@ 2.90GHz  2.90 GHz, thông số: RAM-16.0 GB </t>
  </si>
  <si>
    <t>Đỗ Thị Vân</t>
  </si>
  <si>
    <t>MHV001</t>
  </si>
  <si>
    <t>Model: ViewSonic VS16492</t>
  </si>
  <si>
    <t>BPM001</t>
  </si>
  <si>
    <t>Model: AJAZZ</t>
  </si>
  <si>
    <t>CMT002</t>
  </si>
  <si>
    <t>Model: HAS- S001M</t>
  </si>
  <si>
    <t>BAN043</t>
  </si>
  <si>
    <t>GHE039</t>
  </si>
  <si>
    <t>HTG011</t>
  </si>
  <si>
    <t>KPC001</t>
  </si>
  <si>
    <t>HOP028</t>
  </si>
  <si>
    <t>Hộp nhựa HN 615X440X325 mm</t>
  </si>
  <si>
    <t>Chuyến chứng từ sang nhà Mr Sao</t>
  </si>
  <si>
    <t>HOP029</t>
  </si>
  <si>
    <t>HOP030</t>
  </si>
  <si>
    <t>HOP031</t>
  </si>
  <si>
    <t>HOP032</t>
  </si>
  <si>
    <t>HOP033</t>
  </si>
  <si>
    <t>HOP034</t>
  </si>
  <si>
    <t>HOP094</t>
  </si>
  <si>
    <t>Thùng nhựa Song Long KT 515x360x280mm</t>
  </si>
  <si>
    <t>Chuyển chứng từ đi cơ quan thuế</t>
  </si>
  <si>
    <t>HOP096</t>
  </si>
  <si>
    <t>Hộp đựng hàng Kích thước: (515 x 360 x 280)mm</t>
  </si>
  <si>
    <t>MHV018</t>
  </si>
  <si>
    <t>Màn hình viewsonic</t>
  </si>
  <si>
    <t>VX2481-MH</t>
  </si>
  <si>
    <t>Cái</t>
  </si>
  <si>
    <t>Phòng mua hàng</t>
  </si>
  <si>
    <t>Trịnh Thị Kim Dung</t>
  </si>
  <si>
    <t>CAS027</t>
  </si>
  <si>
    <t>Cây máy tính</t>
  </si>
  <si>
    <t>i5-10400, 16GB, ssd240, hdd1TB</t>
  </si>
  <si>
    <t>CMT036</t>
  </si>
  <si>
    <t>HAS-P009M</t>
  </si>
  <si>
    <t>BPM027</t>
  </si>
  <si>
    <t>Bàn phím HP</t>
  </si>
  <si>
    <t>HP320K</t>
  </si>
  <si>
    <t>HTG001</t>
  </si>
  <si>
    <t>Hộc tủ</t>
  </si>
  <si>
    <t>BAN069</t>
  </si>
  <si>
    <t>Bàn làm việc 1m2</t>
  </si>
  <si>
    <t>GHE146</t>
  </si>
  <si>
    <t>Ghế xoay</t>
  </si>
  <si>
    <t>Dép</t>
  </si>
  <si>
    <t>Đôi</t>
  </si>
  <si>
    <t>MHV016</t>
  </si>
  <si>
    <t>VA2418-SH-2</t>
  </si>
  <si>
    <t>Nguyễn Thị Ánh Tuyết</t>
  </si>
  <si>
    <t>LAP034</t>
  </si>
  <si>
    <t>Laptop + sạc</t>
  </si>
  <si>
    <t>Dell 7470 i5 -6300U, RAM 16GB, SSD: 512Gb</t>
  </si>
  <si>
    <t>Mở nhiều file excel máy bị đơ</t>
  </si>
  <si>
    <t>SAC049</t>
  </si>
  <si>
    <t>CMT030</t>
  </si>
  <si>
    <t>HSA-S001M</t>
  </si>
  <si>
    <t>BPM023</t>
  </si>
  <si>
    <t>HSA-P010K</t>
  </si>
  <si>
    <t>HTG036</t>
  </si>
  <si>
    <t>BAN064</t>
  </si>
  <si>
    <t>GHE059</t>
  </si>
  <si>
    <t>CMT033</t>
  </si>
  <si>
    <t>Chuột máy tính</t>
  </si>
  <si>
    <t>Đinh Hải Yến</t>
  </si>
  <si>
    <t>CMT034</t>
  </si>
  <si>
    <t>BPM024</t>
  </si>
  <si>
    <t>Bàn phím</t>
  </si>
  <si>
    <t>BPM025</t>
  </si>
  <si>
    <t>MHV017</t>
  </si>
  <si>
    <t>VX2476-smhd</t>
  </si>
  <si>
    <t>CAS021</t>
  </si>
  <si>
    <t>PC XIGMATEK</t>
  </si>
  <si>
    <t>MHD021</t>
  </si>
  <si>
    <t>Màn hình Dell</t>
  </si>
  <si>
    <t>E2016H</t>
  </si>
  <si>
    <t>CAS022</t>
  </si>
  <si>
    <t>PC Dell Inspiron</t>
  </si>
  <si>
    <t>HTG037</t>
  </si>
  <si>
    <t>BAN065</t>
  </si>
  <si>
    <t>GHE060</t>
  </si>
  <si>
    <t>LAP035</t>
  </si>
  <si>
    <t>Laptop</t>
  </si>
  <si>
    <t>Dell 5580 I7-7820HPQ,16Gb, SSD256GB</t>
  </si>
  <si>
    <t>Nguyễn Thị Hằng</t>
  </si>
  <si>
    <t>CMT031</t>
  </si>
  <si>
    <t xml:space="preserve">Cái </t>
  </si>
  <si>
    <t>SAC050</t>
  </si>
  <si>
    <t>Sạc laptop Dell 5580</t>
  </si>
  <si>
    <t>HTG038</t>
  </si>
  <si>
    <t>BAN066</t>
  </si>
  <si>
    <t>GHE061</t>
  </si>
  <si>
    <t>MHV004</t>
  </si>
  <si>
    <t>Lê Thị Hồng Vân</t>
  </si>
  <si>
    <t>LAP010</t>
  </si>
  <si>
    <t>Laptop Dell</t>
  </si>
  <si>
    <t>Dell Latitude 5400</t>
  </si>
  <si>
    <t>SAC048</t>
  </si>
  <si>
    <t>HTG047</t>
  </si>
  <si>
    <t>BAN068</t>
  </si>
  <si>
    <t>GHE063</t>
  </si>
  <si>
    <t>SMP001</t>
  </si>
  <si>
    <t>Điện thoại Xiaomi 2201117TG</t>
  </si>
  <si>
    <t>Sim điện thoại</t>
  </si>
  <si>
    <t>0968495068</t>
  </si>
  <si>
    <t>CMT032</t>
  </si>
  <si>
    <t>MHD022</t>
  </si>
  <si>
    <t>AOC 24V2Q/74</t>
  </si>
  <si>
    <t>Lê Minh Thùy</t>
  </si>
  <si>
    <t>CAS009</t>
  </si>
  <si>
    <t>i5-10400, 16GB, SSD256GB, HDD 1TB</t>
  </si>
  <si>
    <t>BPM022</t>
  </si>
  <si>
    <t>HP HSA-C001K</t>
  </si>
  <si>
    <t>HTG034</t>
  </si>
  <si>
    <t>BAN062</t>
  </si>
  <si>
    <t>GHE057</t>
  </si>
  <si>
    <t>MHV019</t>
  </si>
  <si>
    <t>LG-24MP59</t>
  </si>
  <si>
    <t>Ngô Thị Hồng Nhung</t>
  </si>
  <si>
    <t>LAP037</t>
  </si>
  <si>
    <t>Latitude E7270 i5-6300U, RAM 4G, SSD 128G,
 VGA Intel HD 520, màn 12.5" Full HD</t>
  </si>
  <si>
    <t>SAC051</t>
  </si>
  <si>
    <t>ĐTH006</t>
  </si>
  <si>
    <t>Điện thoại đen trắng + sạc</t>
  </si>
  <si>
    <t>0978622265</t>
  </si>
  <si>
    <t>Sim</t>
  </si>
  <si>
    <t>HTG083</t>
  </si>
  <si>
    <t>BAN067</t>
  </si>
  <si>
    <t>GHE062</t>
  </si>
  <si>
    <t>CMT035</t>
  </si>
  <si>
    <t>BPM026</t>
  </si>
  <si>
    <t>KES001</t>
  </si>
  <si>
    <t>Kệ để hàng 3 tầng</t>
  </si>
  <si>
    <t>TUS007</t>
  </si>
  <si>
    <t>Tủ sắt đựng tài liệu 3 cánh</t>
  </si>
  <si>
    <t>Tủ</t>
  </si>
  <si>
    <t>OCD001</t>
  </si>
  <si>
    <t>Phích cắm điện</t>
  </si>
  <si>
    <t>OCD078</t>
  </si>
  <si>
    <t>OCD079</t>
  </si>
  <si>
    <t>BAN063</t>
  </si>
  <si>
    <t>Bàn làm viêc</t>
  </si>
  <si>
    <t>Phạm Thị Hồng Ngọc</t>
  </si>
  <si>
    <t>GHE058</t>
  </si>
  <si>
    <t>BAN070</t>
  </si>
  <si>
    <t>BAN071</t>
  </si>
  <si>
    <t>HTG035</t>
  </si>
  <si>
    <t>Cây nóng lạnh Karofi hút bình HC19</t>
  </si>
  <si>
    <t>Hành chính</t>
  </si>
  <si>
    <t>MLN008</t>
  </si>
  <si>
    <t>SSD005</t>
  </si>
  <si>
    <t>Ổ cứng SSD 160GB ATA</t>
  </si>
  <si>
    <t>HTG085</t>
  </si>
  <si>
    <t>HTG079-080-081</t>
  </si>
  <si>
    <t>SAC052</t>
  </si>
  <si>
    <t>Sạc laptop dell PP/N OWW4xy</t>
  </si>
  <si>
    <t>Lưu kho, hỏng, thu hồi từ Dương Xuân Chiến ngày 30/1</t>
  </si>
  <si>
    <t>SIM005</t>
  </si>
  <si>
    <t>SIM006</t>
  </si>
  <si>
    <t>ĐTH007</t>
  </si>
  <si>
    <t>Điện thoại đen trắng</t>
  </si>
  <si>
    <t>ĐTH003</t>
  </si>
  <si>
    <t>ĐTH004</t>
  </si>
  <si>
    <t>ĐTH005</t>
  </si>
  <si>
    <t>SIM003</t>
  </si>
  <si>
    <t>SIM004</t>
  </si>
  <si>
    <t>SIM002</t>
  </si>
  <si>
    <t>KCU001</t>
  </si>
  <si>
    <t>KCU002</t>
  </si>
  <si>
    <t>KCU003</t>
  </si>
  <si>
    <t>KCU004</t>
  </si>
  <si>
    <t>KCU005</t>
  </si>
  <si>
    <t>Khóa chữ U khóa cửa kính</t>
  </si>
  <si>
    <t>SIM007</t>
  </si>
  <si>
    <t>KES002</t>
  </si>
  <si>
    <t>Kệ để hàng 5 tầng (2c), 6 tầng (3c)</t>
  </si>
  <si>
    <t>SĐT002</t>
  </si>
  <si>
    <t>SĐT003</t>
  </si>
  <si>
    <t>Sạc điện thoại đen trắng</t>
  </si>
  <si>
    <t>HOP001</t>
  </si>
  <si>
    <t>HOP002</t>
  </si>
  <si>
    <t>HOP003</t>
  </si>
  <si>
    <t>HOP004</t>
  </si>
  <si>
    <t>HOP005</t>
  </si>
  <si>
    <t>HOP006</t>
  </si>
  <si>
    <t>Hộp nhựa</t>
  </si>
  <si>
    <t>Thời gian ghi tăng</t>
  </si>
  <si>
    <t>Chức vụ : NV Kế toán</t>
  </si>
  <si>
    <t>: Đỗ Thị Vân</t>
  </si>
  <si>
    <t>Mã nhân viên</t>
  </si>
  <si>
    <t>Mã phòng ban</t>
  </si>
  <si>
    <r>
      <t xml:space="preserve">Người sử dụng
</t>
    </r>
    <r>
      <rPr>
        <i/>
        <sz val="12"/>
        <rFont val="Times New Roman"/>
        <family val="1"/>
      </rPr>
      <t>(Nếu là tài sản dùng chung của phòng thì ghi: Người quản lý của phòng)</t>
    </r>
  </si>
  <si>
    <t>Đang sử dụng</t>
  </si>
  <si>
    <t>Mã nguồn gốc tài sản</t>
  </si>
  <si>
    <t>Mã nhà cung cấp</t>
  </si>
  <si>
    <t>Mã loại tài sản</t>
  </si>
  <si>
    <t>Đơn vị tính</t>
  </si>
  <si>
    <r>
      <t>Hiệu lực từ
(</t>
    </r>
    <r>
      <rPr>
        <i/>
        <sz val="12"/>
        <rFont val="Times New Roman"/>
        <family val="1"/>
      </rPr>
      <t>Là ngày bắt đầu được tính bảo hành</t>
    </r>
    <r>
      <rPr>
        <b/>
        <sz val="12"/>
        <rFont val="Times New Roman"/>
        <family val="1"/>
      </rPr>
      <t>)</t>
    </r>
  </si>
  <si>
    <r>
      <rPr>
        <b/>
        <sz val="12"/>
        <rFont val="Times New Roman"/>
        <family val="1"/>
      </rPr>
      <t>Thời gian bảo hành</t>
    </r>
    <r>
      <rPr>
        <i/>
        <sz val="12"/>
        <rFont val="Times New Roman"/>
        <family val="1"/>
      </rPr>
      <t xml:space="preserve">
(Tháng)</t>
    </r>
  </si>
  <si>
    <r>
      <t xml:space="preserve">Số seri
</t>
    </r>
    <r>
      <rPr>
        <b/>
        <i/>
        <sz val="12"/>
        <rFont val="Times New Roman"/>
        <family val="1"/>
      </rPr>
      <t>(</t>
    </r>
    <r>
      <rPr>
        <i/>
        <sz val="12"/>
        <rFont val="Times New Roman"/>
        <family val="1"/>
      </rPr>
      <t>Model, ...</t>
    </r>
    <r>
      <rPr>
        <b/>
        <i/>
        <sz val="12"/>
        <rFont val="Times New Roman"/>
        <family val="1"/>
      </rPr>
      <t>)</t>
    </r>
  </si>
  <si>
    <t>BIEN001</t>
  </si>
  <si>
    <t>Biển phòng giám đốc</t>
  </si>
  <si>
    <t>BIEN002</t>
  </si>
  <si>
    <t>Biển phòng kế toán</t>
  </si>
  <si>
    <t>BIEN003</t>
  </si>
  <si>
    <t>Biển phòng Server</t>
  </si>
  <si>
    <t>BIEN004</t>
  </si>
  <si>
    <t>Biển phòng Họp 1</t>
  </si>
  <si>
    <t>BIEN005</t>
  </si>
  <si>
    <t>Biển phòng Họp 2</t>
  </si>
  <si>
    <t>BIEN006</t>
  </si>
  <si>
    <t>Biển Kho Demo</t>
  </si>
  <si>
    <t>BIEN007</t>
  </si>
  <si>
    <t>BIEN008</t>
  </si>
  <si>
    <t>Biển Kho Vision</t>
  </si>
  <si>
    <t>BIEN009</t>
  </si>
  <si>
    <t>Biển Kho Film</t>
  </si>
  <si>
    <t>BIEN010</t>
  </si>
  <si>
    <t>Biển Kho AGV</t>
  </si>
  <si>
    <t>BIEN011</t>
  </si>
  <si>
    <t>Biển Phòng Sản xuất</t>
  </si>
  <si>
    <t>BIEN013</t>
  </si>
  <si>
    <t xml:space="preserve">Biển Phòng Kinh Doanh </t>
  </si>
  <si>
    <t>BIEN014</t>
  </si>
  <si>
    <t>Biển Phòng WC nữ</t>
  </si>
  <si>
    <t>BIEN015</t>
  </si>
  <si>
    <t>Biển Phòng WC Nam</t>
  </si>
  <si>
    <t>CAM001</t>
  </si>
  <si>
    <t>Camera IP Hồng ngoại 2MP chuẩn nén H.265 DS-2CD1123G0-IUF (Phòng KD)</t>
  </si>
  <si>
    <t>CAM002</t>
  </si>
  <si>
    <t>CAM003</t>
  </si>
  <si>
    <t>Camera IP Hồng ngoại 2MP chuẩn nén H.265 DS-2CD1123G0-IUF (Phòng AVG)</t>
  </si>
  <si>
    <t>CAM004</t>
  </si>
  <si>
    <t>Camera IP Hồng ngoại 2MP chuẩn nén H.265 DS-2CD1123G0-IUF (Phòng AGV)</t>
  </si>
  <si>
    <t>CAM005</t>
  </si>
  <si>
    <t>Camera IP Hồng ngoại 2MP chuẩn nén H.265 DS-2CD1123G0-IUF (Phòng cắt phim)</t>
  </si>
  <si>
    <t>CAM006</t>
  </si>
  <si>
    <t>Camera IP Hồng ngoại 2MP chuẩn nén H.265 DS-2CD1123G0-IUF (Phòng Sảnh)</t>
  </si>
  <si>
    <t>CAM007</t>
  </si>
  <si>
    <t>Camera IP Hồng ngoại 2MP chuẩn nén H.265 DS-2CD1123G0-IUF (Phòng HCNS)</t>
  </si>
  <si>
    <t>CAM008</t>
  </si>
  <si>
    <t>CAM009</t>
  </si>
  <si>
    <t>Camera IP Hồng ngoại 2MP chuẩn nén H.265 DS-2CD1123G0-IUF (Phòng Họp lớn)</t>
  </si>
  <si>
    <t>CAM010</t>
  </si>
  <si>
    <t>Camera IP Hồng ngoại 2MP chuẩn nén H.265 DS-2CD1123G0-IUF (Phòng Kế toán)</t>
  </si>
  <si>
    <t>CAM011</t>
  </si>
  <si>
    <t>CAM012</t>
  </si>
  <si>
    <t>CAM013</t>
  </si>
  <si>
    <t>Camera IP Hồng ngoại 2MP chuẩn nén H.265 DS-2CD1123G0-IUF (Phòng Kỹ thuật)</t>
  </si>
  <si>
    <t>CAM014</t>
  </si>
  <si>
    <t>Camera IP Hồng ngoại 2MP chuẩn nén H.265 DS-2CD1123G0-IUF (Kho BQMS)</t>
  </si>
  <si>
    <t>CAM015</t>
  </si>
  <si>
    <t>Camera IP Hồng ngoại 2MP chuẩn nén H.265 DS-2CD1123G0-IUF (Kho Vision)</t>
  </si>
  <si>
    <t>CAM016</t>
  </si>
  <si>
    <t>Camera IP Hồng ngoại 2MP chuẩn nén H.265 DS-2CD1123G0-IUF (Kho AGV)</t>
  </si>
  <si>
    <t>CAM017</t>
  </si>
  <si>
    <t>Camera IP Hồng ngoại 2MP chuẩn nén H.265 DS-2CD1123G0-IUF (Kho Kỹ thuật)</t>
  </si>
  <si>
    <t>CAM018</t>
  </si>
  <si>
    <t>Camera IP Hồng ngoại 2MP chuẩn nén H.265 DS-2CD1123G0-IUF (Phòng họp nhỏ)</t>
  </si>
  <si>
    <t>CAM019</t>
  </si>
  <si>
    <t>Camera IP Trụ 2M  chuẩn nén H.265+ DS-2CD1023G0-IUF (Hành lang NVS)</t>
  </si>
  <si>
    <t>CAM020</t>
  </si>
  <si>
    <t>Camera IP Trụ 2M chuẩn nén H.265+ DS-2CD1023G0-IUF (Hành lang GD)</t>
  </si>
  <si>
    <t>CAM021</t>
  </si>
  <si>
    <t>Camera IP Trụ 2M chuẩn nén H.265+ DS-2CD1023G0-IUF(Hành lang trước của phòng cắt phim)</t>
  </si>
  <si>
    <t>CAM022</t>
  </si>
  <si>
    <t>DGH001</t>
  </si>
  <si>
    <t>Đầu ghi hình camera IP 32 kênh DS-7632NI-K2 (Phòng Server)</t>
  </si>
  <si>
    <t>MCC001</t>
  </si>
  <si>
    <t>Máy chấm công vân tay + Card mifare màn hình LCD 2.4inch DS-K1T8003MF (Phòng KD)</t>
  </si>
  <si>
    <t>MCC002</t>
  </si>
  <si>
    <t>MCC003</t>
  </si>
  <si>
    <t>MCC004</t>
  </si>
  <si>
    <t>MCC005</t>
  </si>
  <si>
    <t>Máy chấm công vân tay + Card mifare màn hình LCD 2.4inch DS-K1T8003MF (Phòng AGV)</t>
  </si>
  <si>
    <t>MCC006</t>
  </si>
  <si>
    <t>MCC007</t>
  </si>
  <si>
    <t>MCC008</t>
  </si>
  <si>
    <t>MCC009</t>
  </si>
  <si>
    <t>Máy chấm công vân tay + Card mifare màn hình LCD 2.4inch DS-K1T8003MF (Phòng GĐ)</t>
  </si>
  <si>
    <t>MCC010</t>
  </si>
  <si>
    <t>Máy chấm công vân tay + Card mifare màn hình LCD 2.4inch DS-K1T8003MF (Phòng cắt phim)</t>
  </si>
  <si>
    <t>MCC011</t>
  </si>
  <si>
    <t>Máy chấm công vân tay + Card mifare màn hình LCD 2.4inch DS-K1T8003MF (Phòng HCNS)</t>
  </si>
  <si>
    <t>MCC012</t>
  </si>
  <si>
    <t>MCC013</t>
  </si>
  <si>
    <t>Máy chấm công vân tay + Card mifare màn hình LCD 2.4inch DS-K1T8003MF (Phòng Họp lớn)</t>
  </si>
  <si>
    <t>MCC014</t>
  </si>
  <si>
    <t>Máy chấm công vân tay HIKVISION DS-K1T804BMF (Sảnh)</t>
  </si>
  <si>
    <t>NEX001</t>
  </si>
  <si>
    <t>Nút nhấn Exit - Nút nhấn Exit (Phòng KD)</t>
  </si>
  <si>
    <t>NEX002</t>
  </si>
  <si>
    <t>NEX003</t>
  </si>
  <si>
    <t>NEX004</t>
  </si>
  <si>
    <t>NEX005</t>
  </si>
  <si>
    <t>Nút nhấn Exit - Nút nhấn Exit (Phòng AGV)</t>
  </si>
  <si>
    <t>NEX006</t>
  </si>
  <si>
    <t>NEX007</t>
  </si>
  <si>
    <t>NEX008</t>
  </si>
  <si>
    <t>NEX009</t>
  </si>
  <si>
    <t>Nút nhấn Exit - Nút nhấn Exit (Phòng GĐ)</t>
  </si>
  <si>
    <t>NEX010</t>
  </si>
  <si>
    <t>Nút nhấn Exit - Nút nhấn Exit (Phòng cắt phim)</t>
  </si>
  <si>
    <t>NEX011</t>
  </si>
  <si>
    <t>Nút nhấn Exit - Nút nhấn Exit (Sảnh)</t>
  </si>
  <si>
    <t>NEX012</t>
  </si>
  <si>
    <t>Nút nhấn Exit - Nút nhấn Exit (Phòng HCNS)</t>
  </si>
  <si>
    <t>NEX013</t>
  </si>
  <si>
    <t>NEX014</t>
  </si>
  <si>
    <t>Nút nhấn Exit - Nút nhấn Exit (Phòng Họp lớn)</t>
  </si>
  <si>
    <t>SWM001</t>
  </si>
  <si>
    <t>Switch TP-Link TL-SG1016D 16 port gigabit Switch mạng (Phòng Server dùng cho khóa cửa)</t>
  </si>
  <si>
    <t>SWM002</t>
  </si>
  <si>
    <t>Swich mạng Gigabit thông minh 8 cổng DS-3E1508-EI (Phòng Server dùng cho camera)</t>
  </si>
  <si>
    <t>SWM003</t>
  </si>
  <si>
    <t>Switch mạng Gigabit thông minh 8 cổng DS-3E1508-EI (Phòng Server dùng cho camera)</t>
  </si>
  <si>
    <t>SWM004</t>
  </si>
  <si>
    <t>CAP010</t>
  </si>
  <si>
    <t xml:space="preserve">Cap HDMI 1.5m vention </t>
  </si>
  <si>
    <t>CMT062</t>
  </si>
  <si>
    <t>Chuột S88</t>
  </si>
  <si>
    <t xml:space="preserve">Trầu bà bát </t>
  </si>
  <si>
    <t>CAB005</t>
  </si>
  <si>
    <t>CAB006</t>
  </si>
  <si>
    <t>Kệ để lò vi sóng</t>
  </si>
  <si>
    <t>GCQ011</t>
  </si>
  <si>
    <t>GCQ012</t>
  </si>
  <si>
    <t>GCQ013</t>
  </si>
  <si>
    <t>GCQ014</t>
  </si>
  <si>
    <t>GCQ015</t>
  </si>
  <si>
    <t>GCQ016</t>
  </si>
  <si>
    <t>GCQ017</t>
  </si>
  <si>
    <t>GCQ018</t>
  </si>
  <si>
    <t>GCQ019</t>
  </si>
  <si>
    <t>GCQ020</t>
  </si>
  <si>
    <t>GCQ021</t>
  </si>
  <si>
    <t>GCQ022</t>
  </si>
  <si>
    <t>GCQ023</t>
  </si>
  <si>
    <t>GCQ024</t>
  </si>
  <si>
    <t>GCQ025</t>
  </si>
  <si>
    <t>GCQ026</t>
  </si>
  <si>
    <t>GCQ027</t>
  </si>
  <si>
    <t>GCQ028</t>
  </si>
  <si>
    <t>GCQ029</t>
  </si>
  <si>
    <t>GCQ030</t>
  </si>
  <si>
    <t>GCQ031</t>
  </si>
  <si>
    <t>GCQ032</t>
  </si>
  <si>
    <t>GCQ033</t>
  </si>
  <si>
    <t>HTG079</t>
  </si>
  <si>
    <t>HTG080</t>
  </si>
  <si>
    <t>HTG081</t>
  </si>
  <si>
    <t>GHE157</t>
  </si>
  <si>
    <t>MLN005</t>
  </si>
  <si>
    <t>Cây nước nóng lạnh hỏng, chuyển từ phòng Kỹ thuật về để tại phòng server</t>
  </si>
  <si>
    <t>SIM018</t>
  </si>
  <si>
    <t>SIM016</t>
  </si>
  <si>
    <t>Sim ĐT</t>
  </si>
  <si>
    <t>SĐT006</t>
  </si>
  <si>
    <t>Sạc điện thoại</t>
  </si>
  <si>
    <t>CAY014</t>
  </si>
  <si>
    <t>Chậu cây cảnh</t>
  </si>
  <si>
    <t>CAY015</t>
  </si>
  <si>
    <t>CAY017</t>
  </si>
  <si>
    <t>CAY018</t>
  </si>
  <si>
    <t>CAY019</t>
  </si>
  <si>
    <t>SSD007</t>
  </si>
  <si>
    <t>Ổ cứng SSD KingSpec 128GB</t>
  </si>
  <si>
    <t>GHE009</t>
  </si>
  <si>
    <t>BPM005</t>
  </si>
  <si>
    <t>BPM004</t>
  </si>
  <si>
    <t>BPM019</t>
  </si>
  <si>
    <t>KPC017</t>
  </si>
  <si>
    <t>LAP003</t>
  </si>
  <si>
    <t xml:space="preserve">LAPTOP DELL E7270 I5 </t>
  </si>
  <si>
    <t>BGĐ001</t>
  </si>
  <si>
    <t>Bàn giám đốc</t>
  </si>
  <si>
    <t>BGĐ002</t>
  </si>
  <si>
    <t>BGĐ003</t>
  </si>
  <si>
    <t>SIM032</t>
  </si>
  <si>
    <t>SIM033</t>
  </si>
  <si>
    <t>SIM034</t>
  </si>
  <si>
    <t>SIM035</t>
  </si>
  <si>
    <t>SIM036</t>
  </si>
  <si>
    <t>SIM038</t>
  </si>
  <si>
    <t>SIM039</t>
  </si>
  <si>
    <t>SIM040</t>
  </si>
  <si>
    <t>CAD007</t>
  </si>
  <si>
    <t>Card wifi TP link</t>
  </si>
  <si>
    <t>CMT041</t>
  </si>
  <si>
    <t>LAP023</t>
  </si>
  <si>
    <t>Laptop Dell Latitude 5580</t>
  </si>
  <si>
    <t>SAC033</t>
  </si>
  <si>
    <t>LAP012</t>
  </si>
  <si>
    <t>SAC055</t>
  </si>
  <si>
    <t>Sạc laptop DELL</t>
  </si>
  <si>
    <t>LAP021</t>
  </si>
  <si>
    <t>Laptop 4800</t>
  </si>
  <si>
    <t>SAC078</t>
  </si>
  <si>
    <t>HTL001</t>
  </si>
  <si>
    <t>Máy hủy tài liệu Silicon PS-812C</t>
  </si>
  <si>
    <t>ĐTH009</t>
  </si>
  <si>
    <t>Điện thoại Nokia đen trắng + Sạc</t>
  </si>
  <si>
    <t>SĐT005</t>
  </si>
  <si>
    <t>SIM013</t>
  </si>
  <si>
    <t>BCĐ001</t>
  </si>
  <si>
    <t>SSD003</t>
  </si>
  <si>
    <t>Ổ cứng SSD kingtone 250GB SNV2S</t>
  </si>
  <si>
    <t>LAP006</t>
  </si>
  <si>
    <t>Laptop Dell latitude 7490 ( sếp Hoàng)</t>
  </si>
  <si>
    <t>SIM041</t>
  </si>
  <si>
    <t>SIM042</t>
  </si>
  <si>
    <t>SIM043</t>
  </si>
  <si>
    <t>SIM044</t>
  </si>
  <si>
    <t>SIM045</t>
  </si>
  <si>
    <t>KCH004</t>
  </si>
  <si>
    <t>HOP0007</t>
  </si>
  <si>
    <t>HOP0008</t>
  </si>
  <si>
    <t>HOP0009</t>
  </si>
  <si>
    <t>HOP0010</t>
  </si>
  <si>
    <t>HOP0011</t>
  </si>
  <si>
    <t>HOP0012</t>
  </si>
  <si>
    <t>HOP0013</t>
  </si>
  <si>
    <t>OCD029</t>
  </si>
  <si>
    <t>OCD030</t>
  </si>
  <si>
    <t>OCD031</t>
  </si>
  <si>
    <t>OCD032</t>
  </si>
  <si>
    <t>OCD033</t>
  </si>
  <si>
    <t>OCD034</t>
  </si>
  <si>
    <t>HDD001</t>
  </si>
  <si>
    <t>Ổ cứng HDD Western Digital 6TB</t>
  </si>
  <si>
    <t>BPM015</t>
  </si>
  <si>
    <t>CMT010</t>
  </si>
  <si>
    <t>BPM011</t>
  </si>
  <si>
    <t>HOP014</t>
  </si>
  <si>
    <t>HOP015</t>
  </si>
  <si>
    <t>HOP016</t>
  </si>
  <si>
    <t>HOP017</t>
  </si>
  <si>
    <t>HOP018</t>
  </si>
  <si>
    <t>HOP019</t>
  </si>
  <si>
    <t>HOP020</t>
  </si>
  <si>
    <t>HOP021</t>
  </si>
  <si>
    <t>HOP022</t>
  </si>
  <si>
    <t>HOP023</t>
  </si>
  <si>
    <t>HOP024</t>
  </si>
  <si>
    <t>SSD008</t>
  </si>
  <si>
    <t>Ổ cứng SSD Kingston 240GB</t>
  </si>
  <si>
    <t>GHE165</t>
  </si>
  <si>
    <t>Ghế xoay Hòa Phát</t>
  </si>
  <si>
    <t>KPC029</t>
  </si>
  <si>
    <t>KPC027</t>
  </si>
  <si>
    <t>CMT029</t>
  </si>
  <si>
    <t>KPC028</t>
  </si>
  <si>
    <t>KES012</t>
  </si>
  <si>
    <t>Kệ sắt để hàng</t>
  </si>
  <si>
    <t>KES013</t>
  </si>
  <si>
    <t>KES014</t>
  </si>
  <si>
    <t>KES017</t>
  </si>
  <si>
    <t>CTL001</t>
  </si>
  <si>
    <t>Cân tiểu ly 1g-5kg</t>
  </si>
  <si>
    <t>KHA001</t>
  </si>
  <si>
    <t>Kệ hàng 4 tầng, dài 2m, cao 2m, rộng 60cm, tải trọng 300kg/sàn</t>
  </si>
  <si>
    <t xml:space="preserve">Điện thoại đen trắng </t>
  </si>
  <si>
    <t>GHE168</t>
  </si>
  <si>
    <t>CAS018</t>
  </si>
  <si>
    <t>Bộ case PC Hacom I5-11th, ram 16GB, SSD 500GB</t>
  </si>
  <si>
    <t>MHV020</t>
  </si>
  <si>
    <t>HOP025</t>
  </si>
  <si>
    <t>HOP026</t>
  </si>
  <si>
    <t>HOP035</t>
  </si>
  <si>
    <t>HOP036</t>
  </si>
  <si>
    <t>HOP037</t>
  </si>
  <si>
    <t>HOP038</t>
  </si>
  <si>
    <t>HOP039</t>
  </si>
  <si>
    <t>HOP040</t>
  </si>
  <si>
    <t>HOP041</t>
  </si>
  <si>
    <t>HOP042</t>
  </si>
  <si>
    <t>HOP043</t>
  </si>
  <si>
    <t>HOP044</t>
  </si>
  <si>
    <t>HOP045</t>
  </si>
  <si>
    <t>HOP046</t>
  </si>
  <si>
    <t>HOP047</t>
  </si>
  <si>
    <t>HOP048</t>
  </si>
  <si>
    <t>HOP049</t>
  </si>
  <si>
    <t>HOP050</t>
  </si>
  <si>
    <t>HOP051</t>
  </si>
  <si>
    <t>HOP052</t>
  </si>
  <si>
    <t>HOP053</t>
  </si>
  <si>
    <t>HOP054</t>
  </si>
  <si>
    <t>HOP055</t>
  </si>
  <si>
    <t>HOP056</t>
  </si>
  <si>
    <t>HOP057</t>
  </si>
  <si>
    <t>HOP058</t>
  </si>
  <si>
    <t>HOP059</t>
  </si>
  <si>
    <t>HOP060</t>
  </si>
  <si>
    <t>HOP061</t>
  </si>
  <si>
    <t>HOP062</t>
  </si>
  <si>
    <t>HOP063</t>
  </si>
  <si>
    <t>HOP064</t>
  </si>
  <si>
    <t>HOP065</t>
  </si>
  <si>
    <t>HOP066</t>
  </si>
  <si>
    <t>HOP067</t>
  </si>
  <si>
    <t>HOP068</t>
  </si>
  <si>
    <t>HOP069</t>
  </si>
  <si>
    <t>HOP070</t>
  </si>
  <si>
    <t>HOP071</t>
  </si>
  <si>
    <t>HOP072</t>
  </si>
  <si>
    <t>HOP073</t>
  </si>
  <si>
    <t>HOP074</t>
  </si>
  <si>
    <t>HOP075</t>
  </si>
  <si>
    <t>HOP076</t>
  </si>
  <si>
    <t>HOP077</t>
  </si>
  <si>
    <t>HOP078</t>
  </si>
  <si>
    <t>HOP079</t>
  </si>
  <si>
    <t>HOP080</t>
  </si>
  <si>
    <t>HOP081</t>
  </si>
  <si>
    <t>HOP082</t>
  </si>
  <si>
    <t>HOP083</t>
  </si>
  <si>
    <t>HOP084</t>
  </si>
  <si>
    <t>HOP085</t>
  </si>
  <si>
    <t>HOP086</t>
  </si>
  <si>
    <t>HOP087</t>
  </si>
  <si>
    <t>HOP088</t>
  </si>
  <si>
    <t>HOP089</t>
  </si>
  <si>
    <t>HOP090</t>
  </si>
  <si>
    <t>HOP091</t>
  </si>
  <si>
    <t>HOP092</t>
  </si>
  <si>
    <t>HOP093</t>
  </si>
  <si>
    <t>HOP095</t>
  </si>
  <si>
    <t>GIN003</t>
  </si>
  <si>
    <t>Ghế inox lùn 18cm, Pi27, ống phi 22, dày 0,6mm</t>
  </si>
  <si>
    <t>GIN004</t>
  </si>
  <si>
    <t>GIN005</t>
  </si>
  <si>
    <t>XĐH004</t>
  </si>
  <si>
    <t>Xe đẩy hàng</t>
  </si>
  <si>
    <t>KCH005</t>
  </si>
  <si>
    <t>Kệ kết hợp chậu hoa</t>
  </si>
  <si>
    <t>KCH006</t>
  </si>
  <si>
    <t>HOP444</t>
  </si>
  <si>
    <t>HOP445</t>
  </si>
  <si>
    <t>HOP446</t>
  </si>
  <si>
    <t>HOP447</t>
  </si>
  <si>
    <t>HOP448</t>
  </si>
  <si>
    <t>HOP449</t>
  </si>
  <si>
    <t>HOP450</t>
  </si>
  <si>
    <t>HOP451</t>
  </si>
  <si>
    <t>HOP452</t>
  </si>
  <si>
    <t>HOP453</t>
  </si>
  <si>
    <t>HOP454</t>
  </si>
  <si>
    <t>HOP455</t>
  </si>
  <si>
    <t>HOP456</t>
  </si>
  <si>
    <t>HOP457</t>
  </si>
  <si>
    <t>HOP458</t>
  </si>
  <si>
    <t>HOP459</t>
  </si>
  <si>
    <t>HOP460</t>
  </si>
  <si>
    <t>HOP461</t>
  </si>
  <si>
    <t>HOP462</t>
  </si>
  <si>
    <t>HOP463</t>
  </si>
  <si>
    <t>HOP464</t>
  </si>
  <si>
    <t>HOP465</t>
  </si>
  <si>
    <t>HOP466</t>
  </si>
  <si>
    <t>HOP467</t>
  </si>
  <si>
    <t>HOP468</t>
  </si>
  <si>
    <t>HOP469</t>
  </si>
  <si>
    <t>HOP470</t>
  </si>
  <si>
    <t>HOP471</t>
  </si>
  <si>
    <t>HOP472</t>
  </si>
  <si>
    <t>HOP473</t>
  </si>
  <si>
    <t>HOP474</t>
  </si>
  <si>
    <t>HOP475</t>
  </si>
  <si>
    <t>HOP476</t>
  </si>
  <si>
    <t>HOP477</t>
  </si>
  <si>
    <t>BAN156</t>
  </si>
  <si>
    <t>Bàn gỗ</t>
  </si>
  <si>
    <t>BAN157</t>
  </si>
  <si>
    <t>BAN158</t>
  </si>
  <si>
    <t>BAN159</t>
  </si>
  <si>
    <t>BAN160</t>
  </si>
  <si>
    <t>BAN161</t>
  </si>
  <si>
    <t>GHE152</t>
  </si>
  <si>
    <t>GHE153</t>
  </si>
  <si>
    <t>GHE154</t>
  </si>
  <si>
    <t>GHE155</t>
  </si>
  <si>
    <t>GHE156</t>
  </si>
  <si>
    <t>KES004</t>
  </si>
  <si>
    <t>Kệ sắt 4 tầng</t>
  </si>
  <si>
    <t>KES005</t>
  </si>
  <si>
    <t>Kệ sắt 2 tầng</t>
  </si>
  <si>
    <t>TUS013</t>
  </si>
  <si>
    <t>TUD003</t>
  </si>
  <si>
    <t>Tủ nhựa (dạng tủ giày) màu trắng</t>
  </si>
  <si>
    <t>LAP078</t>
  </si>
  <si>
    <t>SAC063</t>
  </si>
  <si>
    <t>MCP001</t>
  </si>
  <si>
    <t>Máy cắt phim</t>
  </si>
  <si>
    <t>MCD001</t>
  </si>
  <si>
    <t>Máy cắt dọc</t>
  </si>
  <si>
    <t>MNK001</t>
  </si>
  <si>
    <t>Máy nén khí</t>
  </si>
  <si>
    <t>MSK001</t>
  </si>
  <si>
    <t>Máy sấy khí</t>
  </si>
  <si>
    <t>QTH001</t>
  </si>
  <si>
    <t>Quạt thổi</t>
  </si>
  <si>
    <t>PAL003</t>
  </si>
  <si>
    <t>Pallet to</t>
  </si>
  <si>
    <t>PAL002</t>
  </si>
  <si>
    <t>Pallet nhỏ</t>
  </si>
  <si>
    <t>HTG095</t>
  </si>
  <si>
    <t>Hộc bàn</t>
  </si>
  <si>
    <t>HOP097</t>
  </si>
  <si>
    <t>Thùng nhựa to</t>
  </si>
  <si>
    <t>HOP098</t>
  </si>
  <si>
    <t>HOP099</t>
  </si>
  <si>
    <t>HOP100</t>
  </si>
  <si>
    <t>HOP101</t>
  </si>
  <si>
    <t>HOP102</t>
  </si>
  <si>
    <t>HOP103</t>
  </si>
  <si>
    <t>HOP104</t>
  </si>
  <si>
    <t>HOP105</t>
  </si>
  <si>
    <t>HOP106</t>
  </si>
  <si>
    <t>HOP107</t>
  </si>
  <si>
    <t>HOP108</t>
  </si>
  <si>
    <t>HOP109</t>
  </si>
  <si>
    <t>Thùng nhựa nhỏ</t>
  </si>
  <si>
    <t>HOP110</t>
  </si>
  <si>
    <t>HOP111</t>
  </si>
  <si>
    <t>HOP112</t>
  </si>
  <si>
    <t>REM001</t>
  </si>
  <si>
    <t>Rèm phòng sạch</t>
  </si>
  <si>
    <t>REM002</t>
  </si>
  <si>
    <t>MCK001</t>
  </si>
  <si>
    <t>Máy check phim</t>
  </si>
  <si>
    <t>OCD080</t>
  </si>
  <si>
    <t>Ổ cắm điện</t>
  </si>
  <si>
    <t>KLU001</t>
  </si>
  <si>
    <t>Kính lúp</t>
  </si>
  <si>
    <t>LAP031</t>
  </si>
  <si>
    <t xml:space="preserve">Laptop </t>
  </si>
  <si>
    <t>SAC064</t>
  </si>
  <si>
    <t>Sạc laptop Dell</t>
  </si>
  <si>
    <t>CMT021</t>
  </si>
  <si>
    <t>ĐTH012</t>
  </si>
  <si>
    <t>Điện thoại</t>
  </si>
  <si>
    <t>SIM019</t>
  </si>
  <si>
    <t>BAN002</t>
  </si>
  <si>
    <t>Bàn</t>
  </si>
  <si>
    <t>GHE001</t>
  </si>
  <si>
    <t>Ghế xoay Hoà Phát</t>
  </si>
  <si>
    <t>HTG003</t>
  </si>
  <si>
    <t>CPU001</t>
  </si>
  <si>
    <t>KPC030</t>
  </si>
  <si>
    <t>MHV005</t>
  </si>
  <si>
    <t>Màn hình máy tính View Sonic</t>
  </si>
  <si>
    <t>BPM003</t>
  </si>
  <si>
    <t>CMT003</t>
  </si>
  <si>
    <t>Chuột có dây HP</t>
  </si>
  <si>
    <t>BAN003</t>
  </si>
  <si>
    <t>GHE004</t>
  </si>
  <si>
    <t>HTG004</t>
  </si>
  <si>
    <t>CAS015</t>
  </si>
  <si>
    <t xml:space="preserve">PC case </t>
  </si>
  <si>
    <t>KPC026</t>
  </si>
  <si>
    <t>MHV012</t>
  </si>
  <si>
    <t>Màn hình ViewSonic</t>
  </si>
  <si>
    <t>BPM016</t>
  </si>
  <si>
    <t>Chuột</t>
  </si>
  <si>
    <t>GHE043</t>
  </si>
  <si>
    <t>HTG025</t>
  </si>
  <si>
    <t>Hộ tủ gỗ</t>
  </si>
  <si>
    <t>BAN047</t>
  </si>
  <si>
    <t>MHV013</t>
  </si>
  <si>
    <t>Màn hình Dell P27 CNOMNJ89WSL00C0KDA02</t>
  </si>
  <si>
    <t>BPM017</t>
  </si>
  <si>
    <t>GHE044</t>
  </si>
  <si>
    <t>BAN048</t>
  </si>
  <si>
    <t>SIM020</t>
  </si>
  <si>
    <t>SMP003</t>
  </si>
  <si>
    <t>Điện thoại Redmi note 10 Snap 675, 4GB, bộ nhớ 64GB, IMEI: 868096052126124 + Sạc pin</t>
  </si>
  <si>
    <t>LAP027</t>
  </si>
  <si>
    <t>SAC075</t>
  </si>
  <si>
    <t>SIM021</t>
  </si>
  <si>
    <t>LAP028</t>
  </si>
  <si>
    <t>SAC079</t>
  </si>
  <si>
    <t>ĐTH013</t>
  </si>
  <si>
    <t>Điện thoại di động</t>
  </si>
  <si>
    <t>SIM022</t>
  </si>
  <si>
    <t>LAP088</t>
  </si>
  <si>
    <t>Laptop Dell Latitude 5420/core i5-1145G7/16GB/SSD 512GB 14"</t>
  </si>
  <si>
    <t>SAC088</t>
  </si>
  <si>
    <t>Sạc laptop Dell Latitude 5420 USB type C</t>
  </si>
  <si>
    <t>LAP079</t>
  </si>
  <si>
    <t>SAC061</t>
  </si>
  <si>
    <t>SMP002</t>
  </si>
  <si>
    <t>SIM029</t>
  </si>
  <si>
    <t>Sim điện thoại 969571798</t>
  </si>
  <si>
    <t>BAN061</t>
  </si>
  <si>
    <t>HTG033</t>
  </si>
  <si>
    <t>GHE056</t>
  </si>
  <si>
    <t>HTG088</t>
  </si>
  <si>
    <t>BAN143</t>
  </si>
  <si>
    <t>GHE148</t>
  </si>
  <si>
    <t>Ghế nhân viên</t>
  </si>
  <si>
    <t>MHV008</t>
  </si>
  <si>
    <t>BPM018</t>
  </si>
  <si>
    <t>CMT016</t>
  </si>
  <si>
    <t>LAP005</t>
  </si>
  <si>
    <t>SAC054</t>
  </si>
  <si>
    <t>HTG087</t>
  </si>
  <si>
    <t>ĐTH008</t>
  </si>
  <si>
    <t>SIM008</t>
  </si>
  <si>
    <t>SIM009</t>
  </si>
  <si>
    <t>SIM010</t>
  </si>
  <si>
    <t>BAN052</t>
  </si>
  <si>
    <t>GHE147</t>
  </si>
  <si>
    <t>KES015</t>
  </si>
  <si>
    <t>kệ trung tải 3 sàn, Cao: 2m, KT: 200x60cm</t>
  </si>
  <si>
    <t>KES016</t>
  </si>
  <si>
    <t>kệ trung tải 3 sàn, Cao: 1.3m, KT: 300x60cm</t>
  </si>
  <si>
    <t>PAL001</t>
  </si>
  <si>
    <t>Pallet 1000x600x100mm (PL04) xanh dương</t>
  </si>
  <si>
    <t>WDD001</t>
  </si>
  <si>
    <t>Bộ phát wifi Tplink  M7200 + dây sạc (wifi di động)</t>
  </si>
  <si>
    <t>SĐT004</t>
  </si>
  <si>
    <t>TUS005</t>
  </si>
  <si>
    <t>Tủ sắt 2 ngăn đựng tài liệu</t>
  </si>
  <si>
    <t>OCD041</t>
  </si>
  <si>
    <t>Ổ điện nối dài</t>
  </si>
  <si>
    <t>OCD042</t>
  </si>
  <si>
    <t>OCD043</t>
  </si>
  <si>
    <t>OCD044</t>
  </si>
  <si>
    <t>OCD045</t>
  </si>
  <si>
    <t>OCD046</t>
  </si>
  <si>
    <t>OCD047</t>
  </si>
  <si>
    <t>TUS006</t>
  </si>
  <si>
    <t>Tủ đựng tài liệu</t>
  </si>
  <si>
    <t>CMT017</t>
  </si>
  <si>
    <t>Chuột máy tính HP</t>
  </si>
  <si>
    <t>LAP029</t>
  </si>
  <si>
    <t xml:space="preserve">Laptop cá nhân </t>
  </si>
  <si>
    <t>SAC080</t>
  </si>
  <si>
    <t>SIM023</t>
  </si>
  <si>
    <t>BAN053</t>
  </si>
  <si>
    <t>Bàn nhân viên</t>
  </si>
  <si>
    <t>GHE048</t>
  </si>
  <si>
    <t>HTG089</t>
  </si>
  <si>
    <t>LAP076</t>
  </si>
  <si>
    <t>Laptop cá nhân</t>
  </si>
  <si>
    <t>SAC065</t>
  </si>
  <si>
    <t>MHV006</t>
  </si>
  <si>
    <t>BAN057</t>
  </si>
  <si>
    <t>GHE052</t>
  </si>
  <si>
    <t>HTG030</t>
  </si>
  <si>
    <t>Hộc tủ cá nhân</t>
  </si>
  <si>
    <t>CAP003</t>
  </si>
  <si>
    <t>Dây HDMI 2m lention</t>
  </si>
  <si>
    <t>CAS031</t>
  </si>
  <si>
    <t>Case PC Hacom  i5-11th, ram 16GB, ssd 500GB</t>
  </si>
  <si>
    <t>LAP077</t>
  </si>
  <si>
    <t>SAC059</t>
  </si>
  <si>
    <t xml:space="preserve"> sạc DELL 65W</t>
  </si>
  <si>
    <t>BAN144</t>
  </si>
  <si>
    <t>GHE150</t>
  </si>
  <si>
    <t>HTG090</t>
  </si>
  <si>
    <t>LAP011</t>
  </si>
  <si>
    <t>CMT020</t>
  </si>
  <si>
    <t xml:space="preserve">Chuột máy tính </t>
  </si>
  <si>
    <t>SAC036</t>
  </si>
  <si>
    <t>Sạc laptop</t>
  </si>
  <si>
    <t>BAN056</t>
  </si>
  <si>
    <t>Bàn làm việc</t>
  </si>
  <si>
    <t>GHE051</t>
  </si>
  <si>
    <t>Ghế ngồi làm việc</t>
  </si>
  <si>
    <t>HTG052</t>
  </si>
  <si>
    <t>SIM012</t>
  </si>
  <si>
    <t>BAN059</t>
  </si>
  <si>
    <t>GHE054</t>
  </si>
  <si>
    <t>HTG032</t>
  </si>
  <si>
    <t>LAP033</t>
  </si>
  <si>
    <t>SAC056</t>
  </si>
  <si>
    <t>LAP032</t>
  </si>
  <si>
    <t>SAC057</t>
  </si>
  <si>
    <t>Sạc</t>
  </si>
  <si>
    <t>SIM014</t>
  </si>
  <si>
    <t>BAN058</t>
  </si>
  <si>
    <t>GHE053</t>
  </si>
  <si>
    <t>HTG031</t>
  </si>
  <si>
    <t>ĐTH010</t>
  </si>
  <si>
    <t>BAN054</t>
  </si>
  <si>
    <t>HTG027</t>
  </si>
  <si>
    <t>GHE049</t>
  </si>
  <si>
    <t>CAP004</t>
  </si>
  <si>
    <t>LAP014</t>
  </si>
  <si>
    <t>CMT023</t>
  </si>
  <si>
    <t>SAC060</t>
  </si>
  <si>
    <t>Sạc máy tính dell</t>
  </si>
  <si>
    <t>SIM017</t>
  </si>
  <si>
    <t>BAN060</t>
  </si>
  <si>
    <t>GHE055</t>
  </si>
  <si>
    <t>HTG091</t>
  </si>
  <si>
    <t>LAP067</t>
  </si>
  <si>
    <t>Laptop 5480</t>
  </si>
  <si>
    <t>SAC035</t>
  </si>
  <si>
    <t>Sạc Laptop</t>
  </si>
  <si>
    <t>BAN051</t>
  </si>
  <si>
    <t>GHE046</t>
  </si>
  <si>
    <t>HTG048</t>
  </si>
  <si>
    <t>LAP045</t>
  </si>
  <si>
    <t>SAC013</t>
  </si>
  <si>
    <t>BAN050</t>
  </si>
  <si>
    <t>GHE149</t>
  </si>
  <si>
    <t>HTG026</t>
  </si>
  <si>
    <t>LAP030</t>
  </si>
  <si>
    <t>SAC058</t>
  </si>
  <si>
    <t>Sạc Laptop Dell</t>
  </si>
  <si>
    <t>CAS019</t>
  </si>
  <si>
    <t>PC</t>
  </si>
  <si>
    <t>MHV007</t>
  </si>
  <si>
    <t>Màn hình 27 inch view sonic</t>
  </si>
  <si>
    <t>ĐTH011</t>
  </si>
  <si>
    <t xml:space="preserve">Điện thoại Nokia đen trắng </t>
  </si>
  <si>
    <t>SIM015</t>
  </si>
  <si>
    <t>BAN055</t>
  </si>
  <si>
    <t>GHE050</t>
  </si>
  <si>
    <t>HTG028</t>
  </si>
  <si>
    <t>BTR010</t>
  </si>
  <si>
    <t>LAP062</t>
  </si>
  <si>
    <t>Laptop 5420</t>
  </si>
  <si>
    <t>SAC062</t>
  </si>
  <si>
    <t>CMT018</t>
  </si>
  <si>
    <t>BAN145</t>
  </si>
  <si>
    <t>GHE151</t>
  </si>
  <si>
    <t>HTG046</t>
  </si>
  <si>
    <t>TUG001</t>
  </si>
  <si>
    <t>Tủ gỗ 3 cánh</t>
  </si>
  <si>
    <t>TUG002</t>
  </si>
  <si>
    <t>Kệ catalogue</t>
  </si>
  <si>
    <t>MLN007</t>
  </si>
  <si>
    <t>Cây nóng lạnh</t>
  </si>
  <si>
    <t>CAY016</t>
  </si>
  <si>
    <t>Chậu cây cảnh phòng Kinh doanh</t>
  </si>
  <si>
    <t>XĐH003</t>
  </si>
  <si>
    <t>BAN146</t>
  </si>
  <si>
    <t>BAN147</t>
  </si>
  <si>
    <t>BAN148</t>
  </si>
  <si>
    <t>BAN149</t>
  </si>
  <si>
    <t>BAN150</t>
  </si>
  <si>
    <t>BAN151</t>
  </si>
  <si>
    <t>BAN152</t>
  </si>
  <si>
    <t>BAN153</t>
  </si>
  <si>
    <t>BAN004</t>
  </si>
  <si>
    <t>BAN005</t>
  </si>
  <si>
    <t>HTG092</t>
  </si>
  <si>
    <t>HTG093</t>
  </si>
  <si>
    <t>HTG005</t>
  </si>
  <si>
    <t>KES003</t>
  </si>
  <si>
    <t>Kệ sắt</t>
  </si>
  <si>
    <t>MKH001</t>
  </si>
  <si>
    <t xml:space="preserve">Máy khò </t>
  </si>
  <si>
    <t>BAN049</t>
  </si>
  <si>
    <t>GHE045</t>
  </si>
  <si>
    <t>HTG029</t>
  </si>
  <si>
    <t>LAP084</t>
  </si>
  <si>
    <t>Laptop Dell 5400 i5-8265u, ram 16GB, ssd 512 GB, S/n: GHDG 533</t>
  </si>
  <si>
    <t>SAC084</t>
  </si>
  <si>
    <t>Bộ Sạc laptop Dell PP/N: 0JNKWD</t>
  </si>
  <si>
    <t>CMT059</t>
  </si>
  <si>
    <t>Chuột máy tính S88</t>
  </si>
  <si>
    <t>GHE166</t>
  </si>
  <si>
    <t>GHE167</t>
  </si>
  <si>
    <t>SIM011</t>
  </si>
  <si>
    <t>ĐTH021</t>
  </si>
  <si>
    <t>GHE169</t>
  </si>
  <si>
    <t>HOP113</t>
  </si>
  <si>
    <t>HOP114</t>
  </si>
  <si>
    <t>HOP115</t>
  </si>
  <si>
    <t>HOP116</t>
  </si>
  <si>
    <t>HOP117</t>
  </si>
  <si>
    <t>HOP118</t>
  </si>
  <si>
    <t>HOP119</t>
  </si>
  <si>
    <t>HOP120</t>
  </si>
  <si>
    <t>HOP121</t>
  </si>
  <si>
    <t>HOP122</t>
  </si>
  <si>
    <t>HOP123</t>
  </si>
  <si>
    <t>HOP124</t>
  </si>
  <si>
    <t>HOP125</t>
  </si>
  <si>
    <t>HOP126</t>
  </si>
  <si>
    <t>HOP127</t>
  </si>
  <si>
    <t>HOP128</t>
  </si>
  <si>
    <t>HOP129</t>
  </si>
  <si>
    <t>HOP130</t>
  </si>
  <si>
    <t>HOP131</t>
  </si>
  <si>
    <t>HOP132</t>
  </si>
  <si>
    <t>HOP133</t>
  </si>
  <si>
    <t>HOP134</t>
  </si>
  <si>
    <t>HOP135</t>
  </si>
  <si>
    <t>HOP136</t>
  </si>
  <si>
    <t>HOP137</t>
  </si>
  <si>
    <t>HOP138</t>
  </si>
  <si>
    <t>HOP139</t>
  </si>
  <si>
    <t>HOP140</t>
  </si>
  <si>
    <t>HOP141</t>
  </si>
  <si>
    <t>HOP142</t>
  </si>
  <si>
    <t>HOP143</t>
  </si>
  <si>
    <t>HOP144</t>
  </si>
  <si>
    <t>HOP145</t>
  </si>
  <si>
    <t>HOP146</t>
  </si>
  <si>
    <t>HOP147</t>
  </si>
  <si>
    <t>HOP148</t>
  </si>
  <si>
    <t>HOP149</t>
  </si>
  <si>
    <t>HOP150</t>
  </si>
  <si>
    <t>HOP151</t>
  </si>
  <si>
    <t>HOP152</t>
  </si>
  <si>
    <t>HOP153</t>
  </si>
  <si>
    <t>HOP154</t>
  </si>
  <si>
    <t>HOP155</t>
  </si>
  <si>
    <t>HOP156</t>
  </si>
  <si>
    <t>HOP157</t>
  </si>
  <si>
    <t>HOP158</t>
  </si>
  <si>
    <t>HOP159</t>
  </si>
  <si>
    <t>HOP160</t>
  </si>
  <si>
    <t>HOP161</t>
  </si>
  <si>
    <t>HOP162</t>
  </si>
  <si>
    <t>HOP163</t>
  </si>
  <si>
    <t>HOP164</t>
  </si>
  <si>
    <t>HOP165</t>
  </si>
  <si>
    <t>HOP166</t>
  </si>
  <si>
    <t>HOP167</t>
  </si>
  <si>
    <t>HOP168</t>
  </si>
  <si>
    <t>HOP169</t>
  </si>
  <si>
    <t>HOP170</t>
  </si>
  <si>
    <t>HOP171</t>
  </si>
  <si>
    <t>HOP172</t>
  </si>
  <si>
    <t>HOP173</t>
  </si>
  <si>
    <t>HOP174</t>
  </si>
  <si>
    <t>HOP175</t>
  </si>
  <si>
    <t>HOP176</t>
  </si>
  <si>
    <t>HOP177</t>
  </si>
  <si>
    <t>HOP178</t>
  </si>
  <si>
    <t>HOP179</t>
  </si>
  <si>
    <t>HOP180</t>
  </si>
  <si>
    <t>HOP181</t>
  </si>
  <si>
    <t>HOP182</t>
  </si>
  <si>
    <t>HOP183</t>
  </si>
  <si>
    <t>HOP184</t>
  </si>
  <si>
    <t>HOP185</t>
  </si>
  <si>
    <t>HOP186</t>
  </si>
  <si>
    <t>HOP187</t>
  </si>
  <si>
    <t>HOP188</t>
  </si>
  <si>
    <t>HOP189</t>
  </si>
  <si>
    <t>HOP190</t>
  </si>
  <si>
    <t>HOP191</t>
  </si>
  <si>
    <t>HOP192</t>
  </si>
  <si>
    <t>HOP193</t>
  </si>
  <si>
    <t>HOP194</t>
  </si>
  <si>
    <t>HOP195</t>
  </si>
  <si>
    <t>HOP196</t>
  </si>
  <si>
    <t>HOP197</t>
  </si>
  <si>
    <t>HOP198</t>
  </si>
  <si>
    <t>HOP199</t>
  </si>
  <si>
    <t>HOP200</t>
  </si>
  <si>
    <t>HOP201</t>
  </si>
  <si>
    <t>HOP202</t>
  </si>
  <si>
    <t>HOP203</t>
  </si>
  <si>
    <t>HOP204</t>
  </si>
  <si>
    <t>HOP205</t>
  </si>
  <si>
    <t>HOP206</t>
  </si>
  <si>
    <t>HOP207</t>
  </si>
  <si>
    <t>HOP208</t>
  </si>
  <si>
    <t>HOP209</t>
  </si>
  <si>
    <t>HOP210</t>
  </si>
  <si>
    <t>HOP211</t>
  </si>
  <si>
    <t>HOP212</t>
  </si>
  <si>
    <t>HOP213</t>
  </si>
  <si>
    <t>HOP214</t>
  </si>
  <si>
    <t>HOP215</t>
  </si>
  <si>
    <t>HOP216</t>
  </si>
  <si>
    <t>HOP217</t>
  </si>
  <si>
    <t>HOP218</t>
  </si>
  <si>
    <t>HOP219</t>
  </si>
  <si>
    <t>MHD020</t>
  </si>
  <si>
    <t>CAS020</t>
  </si>
  <si>
    <t>HTG045</t>
  </si>
  <si>
    <t>GHE064</t>
  </si>
  <si>
    <t>BAN072</t>
  </si>
  <si>
    <t>KPC021</t>
  </si>
  <si>
    <t>BPM028</t>
  </si>
  <si>
    <t>CMT038</t>
  </si>
  <si>
    <t>VAG001</t>
  </si>
  <si>
    <t>Dây VGA và đầu chuyển VGA =&gt; HDMI</t>
  </si>
  <si>
    <t>LAP024</t>
  </si>
  <si>
    <t>SAC076</t>
  </si>
  <si>
    <t>CMT006</t>
  </si>
  <si>
    <t>Chuột ko dây</t>
  </si>
  <si>
    <t>CPU004</t>
  </si>
  <si>
    <t xml:space="preserve">Cây máy tính </t>
  </si>
  <si>
    <t>BPM009</t>
  </si>
  <si>
    <t xml:space="preserve">Bàn phím </t>
  </si>
  <si>
    <t>CMT008</t>
  </si>
  <si>
    <t>Chuột có dây</t>
  </si>
  <si>
    <t>MHD044</t>
  </si>
  <si>
    <t>Màn hình</t>
  </si>
  <si>
    <t>HTG096</t>
  </si>
  <si>
    <t>GHE027</t>
  </si>
  <si>
    <t>KPC014</t>
  </si>
  <si>
    <t>LAP025</t>
  </si>
  <si>
    <t>Laptop Dell precition 7510</t>
  </si>
  <si>
    <t>SAC053</t>
  </si>
  <si>
    <t>CMT004</t>
  </si>
  <si>
    <t>MHD034</t>
  </si>
  <si>
    <t>Màn hình LD Manital 24MP60GB</t>
  </si>
  <si>
    <t>BAN109</t>
  </si>
  <si>
    <t>Bàn làm việc chân chữ X</t>
  </si>
  <si>
    <t>GHE100</t>
  </si>
  <si>
    <t>MHD005</t>
  </si>
  <si>
    <t>CPU005</t>
  </si>
  <si>
    <t>KPC012</t>
  </si>
  <si>
    <t>HTG053</t>
  </si>
  <si>
    <t>GHE025</t>
  </si>
  <si>
    <t>BPM029</t>
  </si>
  <si>
    <t>CMT061</t>
  </si>
  <si>
    <t>BAN027</t>
  </si>
  <si>
    <t>SSD004</t>
  </si>
  <si>
    <t>ổ cứng SSD Kington 240GB</t>
  </si>
  <si>
    <t>CAS010</t>
  </si>
  <si>
    <t>Máy tính  cây</t>
  </si>
  <si>
    <t>BPM010</t>
  </si>
  <si>
    <t>GHE023</t>
  </si>
  <si>
    <t>MHD010</t>
  </si>
  <si>
    <t>HTG022</t>
  </si>
  <si>
    <t>KPC010</t>
  </si>
  <si>
    <t>BAN025</t>
  </si>
  <si>
    <t>CMT040</t>
  </si>
  <si>
    <t>Chuột máy tính logitech G102</t>
  </si>
  <si>
    <t>CAS007</t>
  </si>
  <si>
    <t>KPC013</t>
  </si>
  <si>
    <t>HTG024</t>
  </si>
  <si>
    <t>GHE026</t>
  </si>
  <si>
    <t>BAN029</t>
  </si>
  <si>
    <t>BPM007</t>
  </si>
  <si>
    <t>CMT043</t>
  </si>
  <si>
    <t>MHD043</t>
  </si>
  <si>
    <t>Màn hình máy tính PC</t>
  </si>
  <si>
    <t>HTG094</t>
  </si>
  <si>
    <t>GHE099</t>
  </si>
  <si>
    <t>MHD009</t>
  </si>
  <si>
    <t>CAS003</t>
  </si>
  <si>
    <t>Máy tính cây</t>
  </si>
  <si>
    <t>USB002</t>
  </si>
  <si>
    <t>Cáp HDMI</t>
  </si>
  <si>
    <t>KPC008</t>
  </si>
  <si>
    <t>BAN030</t>
  </si>
  <si>
    <t>BPM031</t>
  </si>
  <si>
    <t>CMT044</t>
  </si>
  <si>
    <t>CPU006</t>
  </si>
  <si>
    <t>HTG055</t>
  </si>
  <si>
    <t>GHE101</t>
  </si>
  <si>
    <t>KPC015</t>
  </si>
  <si>
    <t>BAN028</t>
  </si>
  <si>
    <t>BPM030</t>
  </si>
  <si>
    <t>CMT042</t>
  </si>
  <si>
    <t>MHD006</t>
  </si>
  <si>
    <t>CAS008</t>
  </si>
  <si>
    <t>HTG023</t>
  </si>
  <si>
    <t>GHE024</t>
  </si>
  <si>
    <t>BAN026</t>
  </si>
  <si>
    <t>KPC011</t>
  </si>
  <si>
    <t>BPM008</t>
  </si>
  <si>
    <t>CMT007</t>
  </si>
  <si>
    <t>MHD032</t>
  </si>
  <si>
    <t>CAS006</t>
  </si>
  <si>
    <t>KPC009</t>
  </si>
  <si>
    <t>HTG021</t>
  </si>
  <si>
    <t>GHE022</t>
  </si>
  <si>
    <t>BAN024</t>
  </si>
  <si>
    <t>BPM006</t>
  </si>
  <si>
    <t>Bàn phím Daren</t>
  </si>
  <si>
    <t>CMT039</t>
  </si>
  <si>
    <t>MHD014</t>
  </si>
  <si>
    <t>HTG097</t>
  </si>
  <si>
    <t>GHE028</t>
  </si>
  <si>
    <t>LAP015</t>
  </si>
  <si>
    <t>Laptop Dell Precision 7530</t>
  </si>
  <si>
    <t>SAC066</t>
  </si>
  <si>
    <t>CMT009</t>
  </si>
  <si>
    <t>BAN032</t>
  </si>
  <si>
    <t>SSD006</t>
  </si>
  <si>
    <t>Ổ cứng SSD Intel 670p 512 GB NVME</t>
  </si>
  <si>
    <t>BTR008</t>
  </si>
  <si>
    <t>Bảng trắng +chân di động</t>
  </si>
  <si>
    <t>BTR009</t>
  </si>
  <si>
    <t>Bảng di động 2 mặt từ trắng OVAL PRO 1m2x1m5</t>
  </si>
  <si>
    <t>BNG001</t>
  </si>
  <si>
    <t>Bộ bàn nguội Workbench cơ bản</t>
  </si>
  <si>
    <t>BNG002</t>
  </si>
  <si>
    <t>BNG003</t>
  </si>
  <si>
    <t>BAN033</t>
  </si>
  <si>
    <t>BAN034</t>
  </si>
  <si>
    <t>HTG054</t>
  </si>
  <si>
    <t>OCD024</t>
  </si>
  <si>
    <t>OCD025</t>
  </si>
  <si>
    <t>OCD026</t>
  </si>
  <si>
    <t>OCD027</t>
  </si>
  <si>
    <t>OCD028</t>
  </si>
  <si>
    <t>OCD081</t>
  </si>
  <si>
    <t>OCD082</t>
  </si>
  <si>
    <t>OCD083</t>
  </si>
  <si>
    <t>GHE164</t>
  </si>
  <si>
    <t>HTG098</t>
  </si>
  <si>
    <t>LAP020</t>
  </si>
  <si>
    <t>Laptop Dell Latitude 5400</t>
  </si>
  <si>
    <t>SAC001</t>
  </si>
  <si>
    <t>Sạc Laptop Dell Latitude 5400</t>
  </si>
  <si>
    <t>MHD012</t>
  </si>
  <si>
    <t>HTG016</t>
  </si>
  <si>
    <t>SSD</t>
  </si>
  <si>
    <t>Ổ cứng SSD Samsung</t>
  </si>
  <si>
    <t>GHE012</t>
  </si>
  <si>
    <t>BAN014</t>
  </si>
  <si>
    <t>LAP018</t>
  </si>
  <si>
    <t>SAC070</t>
  </si>
  <si>
    <t>MHD011</t>
  </si>
  <si>
    <t>SSD001</t>
  </si>
  <si>
    <t>Ổ cứng</t>
  </si>
  <si>
    <t>SSD002</t>
  </si>
  <si>
    <t>RAM001</t>
  </si>
  <si>
    <t>Ram DĐR4 16GB</t>
  </si>
  <si>
    <t>BAN020</t>
  </si>
  <si>
    <t>HTG100</t>
  </si>
  <si>
    <t>KPC018</t>
  </si>
  <si>
    <t>LAP019</t>
  </si>
  <si>
    <t>Laptop Dell Latitude 5480</t>
  </si>
  <si>
    <t>SAC031</t>
  </si>
  <si>
    <t>Sạc Laptop Dell Latitude 5480</t>
  </si>
  <si>
    <t>MHD033</t>
  </si>
  <si>
    <t>HTG058</t>
  </si>
  <si>
    <t>BAN019</t>
  </si>
  <si>
    <t>GHE019</t>
  </si>
  <si>
    <t>LAP063</t>
  </si>
  <si>
    <t>Laptop Dell Latitude 5420</t>
  </si>
  <si>
    <t>SAC071</t>
  </si>
  <si>
    <t>Sạc Laptop Dell Latitude 5420</t>
  </si>
  <si>
    <t>MHH001</t>
  </si>
  <si>
    <t>HTG012</t>
  </si>
  <si>
    <t>GHE158</t>
  </si>
  <si>
    <t>BAN006</t>
  </si>
  <si>
    <t>MHD013</t>
  </si>
  <si>
    <t>GHE011</t>
  </si>
  <si>
    <t>BAN013</t>
  </si>
  <si>
    <t>HTG057</t>
  </si>
  <si>
    <t>LAP009</t>
  </si>
  <si>
    <t>SAC032</t>
  </si>
  <si>
    <t>MHD007</t>
  </si>
  <si>
    <t>HTG017</t>
  </si>
  <si>
    <t>GHE013</t>
  </si>
  <si>
    <t>BAN015</t>
  </si>
  <si>
    <t>GHE008</t>
  </si>
  <si>
    <t>BAN010</t>
  </si>
  <si>
    <t>MHD003</t>
  </si>
  <si>
    <t>LAP008</t>
  </si>
  <si>
    <t>SAC005</t>
  </si>
  <si>
    <t>HTG014</t>
  </si>
  <si>
    <t>LAP004</t>
  </si>
  <si>
    <t>SAC004</t>
  </si>
  <si>
    <t>MHD045</t>
  </si>
  <si>
    <t>BPM032</t>
  </si>
  <si>
    <t>HTG018</t>
  </si>
  <si>
    <t>GHE015</t>
  </si>
  <si>
    <t>BAN016</t>
  </si>
  <si>
    <t>CAS028</t>
  </si>
  <si>
    <t>Máy tính  cây Server</t>
  </si>
  <si>
    <t>KPC016</t>
  </si>
  <si>
    <t>LAP051</t>
  </si>
  <si>
    <t>SAC069</t>
  </si>
  <si>
    <t>GHE016</t>
  </si>
  <si>
    <t>BAN017</t>
  </si>
  <si>
    <t>HTG019</t>
  </si>
  <si>
    <t>CMT046</t>
  </si>
  <si>
    <t>LAP026</t>
  </si>
  <si>
    <t>GHE005</t>
  </si>
  <si>
    <t>BAN007</t>
  </si>
  <si>
    <t>SAC067</t>
  </si>
  <si>
    <t>LAP007</t>
  </si>
  <si>
    <t>SAC068</t>
  </si>
  <si>
    <t>MHD018</t>
  </si>
  <si>
    <t>HTG013</t>
  </si>
  <si>
    <t>GHE007</t>
  </si>
  <si>
    <t>BAN009</t>
  </si>
  <si>
    <t>GHE006</t>
  </si>
  <si>
    <t>BAN008</t>
  </si>
  <si>
    <t>HTG059</t>
  </si>
  <si>
    <t>LAP068</t>
  </si>
  <si>
    <t>SAC037</t>
  </si>
  <si>
    <t>HTG056</t>
  </si>
  <si>
    <t>GHE010</t>
  </si>
  <si>
    <t>BAN012</t>
  </si>
  <si>
    <t>MHD052</t>
  </si>
  <si>
    <t>Màn hình Dell P2422H</t>
  </si>
  <si>
    <t>CAP011</t>
  </si>
  <si>
    <t>Dây HDMI vention 1.5m</t>
  </si>
  <si>
    <t>LAP085</t>
  </si>
  <si>
    <t>Laptop Dell 7520, i7 -7820hq, 16GB, ssd 512GB</t>
  </si>
  <si>
    <t>SAC085</t>
  </si>
  <si>
    <t>Bộ sạc Dell PP/N: OWw4xy</t>
  </si>
  <si>
    <t>MHD019</t>
  </si>
  <si>
    <t>Màn hình Dell P2319H</t>
  </si>
  <si>
    <t>VGA004</t>
  </si>
  <si>
    <t>Cáp VGA - VGA</t>
  </si>
  <si>
    <t>LAP087</t>
  </si>
  <si>
    <t>LAPTOP Dell Latitude 5420/core i5-1145G7/16GB/SSD 512 GB/ Intel Iris Xe graphics 14.0" FHD</t>
  </si>
  <si>
    <t>SAC087</t>
  </si>
  <si>
    <t>LAP064</t>
  </si>
  <si>
    <t>Laptop Latitude 5420</t>
  </si>
  <si>
    <t>SAC003</t>
  </si>
  <si>
    <t>MHD008</t>
  </si>
  <si>
    <t>HTG015</t>
  </si>
  <si>
    <t>CPU003</t>
  </si>
  <si>
    <t>CMT005</t>
  </si>
  <si>
    <t>BAN011</t>
  </si>
  <si>
    <t>BOX001</t>
  </si>
  <si>
    <t>BOX mSATA/M2 (box chuyển SSD M2 sang Sata 2.5)</t>
  </si>
  <si>
    <t>GHE017</t>
  </si>
  <si>
    <t>BAN018</t>
  </si>
  <si>
    <t>HTG086</t>
  </si>
  <si>
    <t>LAP080</t>
  </si>
  <si>
    <t>Laptop dell 5420 s/n DMS66D3 i5-1135GB</t>
  </si>
  <si>
    <t>SAC073</t>
  </si>
  <si>
    <t>Bộ sạc Dell type C</t>
  </si>
  <si>
    <t>MHD051</t>
  </si>
  <si>
    <t>Màn hình dell P2422H</t>
  </si>
  <si>
    <t>GHE018</t>
  </si>
  <si>
    <t>GHE014</t>
  </si>
  <si>
    <t>BAN021</t>
  </si>
  <si>
    <t>BAN022</t>
  </si>
  <si>
    <t>BAN023</t>
  </si>
  <si>
    <t>HTG020</t>
  </si>
  <si>
    <t>HTG099</t>
  </si>
  <si>
    <t>OCD002</t>
  </si>
  <si>
    <t>OCD003</t>
  </si>
  <si>
    <t>OCD015</t>
  </si>
  <si>
    <t>Ổ cắm nối dài</t>
  </si>
  <si>
    <t>OCD016</t>
  </si>
  <si>
    <t>OCD017</t>
  </si>
  <si>
    <t>OCD018</t>
  </si>
  <si>
    <t>OCD019</t>
  </si>
  <si>
    <t>OCD020</t>
  </si>
  <si>
    <t>OCD021</t>
  </si>
  <si>
    <t>OCD022</t>
  </si>
  <si>
    <t>OCD023</t>
  </si>
  <si>
    <t>KCH007</t>
  </si>
  <si>
    <t>Kệ chậu hoa</t>
  </si>
  <si>
    <t>KCH008</t>
  </si>
  <si>
    <t>KES006</t>
  </si>
  <si>
    <t>Kệ sắt kho AGV (4 chiếc 6 tầng, 2 chiếc 5 tầng)</t>
  </si>
  <si>
    <t>MTD001</t>
  </si>
  <si>
    <t>Móc treo dụng cụ- Cái</t>
  </si>
  <si>
    <t>MTD002</t>
  </si>
  <si>
    <t>MTD003</t>
  </si>
  <si>
    <t>MTD004</t>
  </si>
  <si>
    <t>MTD005</t>
  </si>
  <si>
    <t>BTD001</t>
  </si>
  <si>
    <t>Bảng treo dụng cụ-1500*450*1.2mm</t>
  </si>
  <si>
    <t>BTD002</t>
  </si>
  <si>
    <t>HOP220</t>
  </si>
  <si>
    <t>HOP221</t>
  </si>
  <si>
    <t>HOP222</t>
  </si>
  <si>
    <t>HOP223</t>
  </si>
  <si>
    <t>HOP224</t>
  </si>
  <si>
    <t>HOP225</t>
  </si>
  <si>
    <t>HOP226</t>
  </si>
  <si>
    <t>HOP227</t>
  </si>
  <si>
    <t>HOP228</t>
  </si>
  <si>
    <t>HOP229</t>
  </si>
  <si>
    <t>HOP230</t>
  </si>
  <si>
    <t>HOP231</t>
  </si>
  <si>
    <t>HOP232</t>
  </si>
  <si>
    <t>HOP233</t>
  </si>
  <si>
    <t>HOP234</t>
  </si>
  <si>
    <t>HOP235</t>
  </si>
  <si>
    <t>HOP236</t>
  </si>
  <si>
    <t>HOP237</t>
  </si>
  <si>
    <t>HOP238</t>
  </si>
  <si>
    <t>HOP239</t>
  </si>
  <si>
    <t>HOP240</t>
  </si>
  <si>
    <t>HOP241</t>
  </si>
  <si>
    <t>HOP242</t>
  </si>
  <si>
    <t>HOP243</t>
  </si>
  <si>
    <t>HOP244</t>
  </si>
  <si>
    <t>HOP245</t>
  </si>
  <si>
    <t>HOP246</t>
  </si>
  <si>
    <t>HOP247</t>
  </si>
  <si>
    <t>HOP248</t>
  </si>
  <si>
    <t>HOP249</t>
  </si>
  <si>
    <t>HOP250</t>
  </si>
  <si>
    <t>HOP251</t>
  </si>
  <si>
    <t>HOP252</t>
  </si>
  <si>
    <t>HOP438</t>
  </si>
  <si>
    <t>HOP439</t>
  </si>
  <si>
    <t>HOP440</t>
  </si>
  <si>
    <t>HOP441</t>
  </si>
  <si>
    <t>HOP442</t>
  </si>
  <si>
    <t>HOP443</t>
  </si>
  <si>
    <t>MLN006</t>
  </si>
  <si>
    <t>Cây nước nóng lạnh Fujie khu vực AGV</t>
  </si>
  <si>
    <t>ODI001</t>
  </si>
  <si>
    <t>Ổ điện đa năng kéo dài Masterplug trắng</t>
  </si>
  <si>
    <t>OCD004</t>
  </si>
  <si>
    <t>OCD005</t>
  </si>
  <si>
    <t>OCD010</t>
  </si>
  <si>
    <t>OCD011</t>
  </si>
  <si>
    <t>OCD012</t>
  </si>
  <si>
    <t>OCD013</t>
  </si>
  <si>
    <t>OCD014</t>
  </si>
  <si>
    <t>OCD035</t>
  </si>
  <si>
    <t>Ổ cắm điện 6 lỗ, E6030U-CB 10, Ampe, dây dẫn dài 3m</t>
  </si>
  <si>
    <t>OCD036</t>
  </si>
  <si>
    <t>OCD037</t>
  </si>
  <si>
    <t>OCD038</t>
  </si>
  <si>
    <t>OCD039</t>
  </si>
  <si>
    <t>OCD040</t>
  </si>
  <si>
    <t>OCD048</t>
  </si>
  <si>
    <t>Ổ Cắm Điện</t>
  </si>
  <si>
    <t>OCD049</t>
  </si>
  <si>
    <t>OCD050</t>
  </si>
  <si>
    <t>OCD051</t>
  </si>
  <si>
    <t>OCD052</t>
  </si>
  <si>
    <t>OCD053</t>
  </si>
  <si>
    <t>OCD054</t>
  </si>
  <si>
    <t>OCD055</t>
  </si>
  <si>
    <t>OCD056</t>
  </si>
  <si>
    <t>OCD057</t>
  </si>
  <si>
    <t>KES007</t>
  </si>
  <si>
    <t>HOP253</t>
  </si>
  <si>
    <t>HOP254</t>
  </si>
  <si>
    <t>HOP255</t>
  </si>
  <si>
    <t>HOP256</t>
  </si>
  <si>
    <t>HOP257</t>
  </si>
  <si>
    <t>HOP258</t>
  </si>
  <si>
    <t>HOP259</t>
  </si>
  <si>
    <t>HOP260</t>
  </si>
  <si>
    <t>HOP261</t>
  </si>
  <si>
    <t>HOP262</t>
  </si>
  <si>
    <t>HOP263</t>
  </si>
  <si>
    <t>HOP264</t>
  </si>
  <si>
    <t>HOP265</t>
  </si>
  <si>
    <t>HOP266</t>
  </si>
  <si>
    <t>HOP267</t>
  </si>
  <si>
    <t>HOP268</t>
  </si>
  <si>
    <t>HOP269</t>
  </si>
  <si>
    <t>HOP270</t>
  </si>
  <si>
    <t>HOP271</t>
  </si>
  <si>
    <t>HOP272</t>
  </si>
  <si>
    <t>HOP273</t>
  </si>
  <si>
    <t>HOP274</t>
  </si>
  <si>
    <t>HOP275</t>
  </si>
  <si>
    <t>HOP276</t>
  </si>
  <si>
    <t>HOP277</t>
  </si>
  <si>
    <t>HOP278</t>
  </si>
  <si>
    <t>HOP279</t>
  </si>
  <si>
    <t>HOP280</t>
  </si>
  <si>
    <t>HOP281</t>
  </si>
  <si>
    <t>HOP282</t>
  </si>
  <si>
    <t>HOP283</t>
  </si>
  <si>
    <t>HOP284</t>
  </si>
  <si>
    <t>HOP285</t>
  </si>
  <si>
    <t>HOP286</t>
  </si>
  <si>
    <t>HOP287</t>
  </si>
  <si>
    <t>HOP288</t>
  </si>
  <si>
    <t>HOP289</t>
  </si>
  <si>
    <t>HOP290</t>
  </si>
  <si>
    <t>HOP291</t>
  </si>
  <si>
    <t>HOP292</t>
  </si>
  <si>
    <t>HOP293</t>
  </si>
  <si>
    <t>HOP294</t>
  </si>
  <si>
    <t>HOP295</t>
  </si>
  <si>
    <t>HOP296</t>
  </si>
  <si>
    <t>HOP297</t>
  </si>
  <si>
    <t>HOP298</t>
  </si>
  <si>
    <t>HOP299</t>
  </si>
  <si>
    <t>HOP300</t>
  </si>
  <si>
    <t>HOP301</t>
  </si>
  <si>
    <t>HOP302</t>
  </si>
  <si>
    <t>HOP303</t>
  </si>
  <si>
    <t>HOP304</t>
  </si>
  <si>
    <t>HOP305</t>
  </si>
  <si>
    <t>HOP306</t>
  </si>
  <si>
    <t>HOP307</t>
  </si>
  <si>
    <t>HOP308</t>
  </si>
  <si>
    <t>HOP309</t>
  </si>
  <si>
    <t>HOP310</t>
  </si>
  <si>
    <t>HOP311</t>
  </si>
  <si>
    <t>HOP312</t>
  </si>
  <si>
    <t>HOP313</t>
  </si>
  <si>
    <t>HOP314</t>
  </si>
  <si>
    <t>HOP315</t>
  </si>
  <si>
    <t>HOP316</t>
  </si>
  <si>
    <t>HOP317</t>
  </si>
  <si>
    <t>HOP318</t>
  </si>
  <si>
    <t>HOP319</t>
  </si>
  <si>
    <t>HOP320</t>
  </si>
  <si>
    <t>HOP321</t>
  </si>
  <si>
    <t>HOP322</t>
  </si>
  <si>
    <t>HOP323</t>
  </si>
  <si>
    <t>HOP324</t>
  </si>
  <si>
    <t>HOP325</t>
  </si>
  <si>
    <t>HOP326</t>
  </si>
  <si>
    <t>HOP327</t>
  </si>
  <si>
    <t>HOP328</t>
  </si>
  <si>
    <t>HOP329</t>
  </si>
  <si>
    <t>HOP330</t>
  </si>
  <si>
    <t>HOP331</t>
  </si>
  <si>
    <t>HOP332</t>
  </si>
  <si>
    <t>HOP333</t>
  </si>
  <si>
    <t>HOP334</t>
  </si>
  <si>
    <t>HOP335</t>
  </si>
  <si>
    <t>HOP336</t>
  </si>
  <si>
    <t>HOP337</t>
  </si>
  <si>
    <t>HOP338</t>
  </si>
  <si>
    <t>HOP339</t>
  </si>
  <si>
    <t>HOP340</t>
  </si>
  <si>
    <t>HOP341</t>
  </si>
  <si>
    <t>HOP342</t>
  </si>
  <si>
    <t>HOP343</t>
  </si>
  <si>
    <t>HOP344</t>
  </si>
  <si>
    <t>HOP345</t>
  </si>
  <si>
    <t>HOP346</t>
  </si>
  <si>
    <t>HOP347</t>
  </si>
  <si>
    <t>HOP348</t>
  </si>
  <si>
    <t>HOP349</t>
  </si>
  <si>
    <t>HOP350</t>
  </si>
  <si>
    <t>HOP351</t>
  </si>
  <si>
    <t>HOP352</t>
  </si>
  <si>
    <t>HOP353</t>
  </si>
  <si>
    <t>HOP354</t>
  </si>
  <si>
    <t>HOP355</t>
  </si>
  <si>
    <t>HOP356</t>
  </si>
  <si>
    <t>HOP357</t>
  </si>
  <si>
    <t>HOP358</t>
  </si>
  <si>
    <t>HOP359</t>
  </si>
  <si>
    <t>HOP360</t>
  </si>
  <si>
    <t>HOP361</t>
  </si>
  <si>
    <t>HOP362</t>
  </si>
  <si>
    <t>HOP363</t>
  </si>
  <si>
    <t>HOP364</t>
  </si>
  <si>
    <t>HOP365</t>
  </si>
  <si>
    <t>HOP366</t>
  </si>
  <si>
    <t>HOP367</t>
  </si>
  <si>
    <t>HOP368</t>
  </si>
  <si>
    <t>HOP369</t>
  </si>
  <si>
    <t>TUS008</t>
  </si>
  <si>
    <t>Tủ sắt 2 cánh</t>
  </si>
  <si>
    <t>MHD017</t>
  </si>
  <si>
    <t>Màn hình dell</t>
  </si>
  <si>
    <t>BXA001</t>
  </si>
  <si>
    <t>Bảng xanh kho Kỹ thuật</t>
  </si>
  <si>
    <t>MHD047</t>
  </si>
  <si>
    <t>Màn dell</t>
  </si>
  <si>
    <t>CAS023</t>
  </si>
  <si>
    <t>MHD048</t>
  </si>
  <si>
    <t>CAS005</t>
  </si>
  <si>
    <t>MHD049</t>
  </si>
  <si>
    <t>CAS004</t>
  </si>
  <si>
    <t>MHD050</t>
  </si>
  <si>
    <t>BAN110</t>
  </si>
  <si>
    <t>BAN001</t>
  </si>
  <si>
    <t>BAN074</t>
  </si>
  <si>
    <t>BAN108</t>
  </si>
  <si>
    <t>BAN073</t>
  </si>
  <si>
    <t>BAN154</t>
  </si>
  <si>
    <t>COD001</t>
  </si>
  <si>
    <t>Máy đọc mã vạch cầm tay +cáp (2D BARCODE SCANNER)</t>
  </si>
  <si>
    <t>COD002</t>
  </si>
  <si>
    <t>2D BARCODE SCANNER + CÁP</t>
  </si>
  <si>
    <t>LAP038</t>
  </si>
  <si>
    <t>SAC007</t>
  </si>
  <si>
    <t>Sạc lap</t>
  </si>
  <si>
    <t>MHD025</t>
  </si>
  <si>
    <t>HTG039</t>
  </si>
  <si>
    <t>BAN075</t>
  </si>
  <si>
    <t>MHD036</t>
  </si>
  <si>
    <t>CAS024</t>
  </si>
  <si>
    <t>HTG040</t>
  </si>
  <si>
    <t>GHE066</t>
  </si>
  <si>
    <t>Ghê xoay đen</t>
  </si>
  <si>
    <t>BAN077</t>
  </si>
  <si>
    <t>KPC023</t>
  </si>
  <si>
    <t>BPM034</t>
  </si>
  <si>
    <t>CAP001</t>
  </si>
  <si>
    <t>Cap máy in 1,5m USB 2.0 ugreen 10350 đầu mạ vàng</t>
  </si>
  <si>
    <t>DVD001</t>
  </si>
  <si>
    <t>Ổ ghi Asus DVD - RW SDRW-08D2S-U</t>
  </si>
  <si>
    <t>VGA003</t>
  </si>
  <si>
    <t>Dây VGA 1,5m</t>
  </si>
  <si>
    <t>CAD004</t>
  </si>
  <si>
    <t>Card mạng wifi TP link AC1200 bluetooth 4.2 PCIe</t>
  </si>
  <si>
    <t>BPM035</t>
  </si>
  <si>
    <t>CMT047</t>
  </si>
  <si>
    <t>GIN001</t>
  </si>
  <si>
    <t>GIN002</t>
  </si>
  <si>
    <t>LAP060</t>
  </si>
  <si>
    <t>SAC029</t>
  </si>
  <si>
    <t>ĐTH014</t>
  </si>
  <si>
    <t>SIM024</t>
  </si>
  <si>
    <t>LAP002</t>
  </si>
  <si>
    <t>SAC038</t>
  </si>
  <si>
    <t>sạc Laptop</t>
  </si>
  <si>
    <t>USB003</t>
  </si>
  <si>
    <t>Cáp chuyển đổi ethernet sang usb</t>
  </si>
  <si>
    <t>LAP071</t>
  </si>
  <si>
    <t>Laptop dell 7390 i5 -8250u, ram 166B, SSD512GB</t>
  </si>
  <si>
    <t>SAC043</t>
  </si>
  <si>
    <t>Bộ sạc Dell</t>
  </si>
  <si>
    <t>LAP017</t>
  </si>
  <si>
    <t>Laptop Dell 6BK1J72</t>
  </si>
  <si>
    <t>SAC017</t>
  </si>
  <si>
    <t>Sạc Dell</t>
  </si>
  <si>
    <t>SAC008</t>
  </si>
  <si>
    <t>LAP066</t>
  </si>
  <si>
    <t>Laptop Dell 8Q8KL33</t>
  </si>
  <si>
    <t>MHD031</t>
  </si>
  <si>
    <t>Màn hình P2319 H</t>
  </si>
  <si>
    <t>BPM039</t>
  </si>
  <si>
    <t>LAP047</t>
  </si>
  <si>
    <t>MHD027</t>
  </si>
  <si>
    <t>SAC015</t>
  </si>
  <si>
    <t>LAP065</t>
  </si>
  <si>
    <t>SAC019</t>
  </si>
  <si>
    <t>ĐTH018</t>
  </si>
  <si>
    <t>Điện thoại đen trắng Nokia</t>
  </si>
  <si>
    <t>SIM027</t>
  </si>
  <si>
    <t>CAD011</t>
  </si>
  <si>
    <t>Card manli gerforce RTX 3060 12GB</t>
  </si>
  <si>
    <t>LAP049</t>
  </si>
  <si>
    <t>Laptop S/N: 2M0KNN2</t>
  </si>
  <si>
    <t>SAC039</t>
  </si>
  <si>
    <t>Sạc Laptop LA130PM190</t>
  </si>
  <si>
    <t>MHD002</t>
  </si>
  <si>
    <t>Màn Hình PRO P2391H (CV66P1)</t>
  </si>
  <si>
    <t>LAP050</t>
  </si>
  <si>
    <t>SAC018</t>
  </si>
  <si>
    <t>MHD046</t>
  </si>
  <si>
    <t>Màn Hình</t>
  </si>
  <si>
    <t>CMT054</t>
  </si>
  <si>
    <t>ĐTH016</t>
  </si>
  <si>
    <t>Điện thoại di động + Sim</t>
  </si>
  <si>
    <t>SIM025</t>
  </si>
  <si>
    <t>CAS029</t>
  </si>
  <si>
    <t>Cây PC</t>
  </si>
  <si>
    <t>MHD026</t>
  </si>
  <si>
    <t>Màn hình máy tính Dell</t>
  </si>
  <si>
    <t>LAP040</t>
  </si>
  <si>
    <t>Laptop dell Latitude 5580</t>
  </si>
  <si>
    <t>BPM036</t>
  </si>
  <si>
    <t>CMT048</t>
  </si>
  <si>
    <t>SAC072</t>
  </si>
  <si>
    <t>KPC025</t>
  </si>
  <si>
    <t>BAN076</t>
  </si>
  <si>
    <t>LAP070</t>
  </si>
  <si>
    <t>Laptop Dell E7390</t>
  </si>
  <si>
    <t>SAC042</t>
  </si>
  <si>
    <t>LAP036</t>
  </si>
  <si>
    <t>Laptop Dell latitude 7480 i5/16GB/256 GB</t>
  </si>
  <si>
    <t>SAC021</t>
  </si>
  <si>
    <t>Sạc Dell 130W</t>
  </si>
  <si>
    <t>KPC024</t>
  </si>
  <si>
    <t>Kệ để Case máy tính</t>
  </si>
  <si>
    <t>CAD003</t>
  </si>
  <si>
    <t>Card mạng wifi TP link archer TFE PCIe, bluetooth40</t>
  </si>
  <si>
    <t>BPM041</t>
  </si>
  <si>
    <t>CMT019</t>
  </si>
  <si>
    <t>MHD029</t>
  </si>
  <si>
    <t>Màn hình vi tính (LCD) DELL PRO P2319H</t>
  </si>
  <si>
    <t>LAP054</t>
  </si>
  <si>
    <t>Laptop DELL Latitude 5400</t>
  </si>
  <si>
    <t>SAC011</t>
  </si>
  <si>
    <t>CMT050</t>
  </si>
  <si>
    <t>BPM038</t>
  </si>
  <si>
    <t>KPC019</t>
  </si>
  <si>
    <t>CAS016</t>
  </si>
  <si>
    <t>CAD006</t>
  </si>
  <si>
    <t>Card Wifi TP-link Archer T2E</t>
  </si>
  <si>
    <t>LAP001</t>
  </si>
  <si>
    <t>Laptop DELL Latitude 5580</t>
  </si>
  <si>
    <t>SAC077</t>
  </si>
  <si>
    <t>LAP058</t>
  </si>
  <si>
    <t>SAC026</t>
  </si>
  <si>
    <t>CMT055</t>
  </si>
  <si>
    <t>LAP013</t>
  </si>
  <si>
    <t>SAC027</t>
  </si>
  <si>
    <t>ĐTH017</t>
  </si>
  <si>
    <t>Điện thoại đen trắng + sim</t>
  </si>
  <si>
    <t>SIM026</t>
  </si>
  <si>
    <t>0981264068</t>
  </si>
  <si>
    <t>LAP083</t>
  </si>
  <si>
    <t>Laptop Dell 7390 i5 -8350u, ram 166B, SSD512GB</t>
  </si>
  <si>
    <t>SAC083</t>
  </si>
  <si>
    <t>Sạc Dell PP/N: 06TFFF</t>
  </si>
  <si>
    <t>CMT058</t>
  </si>
  <si>
    <t>BAN086</t>
  </si>
  <si>
    <t>MHD004</t>
  </si>
  <si>
    <t>Màn hình vi tính (LCD) DELL PRO- S/N: OKJ599R</t>
  </si>
  <si>
    <t>LAP044</t>
  </si>
  <si>
    <t>Laptop DELL - S/N: C9PSBH2</t>
  </si>
  <si>
    <t>CAS030</t>
  </si>
  <si>
    <t>PC để bàn GIPCO</t>
  </si>
  <si>
    <t>BPM037</t>
  </si>
  <si>
    <t>CMT049</t>
  </si>
  <si>
    <t>KPC022</t>
  </si>
  <si>
    <t>SAC012</t>
  </si>
  <si>
    <t>LAP055</t>
  </si>
  <si>
    <t>SAC040</t>
  </si>
  <si>
    <t>LAP039</t>
  </si>
  <si>
    <t>SAC081</t>
  </si>
  <si>
    <t>LAP046</t>
  </si>
  <si>
    <t>SAC014</t>
  </si>
  <si>
    <t>MHD053</t>
  </si>
  <si>
    <t>ĐTH019</t>
  </si>
  <si>
    <t>Điện thoại đen trắng + SIM</t>
  </si>
  <si>
    <t>SIM030</t>
  </si>
  <si>
    <t>LAP053</t>
  </si>
  <si>
    <t>Laptop 5580</t>
  </si>
  <si>
    <t>SAC022</t>
  </si>
  <si>
    <t>MHD024</t>
  </si>
  <si>
    <t>BPM043</t>
  </si>
  <si>
    <t>CMT053</t>
  </si>
  <si>
    <t>CAP009</t>
  </si>
  <si>
    <t>Cáp HDMI 1,5m lention</t>
  </si>
  <si>
    <t>LAP057</t>
  </si>
  <si>
    <t>SAC023</t>
  </si>
  <si>
    <t>MHD030</t>
  </si>
  <si>
    <t>LAP048</t>
  </si>
  <si>
    <t>SAC016</t>
  </si>
  <si>
    <t>MHD023</t>
  </si>
  <si>
    <t>CMT052</t>
  </si>
  <si>
    <t>BPM042</t>
  </si>
  <si>
    <t>Bàn phím máy</t>
  </si>
  <si>
    <t>LAP043</t>
  </si>
  <si>
    <t>SAC010</t>
  </si>
  <si>
    <t>CMT056</t>
  </si>
  <si>
    <t>LAP042</t>
  </si>
  <si>
    <t>SAC030</t>
  </si>
  <si>
    <t>MHD028</t>
  </si>
  <si>
    <t>BPM040</t>
  </si>
  <si>
    <t>CMT051</t>
  </si>
  <si>
    <t>LAP052</t>
  </si>
  <si>
    <t>Máy tính Dell 5580</t>
  </si>
  <si>
    <t>SAC020</t>
  </si>
  <si>
    <t>Sạc máy tính Dell 5580</t>
  </si>
  <si>
    <t>ĐTH015</t>
  </si>
  <si>
    <t>Điện thoại + Cim</t>
  </si>
  <si>
    <t>SIM028</t>
  </si>
  <si>
    <t>LAP059</t>
  </si>
  <si>
    <t>SAC028</t>
  </si>
  <si>
    <t>ĐTH020</t>
  </si>
  <si>
    <t>SIM031</t>
  </si>
  <si>
    <t>Sim 0969625798</t>
  </si>
  <si>
    <t>LAP061</t>
  </si>
  <si>
    <t>SAC024</t>
  </si>
  <si>
    <t>LAP082</t>
  </si>
  <si>
    <t>SAC082</t>
  </si>
  <si>
    <t>LAP069</t>
  </si>
  <si>
    <t>SAC041</t>
  </si>
  <si>
    <t>LAP081</t>
  </si>
  <si>
    <t>Laptop dell latitude 7390 i5-8250u, ram 16GB, ssd 512GB. S/n: 6IJL6S2</t>
  </si>
  <si>
    <t>SAC074</t>
  </si>
  <si>
    <t>Bộ sạc dell Dp/n: 064x7</t>
  </si>
  <si>
    <t>CMT057</t>
  </si>
  <si>
    <t>LAP089</t>
  </si>
  <si>
    <t>Laptop Dell 7390 i5 -8250u, ram 16GB, ssd 512 GB</t>
  </si>
  <si>
    <t>SAC089</t>
  </si>
  <si>
    <t>Bộ sạc Dell 06TFFF</t>
  </si>
  <si>
    <t>KCH009</t>
  </si>
  <si>
    <t>KCH010</t>
  </si>
  <si>
    <t>KCH011</t>
  </si>
  <si>
    <t>KCH012</t>
  </si>
  <si>
    <t>KCH013</t>
  </si>
  <si>
    <t>KCH014</t>
  </si>
  <si>
    <t>KCH015</t>
  </si>
  <si>
    <t>KCH016</t>
  </si>
  <si>
    <t>CAY020</t>
  </si>
  <si>
    <t>Cây cảnh</t>
  </si>
  <si>
    <t>KSA004</t>
  </si>
  <si>
    <t>Kệ sách</t>
  </si>
  <si>
    <t>KSA005</t>
  </si>
  <si>
    <t>HTG041</t>
  </si>
  <si>
    <t>HTG042</t>
  </si>
  <si>
    <t>HTG043</t>
  </si>
  <si>
    <t>HTG050</t>
  </si>
  <si>
    <t>HTG049</t>
  </si>
  <si>
    <t>HTG051</t>
  </si>
  <si>
    <t>HTG044</t>
  </si>
  <si>
    <t>HTG101</t>
  </si>
  <si>
    <t>HTG102</t>
  </si>
  <si>
    <t>HTG103</t>
  </si>
  <si>
    <t>HTG104</t>
  </si>
  <si>
    <t>HTG105</t>
  </si>
  <si>
    <t>HTG106</t>
  </si>
  <si>
    <t>HTG107</t>
  </si>
  <si>
    <t>HTG108</t>
  </si>
  <si>
    <t>HTG109</t>
  </si>
  <si>
    <t>HTG110</t>
  </si>
  <si>
    <t>HTG111</t>
  </si>
  <si>
    <t>HTG112</t>
  </si>
  <si>
    <t>HTG113</t>
  </si>
  <si>
    <t>HTG114</t>
  </si>
  <si>
    <t>BAN078</t>
  </si>
  <si>
    <t>BAN079</t>
  </si>
  <si>
    <t>BAN080</t>
  </si>
  <si>
    <t>BAN081</t>
  </si>
  <si>
    <t>BAN082</t>
  </si>
  <si>
    <t>BAN083</t>
  </si>
  <si>
    <t>BAN084</t>
  </si>
  <si>
    <t>BAN085</t>
  </si>
  <si>
    <t>BAN087</t>
  </si>
  <si>
    <t>BAN088</t>
  </si>
  <si>
    <t>BAN089</t>
  </si>
  <si>
    <t>BAN090</t>
  </si>
  <si>
    <t>BAN091</t>
  </si>
  <si>
    <t>BAN092</t>
  </si>
  <si>
    <t>BAN093</t>
  </si>
  <si>
    <t>BAN094</t>
  </si>
  <si>
    <t>BAN095</t>
  </si>
  <si>
    <t>BAN096</t>
  </si>
  <si>
    <t>BAN097</t>
  </si>
  <si>
    <t>BAN098</t>
  </si>
  <si>
    <t>BAN099</t>
  </si>
  <si>
    <t>BAN100</t>
  </si>
  <si>
    <t>BAN101</t>
  </si>
  <si>
    <t>BAN102</t>
  </si>
  <si>
    <t>BAN103</t>
  </si>
  <si>
    <t>BAN104</t>
  </si>
  <si>
    <t>BAN105</t>
  </si>
  <si>
    <t>BAN106</t>
  </si>
  <si>
    <t>BAN107</t>
  </si>
  <si>
    <t>BAN155</t>
  </si>
  <si>
    <t>BAN162</t>
  </si>
  <si>
    <t>BAN163</t>
  </si>
  <si>
    <t>BAN164</t>
  </si>
  <si>
    <t>BAN165</t>
  </si>
  <si>
    <t>BAN166</t>
  </si>
  <si>
    <t>BAN167</t>
  </si>
  <si>
    <t>GHE102</t>
  </si>
  <si>
    <t>GHE103</t>
  </si>
  <si>
    <t>GHE104</t>
  </si>
  <si>
    <t>GHE105</t>
  </si>
  <si>
    <t>GHE106</t>
  </si>
  <si>
    <t>GHE107</t>
  </si>
  <si>
    <t>GHE108</t>
  </si>
  <si>
    <t>GHE065</t>
  </si>
  <si>
    <t>GHE067</t>
  </si>
  <si>
    <t>GHE068</t>
  </si>
  <si>
    <t>GHE069</t>
  </si>
  <si>
    <t>GHE070</t>
  </si>
  <si>
    <t>GHE071</t>
  </si>
  <si>
    <t>GHE072</t>
  </si>
  <si>
    <t>GHE073</t>
  </si>
  <si>
    <t>GHE074</t>
  </si>
  <si>
    <t>GHE075</t>
  </si>
  <si>
    <t>GHE076</t>
  </si>
  <si>
    <t>GHE077</t>
  </si>
  <si>
    <t>GHE078</t>
  </si>
  <si>
    <t>GHE079</t>
  </si>
  <si>
    <t>GHE080</t>
  </si>
  <si>
    <t>GHE081</t>
  </si>
  <si>
    <t>GHE082</t>
  </si>
  <si>
    <t>GHE083</t>
  </si>
  <si>
    <t>GHE084</t>
  </si>
  <si>
    <t>GHE085</t>
  </si>
  <si>
    <t>GHE086</t>
  </si>
  <si>
    <t>GHE087</t>
  </si>
  <si>
    <t>GHE088</t>
  </si>
  <si>
    <t>GHE089</t>
  </si>
  <si>
    <t>GHE090</t>
  </si>
  <si>
    <t>GHE091</t>
  </si>
  <si>
    <t>GHE092</t>
  </si>
  <si>
    <t>GHE093</t>
  </si>
  <si>
    <t>GHE094</t>
  </si>
  <si>
    <t>GHE095</t>
  </si>
  <si>
    <t>GHE096</t>
  </si>
  <si>
    <t>GHE159</t>
  </si>
  <si>
    <t>GHE160</t>
  </si>
  <si>
    <t>GHE161</t>
  </si>
  <si>
    <t>GHE162</t>
  </si>
  <si>
    <t>GHE163</t>
  </si>
  <si>
    <t>GHE047</t>
  </si>
  <si>
    <t>GHE029</t>
  </si>
  <si>
    <t>GHE030</t>
  </si>
  <si>
    <t>GHE031</t>
  </si>
  <si>
    <t>GHE032</t>
  </si>
  <si>
    <t>GHE020</t>
  </si>
  <si>
    <t>GHE021</t>
  </si>
  <si>
    <t>GHE002</t>
  </si>
  <si>
    <t>GHE003</t>
  </si>
  <si>
    <t>KPC020</t>
  </si>
  <si>
    <t>SMP004</t>
  </si>
  <si>
    <t>Điện thoại di động Redmi 10A
Graphite Gray 2GB RAM 32GB
ROM_MZB0B8BEU- IMEI:
869150060117234</t>
  </si>
  <si>
    <t>SĐT: 0964790069</t>
  </si>
  <si>
    <t>Chậu cây cảnh mộc hương</t>
  </si>
  <si>
    <t>Latitude 5400</t>
  </si>
  <si>
    <t>65w</t>
  </si>
  <si>
    <t>Intel Core i5-6300U ( 2 nhân 4 luồng) ,Turbo 3.0 GHz, Cache 3MB</t>
  </si>
  <si>
    <t>0961137916</t>
  </si>
  <si>
    <t>kệ trung tải  3 sàn , D3000xR600xC2000 =  ghép 2  bộ dài 1500mm</t>
  </si>
  <si>
    <t>Kệ trung tải 4 sàn, D2000xR600xC2000</t>
  </si>
  <si>
    <t>Kệ trung tải 3 sàn, D1500 x R600 x C2000</t>
  </si>
  <si>
    <t xml:space="preserve">Kệ sắt kích thước D1500xR600xC2000 </t>
  </si>
  <si>
    <t>Hộp nhựa size 615x440x325</t>
  </si>
  <si>
    <t>Hộp nhựa size 515x360x280</t>
  </si>
  <si>
    <t>615x440x325</t>
  </si>
  <si>
    <t>615x440x326</t>
  </si>
  <si>
    <t>615x440x327</t>
  </si>
  <si>
    <t>615x440x328</t>
  </si>
  <si>
    <t>615x440x329</t>
  </si>
  <si>
    <t>615x440x330</t>
  </si>
  <si>
    <t>615x440x331</t>
  </si>
  <si>
    <t>615x440x332</t>
  </si>
  <si>
    <t>615x440x333</t>
  </si>
  <si>
    <t>615x440x334</t>
  </si>
  <si>
    <t>615x440x335</t>
  </si>
  <si>
    <t>615x440x336</t>
  </si>
  <si>
    <t>435x310x210</t>
  </si>
  <si>
    <t>2400x2900mm</t>
  </si>
  <si>
    <t>1600x3000mm</t>
  </si>
  <si>
    <t>036 5077688</t>
  </si>
  <si>
    <t>Intel(R) Core(TM) i5-10400 CPU @ 2.90GHz   2.90 GHz
RAM: 16.0 GB</t>
  </si>
  <si>
    <t>VA2418-SH</t>
  </si>
  <si>
    <t>HSA-D005M</t>
  </si>
  <si>
    <t>Z-POWER 500</t>
  </si>
  <si>
    <t>ViewSonic VA2418-SH-2</t>
  </si>
  <si>
    <t>1906EM614001257</t>
  </si>
  <si>
    <t>D120 x R60</t>
  </si>
  <si>
    <t>SĐT 0975922265</t>
  </si>
  <si>
    <t>SĐT 0986244983</t>
  </si>
  <si>
    <t>Dell Latitude E7270</t>
  </si>
  <si>
    <t>SĐT 0965526069</t>
  </si>
  <si>
    <t>Dell</t>
  </si>
  <si>
    <t>Ghế tựa da màu đen</t>
  </si>
  <si>
    <t>HSA-C001K</t>
  </si>
  <si>
    <t>HP 672662-001</t>
  </si>
  <si>
    <t>Hãng itel</t>
  </si>
  <si>
    <t>Kệ sắt kích thước 2mx2mx0,6m</t>
  </si>
  <si>
    <t>Kệ sắt kích thước 1,3mx2mx0,6m</t>
  </si>
  <si>
    <t xml:space="preserve">Nokia </t>
  </si>
  <si>
    <t>Chuột có dây HP: P/N: L96910-001</t>
  </si>
  <si>
    <t>Laptap DELL Latitude 5400</t>
  </si>
  <si>
    <t>sạc DELL 65W</t>
  </si>
  <si>
    <t>Laptap DELL Latitude 7270 + sạc DELL 65W</t>
  </si>
  <si>
    <t>ViewSonic VA2418SH - W41210541361</t>
  </si>
  <si>
    <t xml:space="preserve">HP </t>
  </si>
  <si>
    <t xml:space="preserve">Dell   </t>
  </si>
  <si>
    <t>0976 027 698</t>
  </si>
  <si>
    <t>latitude 5400</t>
  </si>
  <si>
    <t>LA65NM130</t>
  </si>
  <si>
    <t>DELL 5400. SN: 1RFM633</t>
  </si>
  <si>
    <t>0967805189</t>
  </si>
  <si>
    <t>Rộng 0.4m</t>
  </si>
  <si>
    <t>Ghế đen</t>
  </si>
  <si>
    <t>HP</t>
  </si>
  <si>
    <t>0967952869</t>
  </si>
  <si>
    <t xml:space="preserve">Intel(R) Core(TM) i7-7820HQ CPU @ 2.90GHz   2.90 GHz
16.0 GB (15.9 GB usable)
</t>
  </si>
  <si>
    <t>Ghế tựa, có đệm, xoay 360</t>
  </si>
  <si>
    <t>Tủ 2 ngăn (1 ngăn kéo và 1 ngăn cửa mở)</t>
  </si>
  <si>
    <t>Chip Core i7, Ram 16Gb, ổ cứng 256Gb</t>
  </si>
  <si>
    <t>0961797066</t>
  </si>
  <si>
    <t xml:space="preserve">Dell </t>
  </si>
  <si>
    <t>4 chiếc 6 tầng, 3 chiếc 5 tầng</t>
  </si>
  <si>
    <t>Máy khò 858D+481030</t>
  </si>
  <si>
    <t xml:space="preserve">0962 590 166 </t>
  </si>
  <si>
    <t>Dell P2411HB</t>
  </si>
  <si>
    <t>gửi xuống LGD HP</t>
  </si>
  <si>
    <t>KÈM SSD004</t>
  </si>
  <si>
    <t>12th Gen Intel(R) Core(TM) i7-12700   2.10 GHz</t>
  </si>
  <si>
    <t>Akko 367</t>
  </si>
  <si>
    <t>Dell P2319H</t>
  </si>
  <si>
    <t>P2422H</t>
  </si>
  <si>
    <t>Dell P2422H</t>
  </si>
  <si>
    <t>DESKTOP-SRQ3KPF
i5-9400F , 16G Ram, GTX 1650</t>
  </si>
  <si>
    <t>DESKTOP-2PPKQNG</t>
  </si>
  <si>
    <t>U160</t>
  </si>
  <si>
    <t>U2414H</t>
  </si>
  <si>
    <t>Core i7-8750H CPU @ 2.20GHz
Ram: 16Gb
Ổ cứng: SSD 256Gb</t>
  </si>
  <si>
    <t>Core i5-8365U CPU @ 1.60GHz
Ram: 8Gb Ổ cứng: SSD 500Gb</t>
  </si>
  <si>
    <t>256Gb</t>
  </si>
  <si>
    <t>- Model: Precision 5520
- CPU: E3-1505M v6
- Ram 18GB, ổ cứng: 500GB + 500GB</t>
  </si>
  <si>
    <t>- Model: P2419H</t>
  </si>
  <si>
    <t>- Model:SA400S37/240G
- Storage: 240</t>
  </si>
  <si>
    <t>Core i5-1135G7 
Ram: 16Gb
Ổ cứng: SSD 512Gb</t>
  </si>
  <si>
    <t>Dell Latitude 5580 , i7-7820 HQ, 16GB, 512 GB</t>
  </si>
  <si>
    <t>Core i5-8365U CPU @ 1.60GHz
Ram: 8Gb
Ổ cứng: SSD 256Gb</t>
  </si>
  <si>
    <t>Core i5-8365U CPU @ 1.60GHz
Ram: 8Gb
Ổ cứng: SSD 240Gb</t>
  </si>
  <si>
    <t>Core i5-8365U CPU @ 1.60GHz
Ram: 16Gb
Ổ cứng: SSD 240Gb</t>
  </si>
  <si>
    <t>Core i5-1135G7 CPU @ 1.40GHz
Ram: 16Gb
Ổ cứng: SSD 512Gb</t>
  </si>
  <si>
    <t>BẢNG TREO NGOÀI SÂN AGV, ĐỂ CƠ KHÍ TREO TOOL</t>
  </si>
  <si>
    <t>Hộp nhựa size 435x310x250</t>
  </si>
  <si>
    <t>2c kệ 7 tầng , 2c kệ 6 tầng, 1c kệ 5 tầng</t>
  </si>
  <si>
    <t>(615x440x325)mm</t>
  </si>
  <si>
    <t>(470x350x260)mm</t>
  </si>
  <si>
    <t>(395x280x230)mm</t>
  </si>
  <si>
    <t>(340x246x170)</t>
  </si>
  <si>
    <t>Dell E2211U</t>
  </si>
  <si>
    <t>FQC-08929</t>
  </si>
  <si>
    <t>P2319H</t>
  </si>
  <si>
    <t>Z420</t>
  </si>
  <si>
    <t>P2419H</t>
  </si>
  <si>
    <t>25IVB8I</t>
  </si>
  <si>
    <t>P2217H</t>
  </si>
  <si>
    <t>6JLSZ12</t>
  </si>
  <si>
    <t>P2418H</t>
  </si>
  <si>
    <t>Bàn làm việc 0,8m x 0,6m x 0,75m</t>
  </si>
  <si>
    <t>Bàn gỗ 1m2</t>
  </si>
  <si>
    <t>Bàn gỗ 1m75</t>
  </si>
  <si>
    <t>Bàn gỗ 2m4</t>
  </si>
  <si>
    <t xml:space="preserve">Model: Latitude 7400, core I5-8365U, 32G RAM, 512Gb </t>
  </si>
  <si>
    <t>Model: LA65NM130</t>
  </si>
  <si>
    <t>Model: P2319H</t>
  </si>
  <si>
    <t>Bàn 1m2</t>
  </si>
  <si>
    <t>CN-OKJ59R-TV200-274-1VAB-A15</t>
  </si>
  <si>
    <t>Think Station S30</t>
  </si>
  <si>
    <t>LA130PM121</t>
  </si>
  <si>
    <t>DELL Latitube 7820HQ</t>
  </si>
  <si>
    <t>Dell  CN-0JU012-48661</t>
  </si>
  <si>
    <t>Cáp UGREEN</t>
  </si>
  <si>
    <t>Dell Latitude E7250, RAM 12GB, SSD256</t>
  </si>
  <si>
    <t>CN-0JNKWD-72438-13T-2C5H-A00</t>
  </si>
  <si>
    <t>CN-03F1CN-48661-518-09NX-A02</t>
  </si>
  <si>
    <t>CN-0KJ59R-TV200-17T-0UY-A12</t>
  </si>
  <si>
    <t>Dell Latitude E7270, RAM 8G, SSD 256</t>
  </si>
  <si>
    <t>CN-0KJ59R-TV200-21J-1K9B-A14</t>
  </si>
  <si>
    <t xml:space="preserve">Dell Latitude 9420 </t>
  </si>
  <si>
    <t xml:space="preserve">Dell Latitude 5580 </t>
  </si>
  <si>
    <t>Sạc máy dell 130W</t>
  </si>
  <si>
    <t>Intel(R) Core(TM) i3-8100 CPU
 Ram 16Gb</t>
  </si>
  <si>
    <t>23 inch</t>
  </si>
  <si>
    <t>Intel(R) Core(TM) i5-8250U CPU
 Ram 8Gb</t>
  </si>
  <si>
    <t>OQ60EKG</t>
  </si>
  <si>
    <t>Intel(R) Core(TM) i7-7820HQ CPU
 Ram 16Gb SSD256GB</t>
  </si>
  <si>
    <t>Intel(R) Core(TM) i5-8265U CPU
 Ram 16Gb SSD256GB</t>
  </si>
  <si>
    <t>Intel(R) Core(TM) i5-8265U CPU
 Ram 16Gb SSD256GB, Reg model P98G</t>
  </si>
  <si>
    <t>Model No: HA65NM130</t>
  </si>
  <si>
    <t>Dài 1m2</t>
  </si>
  <si>
    <t>Intel(R) Core(TM) i7-7820HQ CPU @ 2.90GHz   2.90 GHz</t>
  </si>
  <si>
    <t>Intel(R) Core(TM) i5-10500 CPU @ 3.10GHz   3.10 GHz</t>
  </si>
  <si>
    <t>Intel(R) Core(TM) i5-6300U CPU Ram 8GB SSD 256 GB</t>
  </si>
  <si>
    <t>ThinkPad T460s</t>
  </si>
  <si>
    <t>Sạc máy ThinkPad T460s</t>
  </si>
  <si>
    <t>Nokia</t>
  </si>
  <si>
    <t>CN-0FPC2Y-CH200</t>
  </si>
  <si>
    <t>GLNRM13-4232090412</t>
  </si>
  <si>
    <t>CN-ONVV12-76110-51Q-0179-A00</t>
  </si>
  <si>
    <t>Màn hình DELL</t>
  </si>
  <si>
    <t>DELL Latitube 5580</t>
  </si>
  <si>
    <t>Dell Latitude 5420</t>
  </si>
  <si>
    <t>CN-DNVPDV-CH200-D3T-D7AT-A00</t>
  </si>
  <si>
    <t>S/N: CN-0KJ59R-TV200-17C-19YB-A12</t>
  </si>
  <si>
    <t>Latitude 5580</t>
  </si>
  <si>
    <t>Sạc máy tính</t>
  </si>
  <si>
    <t>Kệ 3 cánh, để chậu hoa bên trên</t>
  </si>
  <si>
    <t>Hộc tủ gỗ 2 ngăn</t>
  </si>
  <si>
    <t>Máy lỗi</t>
  </si>
  <si>
    <t>Hỏng pin</t>
  </si>
  <si>
    <t>chiếc</t>
  </si>
  <si>
    <t>bộ</t>
  </si>
  <si>
    <t>Hỏng ổ khoá</t>
  </si>
  <si>
    <t>Gãy 1 chân</t>
  </si>
  <si>
    <t>chiếc</t>
  </si>
  <si>
    <t>bộ</t>
  </si>
  <si>
    <t>cái</t>
  </si>
  <si>
    <t>sử dụng cọt kẹt, khó kéo. Đã sửa 1 lần nhưng ko cải thiện, sắp hỏng</t>
  </si>
  <si>
    <t>Tấm gỗ lót phía dưới ngăn kéo bị rơi ra, ngăn kéo không sử dụng được nữa.</t>
  </si>
  <si>
    <t>Chuột bị nháy đúp</t>
  </si>
  <si>
    <t>lỏng tay ghế phải</t>
  </si>
  <si>
    <t>Hỏng có khóa</t>
  </si>
  <si>
    <t>Giật lác</t>
  </si>
  <si>
    <t>Chai pin nhẹ</t>
  </si>
  <si>
    <t>Hỏng khóa tủ</t>
  </si>
  <si>
    <t>Thất lạc</t>
  </si>
  <si>
    <t>Hơi Chai Pin</t>
  </si>
  <si>
    <t>Hơi chai pin</t>
  </si>
  <si>
    <t>Ban Giám đốc</t>
  </si>
  <si>
    <t>Ban giám đốc</t>
  </si>
  <si>
    <t>Sản xuất</t>
  </si>
  <si>
    <t>MRO Samsung</t>
  </si>
  <si>
    <t>AGV</t>
  </si>
  <si>
    <t>Marketing</t>
  </si>
  <si>
    <t>Kỹ thuật</t>
  </si>
  <si>
    <t>Cơ khí</t>
  </si>
  <si>
    <t>Kỹ Thuật</t>
  </si>
  <si>
    <t>Trần Ích Bằng</t>
  </si>
  <si>
    <t>Thu hồi ngày 13/1/2022, lưu kho HCNS</t>
  </si>
  <si>
    <t>Lưu kho (dùng cho ứng viên Test)</t>
  </si>
  <si>
    <t>Nguyễn Văn Sao</t>
  </si>
  <si>
    <t>Đinh Việt Hoàng</t>
  </si>
  <si>
    <t>Lưu kho để hủy</t>
  </si>
  <si>
    <t>Không biết ai đang sử dụng, chờ làm lại sim</t>
  </si>
  <si>
    <t>Nguyễn Thị Minh Hoà</t>
  </si>
  <si>
    <t>Nguyễn Thị Ly</t>
  </si>
  <si>
    <t>Nguyễn Thị Yến</t>
  </si>
  <si>
    <t>Nguyễn Thị Hương</t>
  </si>
  <si>
    <t>Vương Thị Phương Quỳnh</t>
  </si>
  <si>
    <t>Tạ Thu Huyền</t>
  </si>
  <si>
    <t>Nguyễn Thị Loan</t>
  </si>
  <si>
    <t>Đỗ Thị Hoa</t>
  </si>
  <si>
    <t>Vũ Thị Kim Xuyến</t>
  </si>
  <si>
    <t>Nguyễn Tá Dũng</t>
  </si>
  <si>
    <t>Nguyễn Huy Bắc</t>
  </si>
  <si>
    <t>Đinh Mạnh Tuấn</t>
  </si>
  <si>
    <t>Ngô Văn Thịnh</t>
  </si>
  <si>
    <t>Trình Tiến Đạt</t>
  </si>
  <si>
    <t>Nguyễn Hoàng Phương</t>
  </si>
  <si>
    <t>Dùng chung Team Vision SS</t>
  </si>
  <si>
    <t>Dùng chung Team Base</t>
  </si>
  <si>
    <t>Lê Quốc Chiến</t>
  </si>
  <si>
    <t>Lê Thị Linh</t>
  </si>
  <si>
    <t>Nguyễn Thị Viễn</t>
  </si>
  <si>
    <t>Nguyễn Hoàng Huy</t>
  </si>
  <si>
    <t>Nguyễn Thế Vinh</t>
  </si>
  <si>
    <t>Nguyễn Mạnh Tiến</t>
  </si>
  <si>
    <t>Lê Thị Hải</t>
  </si>
  <si>
    <t>Hà Văn Quang</t>
  </si>
  <si>
    <t>Trần Bảo Trung</t>
  </si>
  <si>
    <t>Nguyễn Ngọc Ánh</t>
  </si>
  <si>
    <t>Nguyễn Thị Hiền</t>
  </si>
  <si>
    <t>Bùi Thị Phương</t>
  </si>
  <si>
    <t>Trần Đức Thành</t>
  </si>
  <si>
    <t>Nguyễn Ngọc Quân</t>
  </si>
  <si>
    <t>Vũ Thị Hồng Ngọc</t>
  </si>
  <si>
    <t>Bùi Đức Dũng</t>
  </si>
  <si>
    <t>Nguyễn Thảo Chi</t>
  </si>
  <si>
    <t xml:space="preserve">Nguyễn Xuân Phú </t>
  </si>
  <si>
    <t>Dương Xuân Chiến</t>
  </si>
  <si>
    <t>Nguyễn Trấn Hưng</t>
  </si>
  <si>
    <t>Vũ Mạnh Huy</t>
  </si>
  <si>
    <t>Nguyễn Thế Tuyên</t>
  </si>
  <si>
    <t xml:space="preserve"> Nguyễn Thế Khải</t>
  </si>
  <si>
    <t>Trần Văn Sơn</t>
  </si>
  <si>
    <t>Nguyễn Quốc Cường</t>
  </si>
  <si>
    <t>Đinh Văn Hoàng</t>
  </si>
  <si>
    <t>Trần Minh Khuê</t>
  </si>
  <si>
    <t>Trịnh Quang Huy</t>
  </si>
  <si>
    <t>Bùi Mạnh Cần</t>
  </si>
  <si>
    <t>Nguyễn Tuấn Nha</t>
  </si>
  <si>
    <t>Nguyễn Đức Hưng</t>
  </si>
  <si>
    <t>Nguyễn Thế Hưởng</t>
  </si>
  <si>
    <t>Võ Tiến Dũng</t>
  </si>
  <si>
    <t>Nguyễn Phương Nam</t>
  </si>
  <si>
    <t>Nguyễn Việt Thắng</t>
  </si>
  <si>
    <t>Lê Tùng Anh</t>
  </si>
  <si>
    <t>Ngô Viết Cường</t>
  </si>
  <si>
    <t>Phạm Quang Linh</t>
  </si>
  <si>
    <t>Trần Đức Mạnh</t>
  </si>
  <si>
    <t>Vũ Văn Doanh</t>
  </si>
  <si>
    <t>Cao Thanh Tùng</t>
  </si>
  <si>
    <t>Trịnh Như Chuyên</t>
  </si>
  <si>
    <t>Đỗ Văn Khải</t>
  </si>
  <si>
    <t>Trịnh Văn Đức</t>
  </si>
  <si>
    <t>Phạm Thái Hoàng</t>
  </si>
  <si>
    <t>Kho Demo</t>
  </si>
  <si>
    <t>Bàn test</t>
  </si>
  <si>
    <t>Bàn ở kho demo</t>
  </si>
  <si>
    <t>1c kho demo, 1c bàn admin</t>
  </si>
  <si>
    <t>Phạm Văn Quyền</t>
  </si>
  <si>
    <t>Vũ Kim Ngân</t>
  </si>
  <si>
    <t>Kho</t>
  </si>
  <si>
    <t>Trần Bá Huy</t>
  </si>
  <si>
    <t>Trần Văn Nghĩa</t>
  </si>
  <si>
    <t>Nguyễn Văn Đại</t>
  </si>
  <si>
    <t>Lưu Văn Thiện</t>
  </si>
  <si>
    <t>Nguyễn Mạnh Toán</t>
  </si>
  <si>
    <t>Phạm Văn Khoa</t>
  </si>
  <si>
    <t>Đỗ Huy Hoàng</t>
  </si>
  <si>
    <t>Nguyễn Minh Châu</t>
  </si>
  <si>
    <t>Lê Minh Phương</t>
  </si>
  <si>
    <t>Nguyễn Văn Thao</t>
  </si>
  <si>
    <t>Nguyễn Văn Phương</t>
  </si>
  <si>
    <t>Nguyễn Khánh Nam</t>
  </si>
  <si>
    <t>Nguyễn Văn Huy</t>
  </si>
  <si>
    <t>Lê Thế Anh</t>
  </si>
  <si>
    <t>Nguyễn Quốc Anh</t>
  </si>
  <si>
    <t>Lương Minh Kiên</t>
  </si>
  <si>
    <t>Phạm Quốc Tuấn</t>
  </si>
  <si>
    <t>Hoàng Xuân Ngọc</t>
  </si>
  <si>
    <t>Đào Anh Trường</t>
  </si>
  <si>
    <t>Đồng Văn Việt</t>
  </si>
  <si>
    <t>Nguyễn Ngọc Thế</t>
  </si>
  <si>
    <t>Nguyễn Xuân Thưởng</t>
  </si>
  <si>
    <t>Lương Hoa Vinh</t>
  </si>
  <si>
    <t>Nguyễn Hoàng Hà</t>
  </si>
  <si>
    <t>Nguyễn Xuân Mạnh</t>
  </si>
  <si>
    <t>Phạm Hoàng Anh</t>
  </si>
  <si>
    <t>Nguyễn Bá Tuấn Anh</t>
  </si>
  <si>
    <t>Đào Văn Quỳnh</t>
  </si>
  <si>
    <t>Trần Đức Thanh</t>
  </si>
  <si>
    <t>Nguyễn Kiều Hưng</t>
  </si>
  <si>
    <t>Phạm Thành Long</t>
  </si>
  <si>
    <t>Phạm Minh Đức</t>
  </si>
  <si>
    <t>Nguyễn Việt Đức</t>
  </si>
  <si>
    <t>Nguyễn Đức Tuấn</t>
  </si>
  <si>
    <t>16/1/2023 thu hồi lưu kho HCNS</t>
  </si>
  <si>
    <t>06/03/2023 thu hồi từ Trấn Hưng</t>
  </si>
  <si>
    <t>11/03/2023 nhận bàn giao lại từ Cao Thanh Tùng</t>
  </si>
  <si>
    <t>Lắp sim APR</t>
  </si>
  <si>
    <t>10/03/2023 chuyển sang phòng AGV</t>
  </si>
  <si>
    <t>Trong tủ server</t>
  </si>
  <si>
    <t>Sạc dự phòng</t>
  </si>
  <si>
    <t>Mạnh AGV mượn</t>
  </si>
  <si>
    <t>Trên tủ giày trắng kv sảnh ngoài</t>
  </si>
  <si>
    <t>Cạnh tủ giày trắng sảnh ngoài</t>
  </si>
  <si>
    <t>Sim dự phòng</t>
  </si>
  <si>
    <t>Hành chính nhận lại từ Viễn ngày 31/1/2023</t>
  </si>
  <si>
    <t>Thu hồi từ Lê Thị Trang ngày 06/02/2023</t>
  </si>
  <si>
    <t>HCNS nhận về từ Trịnh Như Chuyên ngày 6/2/2023</t>
  </si>
  <si>
    <t>HCNS nhận về từ Nguyễn Thế Hưởng ngày 6/2/2023</t>
  </si>
  <si>
    <t>HCNS nhận về từ Trịnh Quang Huy ngày 6/2/2023</t>
  </si>
  <si>
    <t>HCNS nhận về từ Bùi Mạnh Cần ngày 6/2/2023</t>
  </si>
  <si>
    <t>HCNS nhận về từ Nguyễn Khánh Nam ngày 6/2/2023</t>
  </si>
  <si>
    <t>Nhận lại từ Lê Thị Hải, dã thay màn hình ngày 20/03/2023</t>
  </si>
  <si>
    <t>Nhận lại từ Lê Thị Hải</t>
  </si>
  <si>
    <t>Nhận lại từ Đinh Mạnh Tuấn</t>
  </si>
  <si>
    <t>Công ty dùng chung</t>
  </si>
  <si>
    <t>Thu hồi từ Nguyễn Văn Hiệu 28/2/2023</t>
  </si>
  <si>
    <t>Nguyễn Văn Thắng</t>
  </si>
  <si>
    <t>Ngày 06/3/2023 là kệ trung tải  3 sàn, D3000xR600xC2000 =  ghép 2  bộ dài 1500mm
Ngày 11/3 tách bộ dài 3000 thành 2 kệ 1500mm, mua thêm tấm</t>
  </si>
  <si>
    <t>Tách kệ trung tải 3 sàn D3000xR600xC2000 (mã CCDC:KES012) thành 2 kệ, đặt thêm 4 tấm ngang dài 1,5m và 1 tấm ngang dài 2m, tổng 5 tấm ngang và 1 bộ khung chân</t>
  </si>
  <si>
    <t>Tín Phát đang sử dụng</t>
  </si>
  <si>
    <t>check số này không có trong DS đóng tiền hàng tháng</t>
  </si>
  <si>
    <t xml:space="preserve">Tín Phát sử dụng cho dự án </t>
  </si>
  <si>
    <t>Tín Phát sử dụng cho dự án</t>
  </si>
  <si>
    <t>Để ở phòng cắt phim</t>
  </si>
  <si>
    <t>Chỉ bao gồm laptop và sạc laptop (đầu sạc chân Type-C)</t>
  </si>
  <si>
    <t>HCNS nhận lại từ Ms Hải ngày 31/1/2023</t>
  </si>
  <si>
    <t>Nguyễn Thị Thanh Hà</t>
  </si>
  <si>
    <t>Thất lạc, không tìm thấy</t>
  </si>
  <si>
    <t>chuyển dây từ Phòng họp lớn cho Đỗ Văn Khải</t>
  </si>
  <si>
    <t>2 chiếc chập đôi vào nhau</t>
  </si>
  <si>
    <t>Lâu không dùng, không nhớ số nào</t>
  </si>
  <si>
    <t>Pin kém, Bản lề bàn hình không chắc</t>
  </si>
  <si>
    <t>20/2/2023 Thế Anh chuyển 1 cas và 1 kệ PC từ bàn test về bàn cá nhận để sử dụng</t>
  </si>
  <si>
    <t>Bản lề màn hình không chắc</t>
  </si>
  <si>
    <t>BTH001</t>
  </si>
  <si>
    <t>Ban thần tài VP Bắc Ninh</t>
  </si>
  <si>
    <t>TUL003</t>
  </si>
  <si>
    <t>Tủ lạnh Samsung RT19M300BGS - 208L Digital Inverter</t>
  </si>
  <si>
    <t>TUL004</t>
  </si>
  <si>
    <t xml:space="preserve">Tủ lạnh Aqua </t>
  </si>
  <si>
    <t>LVS001</t>
  </si>
  <si>
    <t>Lò vi sóng cơ có nướng 23L Sharp R_x0002_G302VN-S</t>
  </si>
  <si>
    <t>BTĐ001</t>
  </si>
  <si>
    <t>Bếp từ đôi 
Sunhouse 
SHB9122MT</t>
  </si>
  <si>
    <t>QTR001</t>
  </si>
  <si>
    <t>Quạt trần 3 cánh COEX CCF - 7112</t>
  </si>
  <si>
    <t>QTR002</t>
  </si>
  <si>
    <t>QTR003</t>
  </si>
  <si>
    <t>QTR004</t>
  </si>
  <si>
    <t>MLN001</t>
  </si>
  <si>
    <t>Máy lọc nước Hydrogen 5 cấp Kangaroo KG100HU</t>
  </si>
  <si>
    <t>MLN002</t>
  </si>
  <si>
    <t xml:space="preserve">Máy lọc nước </t>
  </si>
  <si>
    <t>QTT001</t>
  </si>
  <si>
    <t>Quạt treo tường</t>
  </si>
  <si>
    <t>QTT002</t>
  </si>
  <si>
    <t>QTT003</t>
  </si>
  <si>
    <t>GHE109</t>
  </si>
  <si>
    <t>Ghế xoay nhân viên Hòa Phát</t>
  </si>
  <si>
    <t>GHE110</t>
  </si>
  <si>
    <t>GHE111</t>
  </si>
  <si>
    <t>GHE112</t>
  </si>
  <si>
    <t>GHE113</t>
  </si>
  <si>
    <t>GHE114</t>
  </si>
  <si>
    <t>GHE115</t>
  </si>
  <si>
    <t>GHE116</t>
  </si>
  <si>
    <t>GHE117</t>
  </si>
  <si>
    <t>GHE118</t>
  </si>
  <si>
    <t>GHE119</t>
  </si>
  <si>
    <t>GHE120</t>
  </si>
  <si>
    <t>GHE121</t>
  </si>
  <si>
    <t>GHE122</t>
  </si>
  <si>
    <t>GHE123</t>
  </si>
  <si>
    <t>GHE124</t>
  </si>
  <si>
    <t>GHE125</t>
  </si>
  <si>
    <t>GHE126</t>
  </si>
  <si>
    <t>GHE127</t>
  </si>
  <si>
    <t>GHE128</t>
  </si>
  <si>
    <t>GCQ001</t>
  </si>
  <si>
    <t>Ghế chân quỳ Hòa Phát</t>
  </si>
  <si>
    <t>GCQ002</t>
  </si>
  <si>
    <t>GCQ003</t>
  </si>
  <si>
    <t>GCQ004</t>
  </si>
  <si>
    <t>GCQ005</t>
  </si>
  <si>
    <t>GCQ006</t>
  </si>
  <si>
    <t>GCQ007</t>
  </si>
  <si>
    <t>GCQ008</t>
  </si>
  <si>
    <t>GCQ009</t>
  </si>
  <si>
    <t>GCQ010</t>
  </si>
  <si>
    <t>TUS014</t>
  </si>
  <si>
    <t>Tủ sắt đựng tài liệu VP Bắc Ninh</t>
  </si>
  <si>
    <t>BTR005</t>
  </si>
  <si>
    <t>Bảng trắng phòng họp VP Bắc Ninh</t>
  </si>
  <si>
    <t>ĐHO001</t>
  </si>
  <si>
    <t>Điều hòa VP Bắc Ninh</t>
  </si>
  <si>
    <t>ĐHO002</t>
  </si>
  <si>
    <t>ĐHO003</t>
  </si>
  <si>
    <t>ĐHO004</t>
  </si>
  <si>
    <t>KHA002</t>
  </si>
  <si>
    <t>Kệ để hàng Cao 2m - Rộng 0,6m - Dài 1,5m – 4 Tầng</t>
  </si>
  <si>
    <t>KHA003</t>
  </si>
  <si>
    <t>Kệ để hàng Cao 2m - Rộng 0,6m - Dài 1,5m – 3 Tầng</t>
  </si>
  <si>
    <t>KHA004</t>
  </si>
  <si>
    <t>Kệ để hàng Cao 2m - Rộng 0,6m - Dài 2m – 4 Tầng</t>
  </si>
  <si>
    <t>HOP370</t>
  </si>
  <si>
    <t>HOP371</t>
  </si>
  <si>
    <t>HOP372</t>
  </si>
  <si>
    <t>HOP373</t>
  </si>
  <si>
    <t>HOP374</t>
  </si>
  <si>
    <t>HOP375</t>
  </si>
  <si>
    <t>HOP376</t>
  </si>
  <si>
    <t>HOP377</t>
  </si>
  <si>
    <t>HOP378</t>
  </si>
  <si>
    <t>HOP379</t>
  </si>
  <si>
    <t>HOP380</t>
  </si>
  <si>
    <t>HOP381</t>
  </si>
  <si>
    <t>HOP382</t>
  </si>
  <si>
    <t>HOP383</t>
  </si>
  <si>
    <t>HOP384</t>
  </si>
  <si>
    <t>HOP385</t>
  </si>
  <si>
    <t>HOP386</t>
  </si>
  <si>
    <t>HOP387</t>
  </si>
  <si>
    <t>HOP388</t>
  </si>
  <si>
    <t>HOP389</t>
  </si>
  <si>
    <t>HOP390</t>
  </si>
  <si>
    <t>HOP391</t>
  </si>
  <si>
    <t>HOP392</t>
  </si>
  <si>
    <t>HOP393</t>
  </si>
  <si>
    <t>HOP394</t>
  </si>
  <si>
    <t>HOP395</t>
  </si>
  <si>
    <t>HOP396</t>
  </si>
  <si>
    <t>HOP397</t>
  </si>
  <si>
    <t>HOP398</t>
  </si>
  <si>
    <t>HOP399</t>
  </si>
  <si>
    <t>HOP400</t>
  </si>
  <si>
    <t>HOP401</t>
  </si>
  <si>
    <t>HOP402</t>
  </si>
  <si>
    <t>HOP403</t>
  </si>
  <si>
    <t>HOP404</t>
  </si>
  <si>
    <t>HOP405</t>
  </si>
  <si>
    <t>HOP406</t>
  </si>
  <si>
    <t>HOP407</t>
  </si>
  <si>
    <t>HOP408</t>
  </si>
  <si>
    <t>HOP409</t>
  </si>
  <si>
    <t>HOP410</t>
  </si>
  <si>
    <t>HOP411</t>
  </si>
  <si>
    <t>HOP412</t>
  </si>
  <si>
    <t>HOP413</t>
  </si>
  <si>
    <t>HOP414</t>
  </si>
  <si>
    <t>HOP415</t>
  </si>
  <si>
    <t>HOP416</t>
  </si>
  <si>
    <t>HOP417</t>
  </si>
  <si>
    <t>HOP418</t>
  </si>
  <si>
    <t>HOP419</t>
  </si>
  <si>
    <t>HOP420</t>
  </si>
  <si>
    <t>HOP421</t>
  </si>
  <si>
    <t>HOP422</t>
  </si>
  <si>
    <t>HOP423</t>
  </si>
  <si>
    <t>HOP424</t>
  </si>
  <si>
    <t>TUG004</t>
  </si>
  <si>
    <t>Tủ giày cánh lật VP Bắc Ninh</t>
  </si>
  <si>
    <t>BHO001</t>
  </si>
  <si>
    <t>Bàn họp tròn VP Bắc NInh</t>
  </si>
  <si>
    <t>BAN111</t>
  </si>
  <si>
    <t>Bàn làm việc 1,2m x0,6m x 0,75m</t>
  </si>
  <si>
    <t>BAN112</t>
  </si>
  <si>
    <t>BAN113</t>
  </si>
  <si>
    <t>BAN114</t>
  </si>
  <si>
    <t>BAN115</t>
  </si>
  <si>
    <t>BAN116</t>
  </si>
  <si>
    <t>BAN117</t>
  </si>
  <si>
    <t>BAN118</t>
  </si>
  <si>
    <t>BAN119</t>
  </si>
  <si>
    <t>BAN120</t>
  </si>
  <si>
    <t>BAN121</t>
  </si>
  <si>
    <t>BAN122</t>
  </si>
  <si>
    <t>BAN123</t>
  </si>
  <si>
    <t>BAN124</t>
  </si>
  <si>
    <t>Bàn làm việc 1m x0,6m x 0,75m</t>
  </si>
  <si>
    <t>BAN125</t>
  </si>
  <si>
    <t>BAN126</t>
  </si>
  <si>
    <t>BAN127</t>
  </si>
  <si>
    <t>BAN128</t>
  </si>
  <si>
    <t>BAN129</t>
  </si>
  <si>
    <t>BAN130</t>
  </si>
  <si>
    <t>BAN131</t>
  </si>
  <si>
    <t>BAN132</t>
  </si>
  <si>
    <t>HTG060</t>
  </si>
  <si>
    <t>HTG061</t>
  </si>
  <si>
    <t>HTG062</t>
  </si>
  <si>
    <t>HTG063</t>
  </si>
  <si>
    <t>HTG064</t>
  </si>
  <si>
    <t>HTG065</t>
  </si>
  <si>
    <t>HTG066</t>
  </si>
  <si>
    <t>HTG067</t>
  </si>
  <si>
    <t>HTG068</t>
  </si>
  <si>
    <t>HTG069</t>
  </si>
  <si>
    <t>HTG070</t>
  </si>
  <si>
    <t>GIT002</t>
  </si>
  <si>
    <t>Giường tầng VP Bắc Ninh</t>
  </si>
  <si>
    <t>GIT003</t>
  </si>
  <si>
    <t>TTL001</t>
  </si>
  <si>
    <t>Tủ tài liệu thấp, gỗ màu 388 kết hợp màu trắng</t>
  </si>
  <si>
    <t>TTL002</t>
  </si>
  <si>
    <t>TTL003</t>
  </si>
  <si>
    <t>TTL004</t>
  </si>
  <si>
    <t>TTL005</t>
  </si>
  <si>
    <t>TTL006</t>
  </si>
  <si>
    <t>TTL007</t>
  </si>
  <si>
    <t>TTL008</t>
  </si>
  <si>
    <t>TTL009</t>
  </si>
  <si>
    <t>BHO002</t>
  </si>
  <si>
    <t>Bàn họp dài VP Bắc Ninh</t>
  </si>
  <si>
    <t>OCD063</t>
  </si>
  <si>
    <t>Ổ cắm điện Comet CESG2403</t>
  </si>
  <si>
    <t>TSE001</t>
  </si>
  <si>
    <t>Tủ Server 20U-D1000</t>
  </si>
  <si>
    <t>WIF009</t>
  </si>
  <si>
    <t>Thiết bị phát sóng wifi aruba IAP 204</t>
  </si>
  <si>
    <t>WIF010</t>
  </si>
  <si>
    <t>WIF011</t>
  </si>
  <si>
    <t>WIF012</t>
  </si>
  <si>
    <t>CBT001</t>
  </si>
  <si>
    <t>Cân băng tải viger drayteck 2926</t>
  </si>
  <si>
    <t>TPL001</t>
  </si>
  <si>
    <t>Bộ chia TP Link 16 cổng Gbps</t>
  </si>
  <si>
    <t>MCC015</t>
  </si>
  <si>
    <t>Máy chấm công vân tay Zlctec lc14</t>
  </si>
  <si>
    <t>Máy chiếu PG603X View sonic</t>
  </si>
  <si>
    <t>MAN001</t>
  </si>
  <si>
    <t>Màn chiếu treo tường P80ws (2m03x2m03)\</t>
  </si>
  <si>
    <t>CAP005</t>
  </si>
  <si>
    <t>Dây HDMI ugren 2m</t>
  </si>
  <si>
    <t>BCL002</t>
  </si>
  <si>
    <t>Bộ chổi lau sàn</t>
  </si>
  <si>
    <t>CAY001</t>
  </si>
  <si>
    <t>Cây cảnh VP Bắc Ninh</t>
  </si>
  <si>
    <t>CAY002</t>
  </si>
  <si>
    <t>CAY003</t>
  </si>
  <si>
    <t>CAY004</t>
  </si>
  <si>
    <t>CAY005</t>
  </si>
  <si>
    <t>BCH005</t>
  </si>
  <si>
    <t>Bình cứu hỏa VP Bắc Ninh</t>
  </si>
  <si>
    <t>THU001</t>
  </si>
  <si>
    <t>Tủ thuốc VP Bắc Ninh</t>
  </si>
  <si>
    <t>ĐHT001</t>
  </si>
  <si>
    <t>Đồng hồ treo tường VP Bắc Ninh</t>
  </si>
  <si>
    <t>BCO001</t>
  </si>
  <si>
    <t>Bộ bình nước, cốc uống nước VP BN</t>
  </si>
  <si>
    <t>XĐH002</t>
  </si>
  <si>
    <t>MKH002</t>
  </si>
  <si>
    <t>Máy khò QUICKK858D</t>
  </si>
  <si>
    <t>TIV002</t>
  </si>
  <si>
    <t>Tivi Samsung 4K 43inch 43AU7002</t>
  </si>
  <si>
    <t>MGI001</t>
  </si>
  <si>
    <t>Máy giặt AQUA 8Kg AQW-KS80GT.S</t>
  </si>
  <si>
    <t>GIA002</t>
  </si>
  <si>
    <t>Giá treo tivi VP Bắc Ninh</t>
  </si>
  <si>
    <t>BXN001</t>
  </si>
  <si>
    <t>Bộ nồi 2 chiếc+1 chảo+1 ấm inox Kangaroo KG998M</t>
  </si>
  <si>
    <t>BSF001</t>
  </si>
  <si>
    <t>Bàn sofa chữ nhật</t>
  </si>
  <si>
    <t>Bộ ghế sofa (1 ghế dài+2 đôn)</t>
  </si>
  <si>
    <t>TIV003</t>
  </si>
  <si>
    <t xml:space="preserve">TV LED SMART UHD 43" LG 43UP7550PTC </t>
  </si>
  <si>
    <t>GIA003</t>
  </si>
  <si>
    <t>Giá treo tivi cao cấp LCD_x0002_Plasma Led KCC tivi 19-40</t>
  </si>
  <si>
    <t>QTD001</t>
  </si>
  <si>
    <t xml:space="preserve">Quạt điện cho CBNV chung cư bắc kỳ SDV </t>
  </si>
  <si>
    <t>DHM001</t>
  </si>
  <si>
    <t xml:space="preserve">Điều hòa Media 1C 12.000BTU </t>
  </si>
  <si>
    <t>Ấm siêu tốc</t>
  </si>
  <si>
    <t>Ghế xoay nhân viên Hòa Phát CCBK chuyển sang</t>
  </si>
  <si>
    <t>Ghế gấp xanh CCBK chuyển sang</t>
  </si>
  <si>
    <t>Bàn làm việc 1m CCBK chuyển sang</t>
  </si>
  <si>
    <t>BLT002</t>
  </si>
  <si>
    <t xml:space="preserve">Bàn lễ tân 1,8m </t>
  </si>
  <si>
    <t>MIN001</t>
  </si>
  <si>
    <t>Máy in Canon LBP2900</t>
  </si>
  <si>
    <t>MIC001</t>
  </si>
  <si>
    <t>Máy in Canon MF240</t>
  </si>
  <si>
    <t>CAS025</t>
  </si>
  <si>
    <t>Bộ case PC Hacon I5-10400,8GB 256GB</t>
  </si>
  <si>
    <t>MHD035</t>
  </si>
  <si>
    <t>Màn hình 24MP60G</t>
  </si>
  <si>
    <t>CMT024</t>
  </si>
  <si>
    <t>CAD001</t>
  </si>
  <si>
    <t>Card wifi Asus PCE-AX3000 chuẩn AX3000</t>
  </si>
  <si>
    <t>CAD002</t>
  </si>
  <si>
    <t>Card wifi TP Link S/n: 22212E9003363</t>
  </si>
  <si>
    <t>USB004</t>
  </si>
  <si>
    <t>Bút USB 16GB</t>
  </si>
  <si>
    <t>XMA001</t>
  </si>
  <si>
    <t>Xe máy VP Bắc Ninh</t>
  </si>
  <si>
    <t>CMR023</t>
  </si>
  <si>
    <t>Camera giám sát VP Bắc Ninh</t>
  </si>
  <si>
    <t>CMR024</t>
  </si>
  <si>
    <t>CMR025</t>
  </si>
  <si>
    <t>CMR026</t>
  </si>
  <si>
    <t>CMR027</t>
  </si>
  <si>
    <t>CMR028</t>
  </si>
  <si>
    <t>CMR029</t>
  </si>
  <si>
    <t>CMR030</t>
  </si>
  <si>
    <t>CMR031</t>
  </si>
  <si>
    <t>CMR036</t>
  </si>
  <si>
    <t>ĐGH002</t>
  </si>
  <si>
    <t>Đầu ghi hình VP Bắc Ninh</t>
  </si>
  <si>
    <t>SHK004</t>
  </si>
  <si>
    <t>switch hikvision camera (thiết bị cấp nguồn và đường mạng để router wifi có thể hoạt động)</t>
  </si>
  <si>
    <t>SHK005</t>
  </si>
  <si>
    <t>MHD055</t>
  </si>
  <si>
    <t>Màn hình LCD_DELL P2422H 23.8 inc</t>
  </si>
  <si>
    <t>MHD056</t>
  </si>
  <si>
    <t>MHD057</t>
  </si>
  <si>
    <t>CAD008</t>
  </si>
  <si>
    <t>Thiết bị thu phát vô tuyến TP-LINK, TL-WN725N</t>
  </si>
  <si>
    <t>CAD009</t>
  </si>
  <si>
    <t>CAD010</t>
  </si>
  <si>
    <t>USB005</t>
  </si>
  <si>
    <t>Thanh nhớ ngoài Kingston 32GB USB 3.2 DataTraveler
Exodia_DTX/32GB</t>
  </si>
  <si>
    <t>USB006</t>
  </si>
  <si>
    <t>USB007</t>
  </si>
  <si>
    <t>CAP012</t>
  </si>
  <si>
    <t>Dây cáp HDMI dài 1.5m Model: VAA-B02-L150</t>
  </si>
  <si>
    <t>CAP013</t>
  </si>
  <si>
    <t>Dây cáp HDMI dài 1.5m Model: VAA-B02-L151</t>
  </si>
  <si>
    <t>CAP014</t>
  </si>
  <si>
    <t>Dây cáp HDMI dài 1.5m Model: VAA-B02-L152</t>
  </si>
  <si>
    <t>OCD084</t>
  </si>
  <si>
    <t xml:space="preserve">ổ cắm điện COMET CESG250    </t>
  </si>
  <si>
    <t>OCD085</t>
  </si>
  <si>
    <t>ổ cắm điện COMET CESG251</t>
  </si>
  <si>
    <t>OCD086</t>
  </si>
  <si>
    <t>ổ cắm điện COMET CESG252</t>
  </si>
  <si>
    <t>OCD087</t>
  </si>
  <si>
    <t>ổ cắm điện COMET CESG253</t>
  </si>
  <si>
    <t>OCD088</t>
  </si>
  <si>
    <t>ổ cắm điện COMET CESG254</t>
  </si>
  <si>
    <t>OCD089</t>
  </si>
  <si>
    <t>ổ cắm điện COMET CESG255</t>
  </si>
  <si>
    <t>OCD090</t>
  </si>
  <si>
    <t>ổ cắm điện COMET CESG256</t>
  </si>
  <si>
    <t>VP Bắc Ninh</t>
  </si>
  <si>
    <t>Cáp Thị Hiên</t>
  </si>
  <si>
    <t>chuyển từ VP Hà Nội xuống VP Bắc Ninh</t>
  </si>
  <si>
    <t>chuyển từ VP Hà Nội xuống VP Bắc Ninh (không có dây nguồn - nhưng có thể tìm mua được, hiện tại đang có hiện tượng rò rỉ nước, đã nhờ anh Ninh nhưng tạm thời chưa khắc phục được)</t>
  </si>
  <si>
    <t>5 chiếc mang xuống phục vụ triển lãm BN, đang chờ tìm lại</t>
  </si>
  <si>
    <t>Gồm 1 bình và 2 bộ cốc (mỗi bộ cốc gồm 6c), để chung 1 mã CCDC</t>
  </si>
  <si>
    <t>Mang xuống triển lãm, thất lạc điều khiển, đang chờ tìm lại</t>
  </si>
  <si>
    <t>1c chung cư Bắc Kỳ chuyển sang
1c quà tặng kèm của Media mart</t>
  </si>
  <si>
    <t xml:space="preserve">Sử dụng tại VP Bắc Ninh, phục vụ hoạt động training và công việc </t>
  </si>
  <si>
    <t>LAP041</t>
  </si>
  <si>
    <t>SAC009</t>
  </si>
  <si>
    <t>LAP056</t>
  </si>
  <si>
    <t>SAC025</t>
  </si>
  <si>
    <t>CMR032</t>
  </si>
  <si>
    <t xml:space="preserve">Camera quan sát DS-2CD1023G0-IUF </t>
  </si>
  <si>
    <t>CMR033</t>
  </si>
  <si>
    <t>CMR034</t>
  </si>
  <si>
    <t>Camera quan sát DS-2CD1323G0-IUF</t>
  </si>
  <si>
    <t>CMR035</t>
  </si>
  <si>
    <t>ĐGH003</t>
  </si>
  <si>
    <t>Đầu ghi hình DS-7104NI-Q1/M, BAO GỒM Ổ cứng lắp trong Western Digital 4TB 3.5'' sata3,
màu tím (Purple) WD40PURZ</t>
  </si>
  <si>
    <t>SHK006</t>
  </si>
  <si>
    <t>Thiết bị chuyển mạch DS-3E0106P-E/M</t>
  </si>
  <si>
    <t>MHD037</t>
  </si>
  <si>
    <t xml:space="preserve">Màn hình LCD_DELL P2422H 23.8 inch </t>
  </si>
  <si>
    <t>MHD038</t>
  </si>
  <si>
    <t>MHD039</t>
  </si>
  <si>
    <t>MLN003</t>
  </si>
  <si>
    <t>HOP425</t>
  </si>
  <si>
    <t>Thùng nhựa</t>
  </si>
  <si>
    <t>HOP426</t>
  </si>
  <si>
    <t>HOP427</t>
  </si>
  <si>
    <t>HOP428</t>
  </si>
  <si>
    <t>HOP429</t>
  </si>
  <si>
    <t>HOP430</t>
  </si>
  <si>
    <t>HOP431</t>
  </si>
  <si>
    <t>HOP432</t>
  </si>
  <si>
    <t>HOP433</t>
  </si>
  <si>
    <t>HOP434</t>
  </si>
  <si>
    <t>HOP435</t>
  </si>
  <si>
    <t>HOP436</t>
  </si>
  <si>
    <t>HOP437</t>
  </si>
  <si>
    <t>CAP006</t>
  </si>
  <si>
    <t>Cáp HDMI dẹt 1.5m Vention VAA-B02-L150</t>
  </si>
  <si>
    <t>CAP007</t>
  </si>
  <si>
    <t>CAP008</t>
  </si>
  <si>
    <t>MHD040</t>
  </si>
  <si>
    <t>MHD041</t>
  </si>
  <si>
    <t>CPU007</t>
  </si>
  <si>
    <t>Bộ PC, gồm: - CPU Intel Core i7-12700K (3.8GHz turbo up to 5.0Ghz, 12 nhân 20 luồng, 25MB Cache, 125W
- Ổ cứng HDD Seagate SkyHawk 1TB 3.5 inch, 5900RPM, SATA, 64MB Cache (ST1000VX005)
- Nguồn Máy Tính Cooler Master MWE GOLD 850-V2  850W (80 Plus Gold/Màu Đen)
- Vỏ case Gamemax Brufen C1 - BLACK (Mid Tower/Màu Đen)
- Fan CPU Noctua NH-U14S
- Card màn hình Gigabyte RTX 3060 EAGLE OC 12GD-V2
- Ổ cứng SSD Kingston SNV2S 250GB NVMe M.2 2280 PCIe Gen 4x4 (Đọc 3000MB/s - Ghi 1300MB/s)
- Ram Desktop Kingston Fury Beast (KF432C16BBK2/16) 16GB (2x8GB) DDR4 3200Mhz</t>
  </si>
  <si>
    <t>MCC016</t>
  </si>
  <si>
    <t>Máy chấm công vân tay Ronald Jack T8</t>
  </si>
  <si>
    <t>OCD064</t>
  </si>
  <si>
    <t>Ổ cắm 5m	CESG2405</t>
  </si>
  <si>
    <t>OCD065</t>
  </si>
  <si>
    <t>OCD066</t>
  </si>
  <si>
    <t>OCD067</t>
  </si>
  <si>
    <t>OCD068</t>
  </si>
  <si>
    <t>OCD069</t>
  </si>
  <si>
    <t>OCD070</t>
  </si>
  <si>
    <t>OCD071</t>
  </si>
  <si>
    <t>Ổ cắm 3m	CESG2503</t>
  </si>
  <si>
    <t>OCD072</t>
  </si>
  <si>
    <t>OCD073</t>
  </si>
  <si>
    <t>OCD074</t>
  </si>
  <si>
    <t>OCD075</t>
  </si>
  <si>
    <t>OCD076</t>
  </si>
  <si>
    <t>OCD077</t>
  </si>
  <si>
    <t>BTR006</t>
  </si>
  <si>
    <t>Bảng từ trắng không khung, 1,2x1,5m</t>
  </si>
  <si>
    <t>BAN133</t>
  </si>
  <si>
    <t>Bàn chân sắt chữ U (2x4), 120x60x75cm(Khoan lỗ tròn, DK6cm, có nắp nhựa trắng)</t>
  </si>
  <si>
    <t>BAN134</t>
  </si>
  <si>
    <t>BAN135</t>
  </si>
  <si>
    <t>BAN136</t>
  </si>
  <si>
    <t>BAN137</t>
  </si>
  <si>
    <t>BAN138</t>
  </si>
  <si>
    <t>GHE129</t>
  </si>
  <si>
    <t>Ghế xoay Hoà Phát có tay SG550</t>
  </si>
  <si>
    <t>GHE130</t>
  </si>
  <si>
    <t>GHE131</t>
  </si>
  <si>
    <t>GHE132</t>
  </si>
  <si>
    <t>GHE133</t>
  </si>
  <si>
    <t>GHE134</t>
  </si>
  <si>
    <t>GHE135</t>
  </si>
  <si>
    <t>GHE136</t>
  </si>
  <si>
    <t>GHE137</t>
  </si>
  <si>
    <t>GHE138</t>
  </si>
  <si>
    <t>GHE139</t>
  </si>
  <si>
    <t>GHE140</t>
  </si>
  <si>
    <t>HTG071</t>
  </si>
  <si>
    <t>Hộc di động HDD01, 40x40x63cm</t>
  </si>
  <si>
    <t>HTG072</t>
  </si>
  <si>
    <t>HTG073</t>
  </si>
  <si>
    <t>HTG074</t>
  </si>
  <si>
    <t>HTG075</t>
  </si>
  <si>
    <t>HTG076</t>
  </si>
  <si>
    <t>HTG077</t>
  </si>
  <si>
    <t>BHO003</t>
  </si>
  <si>
    <t>Bàn họp chân sắt (25x50), 300x120x75cm, mặt bàn ghép có viền dày 35mm, có 2 hộp điện 2 đầu</t>
  </si>
  <si>
    <t>BAN139</t>
  </si>
  <si>
    <t xml:space="preserve">Bàn trưởng phòng, 160x80x75cm, kèm hộc di động </t>
  </si>
  <si>
    <t>GHE141</t>
  </si>
  <si>
    <t>Ghế xoay trưởng phòng KGM-8305G</t>
  </si>
  <si>
    <t>TUS015</t>
  </si>
  <si>
    <t>Tủ hồ sơ sắt Hoà Phát TU09K3CK</t>
  </si>
  <si>
    <t>Kệ sắt V lỗ đựng hàng, 200x50x200cm</t>
  </si>
  <si>
    <t>KES008</t>
  </si>
  <si>
    <t>KES009</t>
  </si>
  <si>
    <t>KES010</t>
  </si>
  <si>
    <t>KES011</t>
  </si>
  <si>
    <t>Kệ sắt (2x2), 80x40x100cm</t>
  </si>
  <si>
    <t>TUG005</t>
  </si>
  <si>
    <t>Tủ giày cánh mở VP TPHCM</t>
  </si>
  <si>
    <t>CAD005</t>
  </si>
  <si>
    <t>Card mạng không dây PCI Express Asus</t>
  </si>
  <si>
    <t>WIF013</t>
  </si>
  <si>
    <t xml:space="preserve">Thiết bị phát sóng Wifi Aruba IAP­225 </t>
  </si>
  <si>
    <t>ĐHO005</t>
  </si>
  <si>
    <t>Máy điều hòa treo tường Casper MC-18IS33</t>
  </si>
  <si>
    <t>ĐHO006</t>
  </si>
  <si>
    <t>Máy điều hòa treo tường Casper HC-09IA32</t>
  </si>
  <si>
    <t>QUT002</t>
  </si>
  <si>
    <t>Quạt Lửng Sharp Có Điều Khiển PJ-L40RV-LG</t>
  </si>
  <si>
    <t>LVS002</t>
  </si>
  <si>
    <t xml:space="preserve">Lò vi sóng Sharp R-208VN-WS </t>
  </si>
  <si>
    <t>BHI001</t>
  </si>
  <si>
    <t>Biển hiệu Kích thước: Dài (L)= 2900 mm , cao (H)=1510mm
- Nền alu trắng sữa
- Logo + chữ nổi mica +Bóng cao áp công suất 30w ( 3 bóng)</t>
  </si>
  <si>
    <t>CLN002</t>
  </si>
  <si>
    <t>Cây lau nhà VP TPHCM</t>
  </si>
  <si>
    <t>ĐHB001</t>
  </si>
  <si>
    <t>Đồng hồ để bàn VP TPHCM</t>
  </si>
  <si>
    <t>BCĐ004</t>
  </si>
  <si>
    <t>Bộ chuyển đổi Dell WD15 - Dell Dock WD15 chuyển USB Type C cho Dell XPS, Latitude, Precision, Samsung Mobile</t>
  </si>
  <si>
    <t>BNL001</t>
  </si>
  <si>
    <t>Bình nước nóng Ariston SL2 20 RS 2.5 FE­ MT (bình nóng lạnh)</t>
  </si>
  <si>
    <t>REM003</t>
  </si>
  <si>
    <t>Rèm cửa VP TPHCM</t>
  </si>
  <si>
    <t>SIM037</t>
  </si>
  <si>
    <t>IPA001</t>
  </si>
  <si>
    <t xml:space="preserve">Ipad </t>
  </si>
  <si>
    <t>CAS017</t>
  </si>
  <si>
    <t xml:space="preserve">PC </t>
  </si>
  <si>
    <t>MHD054</t>
  </si>
  <si>
    <t>Màn Hình dell</t>
  </si>
  <si>
    <t>BPM020</t>
  </si>
  <si>
    <t>CMT045</t>
  </si>
  <si>
    <t>MIN002</t>
  </si>
  <si>
    <t>Máy In HP</t>
  </si>
  <si>
    <t>TIV004</t>
  </si>
  <si>
    <t>Tivi 50 inch Samsung</t>
  </si>
  <si>
    <t>LAP022</t>
  </si>
  <si>
    <t>Laptop Dell 5400 Kèm Sạc</t>
  </si>
  <si>
    <t>GIA005</t>
  </si>
  <si>
    <t>Đồ gá tivi</t>
  </si>
  <si>
    <t>TUL001</t>
  </si>
  <si>
    <t>Tủ lạnh Aqua AQR-T150FA(BS)
(BL06L0E8Z01TZN4K0169)</t>
  </si>
  <si>
    <t>NCD001</t>
  </si>
  <si>
    <t xml:space="preserve">Nồi cơm nắp rời Delites NCR1502 </t>
  </si>
  <si>
    <t>BCL001</t>
  </si>
  <si>
    <t>Bộ lau nhà DMX-X2</t>
  </si>
  <si>
    <t>OCC001</t>
  </si>
  <si>
    <t>Ổ cắm điện Điện Quang 6 lỗ 5m ECO ĐQ ESK 5WR 6ECO</t>
  </si>
  <si>
    <t>QUT001</t>
  </si>
  <si>
    <t>Quạt đứng Senko DH1600</t>
  </si>
  <si>
    <t>KEO001</t>
  </si>
  <si>
    <t>Kéo nhà bếp đa năng Delites S53014 cam</t>
  </si>
  <si>
    <t>CHA004</t>
  </si>
  <si>
    <t>Chảo nhôm chống dính đáy từ 24cm Kangaroo KG661S</t>
  </si>
  <si>
    <t>NBT001</t>
  </si>
  <si>
    <t>Nồi inox 3 đáy 24cm Hommy CW-S042-24</t>
  </si>
  <si>
    <t>MUO001</t>
  </si>
  <si>
    <t>Vá tròn nhỏ cán nhựa DMX VN002</t>
  </si>
  <si>
    <t>BDT001</t>
  </si>
  <si>
    <t>Thớt, dao</t>
  </si>
  <si>
    <t>DUA001</t>
  </si>
  <si>
    <t>Đũa (bộ)</t>
  </si>
  <si>
    <t>BTC001</t>
  </si>
  <si>
    <t xml:space="preserve">Thùng rác </t>
  </si>
  <si>
    <t xml:space="preserve">BCR001 </t>
  </si>
  <si>
    <t>Bộ chậu rổ gồm 1 chậu to, 1 chậu nhỏ và 1 bộ rổ</t>
  </si>
  <si>
    <t>GHE040</t>
  </si>
  <si>
    <t>GHE041</t>
  </si>
  <si>
    <t>GHE042</t>
  </si>
  <si>
    <t>BAN044</t>
  </si>
  <si>
    <t>BAN045</t>
  </si>
  <si>
    <t>BAN046</t>
  </si>
  <si>
    <t>XĐH001</t>
  </si>
  <si>
    <t>LAP086</t>
  </si>
  <si>
    <t>Laptop Dell 7490 (i5-8250 U, ram 16GB, ssd 240GB)</t>
  </si>
  <si>
    <t>SAC086</t>
  </si>
  <si>
    <t>CMT060</t>
  </si>
  <si>
    <t>KES018</t>
  </si>
  <si>
    <t>Kệ sắt V lỗ đựng hàng, 120x50x200cm</t>
  </si>
  <si>
    <t>HOP478</t>
  </si>
  <si>
    <t>Hộp nhựa 515x360x280mm</t>
  </si>
  <si>
    <t>HOP479</t>
  </si>
  <si>
    <t>HOP480</t>
  </si>
  <si>
    <t>HOP481</t>
  </si>
  <si>
    <t>HOP482</t>
  </si>
  <si>
    <t>HOP483</t>
  </si>
  <si>
    <t>HOP484</t>
  </si>
  <si>
    <t>HOP485</t>
  </si>
  <si>
    <t>HOP486</t>
  </si>
  <si>
    <t>HOP487</t>
  </si>
  <si>
    <t>HOP488</t>
  </si>
  <si>
    <t>HOP489</t>
  </si>
  <si>
    <t>HOP490</t>
  </si>
  <si>
    <t>HOP491</t>
  </si>
  <si>
    <t>HOP492</t>
  </si>
  <si>
    <t>HOP493</t>
  </si>
  <si>
    <t>Hộp nhựa nhiều ngăn 35x21.5x5cm</t>
  </si>
  <si>
    <t>HOP494</t>
  </si>
  <si>
    <t>HOP495</t>
  </si>
  <si>
    <t>HOP496</t>
  </si>
  <si>
    <t>BTH003</t>
  </si>
  <si>
    <t>Ban thần tài</t>
  </si>
  <si>
    <t>Gen 8</t>
  </si>
  <si>
    <t>Core i5-10400 ram 16gm</t>
  </si>
  <si>
    <t>24inch</t>
  </si>
  <si>
    <t>hp laser mfp 137</t>
  </si>
  <si>
    <t>Smart tivi samsung 4K 50inch</t>
  </si>
  <si>
    <t>i5 - 8365 ram 16gb ssd128</t>
  </si>
  <si>
    <t>Giá treo tivi di động</t>
  </si>
  <si>
    <t>Muôi cho VP miền Nam</t>
  </si>
  <si>
    <t>Bộ dao thớt cho VP miền Nam</t>
  </si>
  <si>
    <t>Bộ thùng rác 10L và chổi quét nhà</t>
  </si>
  <si>
    <t>VP TPHCM</t>
  </si>
  <si>
    <t>Nguyễn Văn Linh</t>
  </si>
  <si>
    <t xml:space="preserve">Nguyễn Văn Linh </t>
  </si>
  <si>
    <t>Hoàng Tuấn Thành</t>
  </si>
  <si>
    <t>Phan Thị Thu Thủy</t>
  </si>
  <si>
    <t>Giang Thanh Hồng</t>
  </si>
  <si>
    <t>Phan Thu Thủy</t>
  </si>
  <si>
    <t>Chung</t>
  </si>
  <si>
    <t>Dùng Chung</t>
  </si>
  <si>
    <t>VP Safira chuyển sang</t>
  </si>
  <si>
    <t>Chưa sử dụng</t>
  </si>
  <si>
    <t>Chai pin. Không thể dùng quá 30p không cắm sạc</t>
  </si>
  <si>
    <t>Không ổn định, 1 góc gờ máy không khớp nên khó mở để scan. In và scan đều bị mờ</t>
  </si>
  <si>
    <t>HOP497</t>
  </si>
  <si>
    <t>Hộp nhựa Song Long kích thước 615x440x325</t>
  </si>
  <si>
    <t>HOP498</t>
  </si>
  <si>
    <t>HOP499</t>
  </si>
  <si>
    <t>HOP500</t>
  </si>
  <si>
    <t>HOP501</t>
  </si>
  <si>
    <t>HOP502</t>
  </si>
  <si>
    <t>HOP503</t>
  </si>
  <si>
    <t>HOP504</t>
  </si>
  <si>
    <t>HOP505</t>
  </si>
  <si>
    <t>HOP506</t>
  </si>
  <si>
    <t>Kế toán</t>
  </si>
  <si>
    <t>Nguyễn Thị Thu Huyền</t>
  </si>
  <si>
    <t>NAS001</t>
  </si>
  <si>
    <t>Thiết Bị Mở Rộng NAS Synology DX5175-Bay Expansion Enclosure</t>
  </si>
  <si>
    <t>HDD002</t>
  </si>
  <si>
    <t>Ổ Cứng HDD Toshiba 8TB Enterprise MG Series 3.5inch 256MB Cache 7200RPM SATA</t>
  </si>
  <si>
    <t>HDD003</t>
  </si>
  <si>
    <t>HDD004</t>
  </si>
  <si>
    <t>HDD005</t>
  </si>
  <si>
    <t>HDD006</t>
  </si>
  <si>
    <t>Dùng chung. Để xốp ngoài sân AGV</t>
  </si>
  <si>
    <t>Dùng chung đi dự án Mektec</t>
  </si>
  <si>
    <t>21/3 Hoàng Tuấn Thành nghỉ, bàn giao lại cho Thủy</t>
  </si>
  <si>
    <t>Ngày 24/3/2023 thu hồi từ Nguyễn Thị Ly</t>
  </si>
  <si>
    <t>Dùng chung, Dương Xuân Chiến</t>
  </si>
  <si>
    <t>Dùng chung, Bàn Đỗ Văn Hiếu đang ngồi</t>
  </si>
  <si>
    <t>NV0002</t>
  </si>
  <si>
    <t>TE26</t>
  </si>
  <si>
    <t>MK02</t>
  </si>
  <si>
    <t>TE48</t>
  </si>
  <si>
    <t>BU37</t>
  </si>
  <si>
    <t>Dùng chung, Hỏng</t>
  </si>
  <si>
    <t>TE111</t>
  </si>
  <si>
    <t>TE41</t>
  </si>
  <si>
    <t>TE06</t>
  </si>
  <si>
    <t>PU05</t>
  </si>
  <si>
    <t>BU35</t>
  </si>
  <si>
    <t>TE110</t>
  </si>
  <si>
    <t>DR03</t>
  </si>
  <si>
    <t>TE24</t>
  </si>
  <si>
    <t>BU12</t>
  </si>
  <si>
    <t>AC07</t>
  </si>
  <si>
    <t>TE102</t>
  </si>
  <si>
    <t>TE63</t>
  </si>
  <si>
    <t>BU16</t>
  </si>
  <si>
    <t>BU28</t>
  </si>
  <si>
    <t>TE89</t>
  </si>
  <si>
    <t>TE05</t>
  </si>
  <si>
    <t>PU11</t>
  </si>
  <si>
    <t>BU22</t>
  </si>
  <si>
    <t>TE64</t>
  </si>
  <si>
    <t>TE76</t>
  </si>
  <si>
    <t>BU27</t>
  </si>
  <si>
    <t>PU10</t>
  </si>
  <si>
    <t>BU29</t>
  </si>
  <si>
    <t>AC10</t>
  </si>
  <si>
    <t>BU07</t>
  </si>
  <si>
    <t>HR10</t>
  </si>
  <si>
    <t>HR12</t>
  </si>
  <si>
    <t>TE98</t>
  </si>
  <si>
    <t>HR14</t>
  </si>
  <si>
    <t>PU08</t>
  </si>
  <si>
    <t>TE44</t>
  </si>
  <si>
    <t>IN27</t>
  </si>
  <si>
    <t>TE58</t>
  </si>
  <si>
    <t>Nữ</t>
  </si>
  <si>
    <t>Việt Nam</t>
  </si>
  <si>
    <t>Không</t>
  </si>
  <si>
    <t>Kinh</t>
  </si>
  <si>
    <t>purchase00@rtc.edu.vn</t>
  </si>
  <si>
    <t/>
  </si>
  <si>
    <t>001189026932</t>
  </si>
  <si>
    <t>DungTTK</t>
  </si>
  <si>
    <t>PU09</t>
  </si>
  <si>
    <t>hongvan8264@gmail.com</t>
  </si>
  <si>
    <t>187623807</t>
  </si>
  <si>
    <t>ngocpth24@gmail.com</t>
  </si>
  <si>
    <t>034301000847</t>
  </si>
  <si>
    <t>IN38</t>
  </si>
  <si>
    <t>leminh.thuy@rtc.edu.vn</t>
  </si>
  <si>
    <t>151889160</t>
  </si>
  <si>
    <t>THUYLM</t>
  </si>
  <si>
    <t>NV0006</t>
  </si>
  <si>
    <t>nguyenthi.hang@rtc.edu.vn</t>
  </si>
  <si>
    <t>030197000887</t>
  </si>
  <si>
    <t>HangNT</t>
  </si>
  <si>
    <t>PU01</t>
  </si>
  <si>
    <t>nguyenthi.anhtuyet@rtc.edu.vn</t>
  </si>
  <si>
    <t>125823936</t>
  </si>
  <si>
    <t>TuyetNT</t>
  </si>
  <si>
    <t>PU02</t>
  </si>
  <si>
    <t>purchase02@rtc.edu.vn</t>
  </si>
  <si>
    <t>001197018593</t>
  </si>
  <si>
    <t>YenDH</t>
  </si>
  <si>
    <t>purchase01@rtc.edu.vn</t>
  </si>
  <si>
    <t>036198017511</t>
  </si>
  <si>
    <t>NHUNGNTH</t>
  </si>
  <si>
    <t>Phòng ban: Mua hàng (9)</t>
  </si>
  <si>
    <t>Nam</t>
  </si>
  <si>
    <t>lamhh100200@gmail.com</t>
  </si>
  <si>
    <t>034200003539</t>
  </si>
  <si>
    <t>LamHH</t>
  </si>
  <si>
    <t>Hoàng Hoài Lâm</t>
  </si>
  <si>
    <t>TE88</t>
  </si>
  <si>
    <t>tienquang31121999@gmail.com</t>
  </si>
  <si>
    <t>001099010093</t>
  </si>
  <si>
    <t>QuangNT</t>
  </si>
  <si>
    <t>Nguyễn Tiến Quang</t>
  </si>
  <si>
    <t>TE86</t>
  </si>
  <si>
    <t>nguyenngocthe1001@gmail.com</t>
  </si>
  <si>
    <t>TheNN</t>
  </si>
  <si>
    <t>TE97</t>
  </si>
  <si>
    <t>mducts1905@gmail.com</t>
  </si>
  <si>
    <t>DucPM</t>
  </si>
  <si>
    <t>TE114</t>
  </si>
  <si>
    <t>001200025834</t>
  </si>
  <si>
    <t>HuyNV</t>
  </si>
  <si>
    <t>TE96</t>
  </si>
  <si>
    <t>phamvankhoa.150600@gmail.c
om</t>
  </si>
  <si>
    <t>036200005636</t>
  </si>
  <si>
    <t>KhoaPV</t>
  </si>
  <si>
    <t>TE95</t>
  </si>
  <si>
    <t>034200007023</t>
  </si>
  <si>
    <t>ToanNM</t>
  </si>
  <si>
    <t>TE94</t>
  </si>
  <si>
    <t>dang.lh0809@gmail.com</t>
  </si>
  <si>
    <t>033200001088</t>
  </si>
  <si>
    <t>DangLH</t>
  </si>
  <si>
    <t>Lê Hải Đăng</t>
  </si>
  <si>
    <t>TE90</t>
  </si>
  <si>
    <t>phamquoctuanp1@gmail.com</t>
  </si>
  <si>
    <t>038095003127</t>
  </si>
  <si>
    <t>TuanPQ</t>
  </si>
  <si>
    <t>TE87</t>
  </si>
  <si>
    <t>Phuonghard@gmail.com</t>
  </si>
  <si>
    <t>066099020806</t>
  </si>
  <si>
    <t>PhuongNV</t>
  </si>
  <si>
    <t>TE103</t>
  </si>
  <si>
    <t>longhsyc@gmail.com</t>
  </si>
  <si>
    <t>036200004288</t>
  </si>
  <si>
    <t>LongPT</t>
  </si>
  <si>
    <t>TE105</t>
  </si>
  <si>
    <t>Tày</t>
  </si>
  <si>
    <t>ngoc.1412bg@gmail.com</t>
  </si>
  <si>
    <t>024099013303</t>
  </si>
  <si>
    <t>NgocHX</t>
  </si>
  <si>
    <t>luonghoa.vinh@rtc.edu.vn</t>
  </si>
  <si>
    <t>152196435</t>
  </si>
  <si>
    <t>VinhLH</t>
  </si>
  <si>
    <t>TE46</t>
  </si>
  <si>
    <t>Khanhnam04032000@gmail.com</t>
  </si>
  <si>
    <t>022200005195</t>
  </si>
  <si>
    <t>NamNK</t>
  </si>
  <si>
    <t>TE99</t>
  </si>
  <si>
    <t>nguyenviet.duc</t>
  </si>
  <si>
    <t>IN55</t>
  </si>
  <si>
    <t>dainv56m@gmail.com</t>
  </si>
  <si>
    <t>001093014302</t>
  </si>
  <si>
    <t>DaiNV</t>
  </si>
  <si>
    <t>TE91</t>
  </si>
  <si>
    <t>#N/A</t>
  </si>
  <si>
    <t>TuanND</t>
  </si>
  <si>
    <t>TE85</t>
  </si>
  <si>
    <t>Thái</t>
  </si>
  <si>
    <t>lovanphong2299@gmail.com</t>
  </si>
  <si>
    <t>014202012081</t>
  </si>
  <si>
    <t>PhongLV</t>
  </si>
  <si>
    <t>Lò Văn Phóng</t>
  </si>
  <si>
    <t>IN20</t>
  </si>
  <si>
    <t>dohieu21012000@gmail.com</t>
  </si>
  <si>
    <t>026200003633</t>
  </si>
  <si>
    <t>HieuDV</t>
  </si>
  <si>
    <t>Đỗ Văn Hiếu</t>
  </si>
  <si>
    <t>IN21</t>
  </si>
  <si>
    <t>KhoaDD</t>
  </si>
  <si>
    <t>Đỗ Đăng Khoa</t>
  </si>
  <si>
    <t>IN37</t>
  </si>
  <si>
    <t>HieuLT</t>
  </si>
  <si>
    <t>Lê Trung Hiếu</t>
  </si>
  <si>
    <t>TE116</t>
  </si>
  <si>
    <t>TE117</t>
  </si>
  <si>
    <t>Nguyễn Nhân Huấn</t>
  </si>
  <si>
    <t>TE118</t>
  </si>
  <si>
    <t>Phạm Đại Nghĩa</t>
  </si>
  <si>
    <t>NV0001</t>
  </si>
  <si>
    <t>Lưu Đức Thắng</t>
  </si>
  <si>
    <t>NV0009</t>
  </si>
  <si>
    <t>Lê Anh Đức</t>
  </si>
  <si>
    <t>NV0010</t>
  </si>
  <si>
    <t>Phạm Đức Hùng</t>
  </si>
  <si>
    <t>NV0011</t>
  </si>
  <si>
    <t>Nguyễn Ngọc Khánh</t>
  </si>
  <si>
    <t>NV0012</t>
  </si>
  <si>
    <t>Mai Đình Công</t>
  </si>
  <si>
    <t>NV0017</t>
  </si>
  <si>
    <t>Nguyễn Thành Long</t>
  </si>
  <si>
    <t>phamvan.quyen@rtc.edu.vn</t>
  </si>
  <si>
    <t>038089003710</t>
  </si>
  <si>
    <t>QuyenPV</t>
  </si>
  <si>
    <t>TE01</t>
  </si>
  <si>
    <t>admintech@rtc.edu.vn</t>
  </si>
  <si>
    <t>001194015133</t>
  </si>
  <si>
    <t>AdminTech</t>
  </si>
  <si>
    <t>TE77</t>
  </si>
  <si>
    <t>nguyenminh.chau@rtc.edu.vn</t>
  </si>
  <si>
    <t>132390777</t>
  </si>
  <si>
    <t>ChauNM</t>
  </si>
  <si>
    <t>TE03</t>
  </si>
  <si>
    <t>Thiên chúa giáo</t>
  </si>
  <si>
    <t>tranduc.thanh@rtc.edu.vn</t>
  </si>
  <si>
    <t>163456180</t>
  </si>
  <si>
    <t>ThanhTD</t>
  </si>
  <si>
    <t>TE04</t>
  </si>
  <si>
    <t>leminh.phuong@rtc.edu.vn</t>
  </si>
  <si>
    <t>017308428</t>
  </si>
  <si>
    <t>PhuongLM</t>
  </si>
  <si>
    <t>daovan.quynh@rtc.edu.vn</t>
  </si>
  <si>
    <t>035094002105</t>
  </si>
  <si>
    <t>QuynhDV</t>
  </si>
  <si>
    <t>hung.nk1209@gmail.com</t>
  </si>
  <si>
    <t>125762702</t>
  </si>
  <si>
    <t>HUNGNK</t>
  </si>
  <si>
    <t>TE60</t>
  </si>
  <si>
    <t>Kien.lm99@gmail.com</t>
  </si>
  <si>
    <t>001099016684</t>
  </si>
  <si>
    <t>KIEN.LM</t>
  </si>
  <si>
    <t>TE68</t>
  </si>
  <si>
    <t>pham.anh.p1@gmail.com</t>
  </si>
  <si>
    <t>AnhPH</t>
  </si>
  <si>
    <t>TE70</t>
  </si>
  <si>
    <t>nguyenngoc.anh@rtc.edu.vn</t>
  </si>
  <si>
    <t>173271402</t>
  </si>
  <si>
    <t>AnhNN</t>
  </si>
  <si>
    <t>TE08</t>
  </si>
  <si>
    <t>hoanghadqhk15@gmail.com</t>
  </si>
  <si>
    <t>001098022020</t>
  </si>
  <si>
    <t>HANH</t>
  </si>
  <si>
    <t>TE53</t>
  </si>
  <si>
    <t>nguyenxuan.thuong@rtc.edu.vn</t>
  </si>
  <si>
    <t>033094003544</t>
  </si>
  <si>
    <t>ThuongNX</t>
  </si>
  <si>
    <t>TE16</t>
  </si>
  <si>
    <t>tranba.huy@rtc.edu.vn</t>
  </si>
  <si>
    <t>035096002507</t>
  </si>
  <si>
    <t>HuyTB</t>
  </si>
  <si>
    <t>TE17</t>
  </si>
  <si>
    <t>nguyenxuan.dung@rtc.edu.vn</t>
  </si>
  <si>
    <t>034098003441</t>
  </si>
  <si>
    <t>Dung2</t>
  </si>
  <si>
    <t>Nguyễn Xuân Dũng</t>
  </si>
  <si>
    <t>TE38</t>
  </si>
  <si>
    <t>ngovan.thinh@rtc.edu.vn</t>
  </si>
  <si>
    <t>187655638</t>
  </si>
  <si>
    <t>ThinhNV</t>
  </si>
  <si>
    <t>dongvietv@gmail.com</t>
  </si>
  <si>
    <t>001098009626</t>
  </si>
  <si>
    <t>VIETDV</t>
  </si>
  <si>
    <t>Knightvip98@gmail.com</t>
  </si>
  <si>
    <t>001098020821</t>
  </si>
  <si>
    <t>nguyenquoc.anh</t>
  </si>
  <si>
    <t>TE72</t>
  </si>
  <si>
    <t>LINHNV</t>
  </si>
  <si>
    <t>TE74</t>
  </si>
  <si>
    <t>Tangbnm@gmail.com</t>
  </si>
  <si>
    <t>TangNT</t>
  </si>
  <si>
    <t>Nguyễn Tài Tăng</t>
  </si>
  <si>
    <t>TE115</t>
  </si>
  <si>
    <t>nguyenvan.thao@rtc.edu.vn</t>
  </si>
  <si>
    <t>112285449</t>
  </si>
  <si>
    <t>ThaoNV</t>
  </si>
  <si>
    <t>TE21</t>
  </si>
  <si>
    <t>daoanh.truong@rtc.edu.vn</t>
  </si>
  <si>
    <t>001087009293</t>
  </si>
  <si>
    <t>TruongDA</t>
  </si>
  <si>
    <t>dohuy.hoang@rtc.edu.vn</t>
  </si>
  <si>
    <t>001092009669</t>
  </si>
  <si>
    <t>HoangDH</t>
  </si>
  <si>
    <t>hoangtuan.thanh@rtc.edu.vn</t>
  </si>
  <si>
    <t>187748870</t>
  </si>
  <si>
    <t>ThanhHT</t>
  </si>
  <si>
    <t>TE25</t>
  </si>
  <si>
    <t>nguyenba.tuananh@rtc.edu.vn</t>
  </si>
  <si>
    <t>001099005323</t>
  </si>
  <si>
    <t>TUANANHNB</t>
  </si>
  <si>
    <t>letheanh040499@gmail.com</t>
  </si>
  <si>
    <t>132339869</t>
  </si>
  <si>
    <t>LTAnh</t>
  </si>
  <si>
    <t>ManhNX</t>
  </si>
  <si>
    <t>TE93</t>
  </si>
  <si>
    <t>thienlv2k@gmail.com</t>
  </si>
  <si>
    <t>036200009314</t>
  </si>
  <si>
    <t>ThienLV</t>
  </si>
  <si>
    <t>trannghia.work@gmail.com</t>
  </si>
  <si>
    <t>040200006092</t>
  </si>
  <si>
    <t>TV.Nghia</t>
  </si>
  <si>
    <t>TE106</t>
  </si>
  <si>
    <t>danghvhv@gmail.com</t>
  </si>
  <si>
    <t>DangLQ</t>
  </si>
  <si>
    <t>Lê Quang Đăng</t>
  </si>
  <si>
    <t>IN18</t>
  </si>
  <si>
    <t>Phòng ban: Kỹ thuật (58)</t>
  </si>
  <si>
    <t>sales14@rtc.edu.vn</t>
  </si>
  <si>
    <t>111949922</t>
  </si>
  <si>
    <t>ChienLQ</t>
  </si>
  <si>
    <t>sales.leader@rtc.edu.vn</t>
  </si>
  <si>
    <t>HaiLT</t>
  </si>
  <si>
    <t>sales15@rtc.edu.vn</t>
  </si>
  <si>
    <t>038086021380</t>
  </si>
  <si>
    <t>QuangHV</t>
  </si>
  <si>
    <t>sales06@rtc.edu.vn</t>
  </si>
  <si>
    <t>174856882</t>
  </si>
  <si>
    <t>HienNT</t>
  </si>
  <si>
    <t>BU02</t>
  </si>
  <si>
    <t>sales11@rtc.edu.vn</t>
  </si>
  <si>
    <t>001094018724</t>
  </si>
  <si>
    <t>VinhNT</t>
  </si>
  <si>
    <t>BU25</t>
  </si>
  <si>
    <t>sale02@rtc.edu.vn</t>
  </si>
  <si>
    <t>184056175</t>
  </si>
  <si>
    <t>THUYPT</t>
  </si>
  <si>
    <t>BU06</t>
  </si>
  <si>
    <t>info@mvi-vn.com.vn</t>
  </si>
  <si>
    <t>013319977</t>
  </si>
  <si>
    <t>PhuongNH</t>
  </si>
  <si>
    <t>BU23</t>
  </si>
  <si>
    <t>admin03@rtc.edu.vn</t>
  </si>
  <si>
    <t>163225538</t>
  </si>
  <si>
    <t>XuyenVTK</t>
  </si>
  <si>
    <t>BU24</t>
  </si>
  <si>
    <t>sales07@rtc.edu.vn</t>
  </si>
  <si>
    <t>174040253</t>
  </si>
  <si>
    <t>TrangLT</t>
  </si>
  <si>
    <t>sales01@rtc.edu.vn</t>
  </si>
  <si>
    <t>017424437</t>
  </si>
  <si>
    <t>BU08</t>
  </si>
  <si>
    <t>sales10@rtc.edu.vn</t>
  </si>
  <si>
    <t>017182057</t>
  </si>
  <si>
    <t>BacNH</t>
  </si>
  <si>
    <t>BU09</t>
  </si>
  <si>
    <t>sales00@rtc.edu.vn</t>
  </si>
  <si>
    <t>151792237</t>
  </si>
  <si>
    <t>DiepPP</t>
  </si>
  <si>
    <t>Phạm Phú Điệp</t>
  </si>
  <si>
    <t>BU10</t>
  </si>
  <si>
    <t>dinhmanh.tuan@rtc.edu.vn</t>
  </si>
  <si>
    <t>017251056</t>
  </si>
  <si>
    <t>TuanDM</t>
  </si>
  <si>
    <t>nguyen.tien@rtc.edu.vn</t>
  </si>
  <si>
    <t>168464600</t>
  </si>
  <si>
    <t>TienNM</t>
  </si>
  <si>
    <t>BU11</t>
  </si>
  <si>
    <t>dothi.hoa@rtc.edu.vn</t>
  </si>
  <si>
    <t>001195014404</t>
  </si>
  <si>
    <t>HoaDT</t>
  </si>
  <si>
    <t>trinhtien.dat@rtc.edu.vn</t>
  </si>
  <si>
    <t>152012921</t>
  </si>
  <si>
    <t>BU13</t>
  </si>
  <si>
    <t>sales09@rtc.edu.vn</t>
  </si>
  <si>
    <t>001188017184</t>
  </si>
  <si>
    <t>BU14</t>
  </si>
  <si>
    <t>sales05@rtc.edu.vn</t>
  </si>
  <si>
    <t>250950441</t>
  </si>
  <si>
    <t>HongGt</t>
  </si>
  <si>
    <t>IN31</t>
  </si>
  <si>
    <t>Nguyễn Thị Ngọc Anh</t>
  </si>
  <si>
    <t>admin02@rtc.edu.vn</t>
  </si>
  <si>
    <t>038300002693</t>
  </si>
  <si>
    <t>LINHLT</t>
  </si>
  <si>
    <t>034300000276</t>
  </si>
  <si>
    <t>IN30</t>
  </si>
  <si>
    <t>Phạm Thị Thu Hoài</t>
  </si>
  <si>
    <t>hieu.nguyen121293@gmail.com</t>
  </si>
  <si>
    <t>031093019960</t>
  </si>
  <si>
    <t>HieuNV</t>
  </si>
  <si>
    <t>Nguyễn Văn Hiệu</t>
  </si>
  <si>
    <t>BU32</t>
  </si>
  <si>
    <t>phuongbt.mkt@gmail.com</t>
  </si>
  <si>
    <t>PhuongBT</t>
  </si>
  <si>
    <t>hienct211@gmail.com</t>
  </si>
  <si>
    <t>024194014597</t>
  </si>
  <si>
    <t>CapThi.Hien</t>
  </si>
  <si>
    <t>NV0015</t>
  </si>
  <si>
    <t>NV0016</t>
  </si>
  <si>
    <t>Nguyễn Hoàng Sơn</t>
  </si>
  <si>
    <t>NV0008</t>
  </si>
  <si>
    <t>NV0003</t>
  </si>
  <si>
    <t>VD0001</t>
  </si>
  <si>
    <t>Nguyễn Văn B</t>
  </si>
  <si>
    <t>trungquyenhksp@gmail.com</t>
  </si>
  <si>
    <t>0</t>
  </si>
  <si>
    <t>TrungTB</t>
  </si>
  <si>
    <t>BU33</t>
  </si>
  <si>
    <t>huydomino1999@gmail.com</t>
  </si>
  <si>
    <t>036099003630</t>
  </si>
  <si>
    <t>BU31</t>
  </si>
  <si>
    <t>Nguyễn Hoàng Huy</t>
  </si>
  <si>
    <t>ducthanh7598@gmail.com</t>
  </si>
  <si>
    <t>BU34</t>
  </si>
  <si>
    <t>vien1392@gmail.com</t>
  </si>
  <si>
    <t>024300000680</t>
  </si>
  <si>
    <t>NTVien</t>
  </si>
  <si>
    <t>BU30</t>
  </si>
  <si>
    <t>Phòng ban: Kinh doanh (34)</t>
  </si>
  <si>
    <t>vuthi.thanh@rtc.edu.vn</t>
  </si>
  <si>
    <t>022186001925</t>
  </si>
  <si>
    <t>ThanhVT</t>
  </si>
  <si>
    <t>Vũ Thị Thanh</t>
  </si>
  <si>
    <t>AC04</t>
  </si>
  <si>
    <t>AC05</t>
  </si>
  <si>
    <t>Trần Thị Diệu Thuý</t>
  </si>
  <si>
    <t>nguyenthi.thanhhuyen@rtc.edu.vn</t>
  </si>
  <si>
    <t>033191000556</t>
  </si>
  <si>
    <t>HUYENNTT</t>
  </si>
  <si>
    <t>AC06</t>
  </si>
  <si>
    <t>lethi.minhnguyet@rtc.edu.vn</t>
  </si>
  <si>
    <t>001199004643</t>
  </si>
  <si>
    <t>account05@rtc.edu.vn</t>
  </si>
  <si>
    <t>034194005157</t>
  </si>
  <si>
    <t>quynhhuong2192001@gmail.com</t>
  </si>
  <si>
    <t>036301008765</t>
  </si>
  <si>
    <t>IN15</t>
  </si>
  <si>
    <t>buithihuyen02072k1@gmail.com</t>
  </si>
  <si>
    <t>027301001669</t>
  </si>
  <si>
    <t>HuyenBT</t>
  </si>
  <si>
    <t>IN16</t>
  </si>
  <si>
    <t>NV0004</t>
  </si>
  <si>
    <t>NV0005</t>
  </si>
  <si>
    <t>Phòng ban: Kế toán (9)</t>
  </si>
  <si>
    <t>NV0007</t>
  </si>
  <si>
    <t>Đinh Văn Long</t>
  </si>
  <si>
    <t>NV0013</t>
  </si>
  <si>
    <t>NV0014</t>
  </si>
  <si>
    <t>Bùi Minh Nhật</t>
  </si>
  <si>
    <t>HR17</t>
  </si>
  <si>
    <t>Nguyễn Văn A</t>
  </si>
  <si>
    <t>media@rtc.edu.vn</t>
  </si>
  <si>
    <t>001099036588</t>
  </si>
  <si>
    <t>HR13</t>
  </si>
  <si>
    <t>ngoduc25031984@gmail.com</t>
  </si>
  <si>
    <t>haiyenarsenal@gmail.com</t>
  </si>
  <si>
    <t>24199007355</t>
  </si>
  <si>
    <t>IN14</t>
  </si>
  <si>
    <t>Dương Thị Hải Yến</t>
  </si>
  <si>
    <t>hanhchinh@rtc.edu.vn</t>
  </si>
  <si>
    <t>033193011076</t>
  </si>
  <si>
    <t>LuongThi.Luyen</t>
  </si>
  <si>
    <t>hrm@rtc.edu.vn</t>
  </si>
  <si>
    <t>034189008147</t>
  </si>
  <si>
    <t>HueNT</t>
  </si>
  <si>
    <t>HR01</t>
  </si>
  <si>
    <t>hr@rtc.edu.vn</t>
  </si>
  <si>
    <t>132366885</t>
  </si>
  <si>
    <t>ANHNM</t>
  </si>
  <si>
    <t>HR02</t>
  </si>
  <si>
    <t>Nùng</t>
  </si>
  <si>
    <t>hoanglinh286ls@gmail.com</t>
  </si>
  <si>
    <t>082011203</t>
  </si>
  <si>
    <t>LinhHV</t>
  </si>
  <si>
    <t>Hoàng Văn Linh</t>
  </si>
  <si>
    <t>HR03</t>
  </si>
  <si>
    <t>trongthuynguyen1983@gmail.com</t>
  </si>
  <si>
    <t>001083006950</t>
  </si>
  <si>
    <t>ThuyLX</t>
  </si>
  <si>
    <t>HR04</t>
  </si>
  <si>
    <t>012037691</t>
  </si>
  <si>
    <t>HR09</t>
  </si>
  <si>
    <t>Bùi Quang Hưng</t>
  </si>
  <si>
    <t>tailv0503@gmail.com</t>
  </si>
  <si>
    <t>38086001990</t>
  </si>
  <si>
    <t>001190026942</t>
  </si>
  <si>
    <t>HuongKT</t>
  </si>
  <si>
    <t>HR06</t>
  </si>
  <si>
    <t>001195011845</t>
  </si>
  <si>
    <t>HuyenTH</t>
  </si>
  <si>
    <t>HR07</t>
  </si>
  <si>
    <t>001188026551</t>
  </si>
  <si>
    <t>QuynhVTP</t>
  </si>
  <si>
    <t>HR08</t>
  </si>
  <si>
    <t>001174000378</t>
  </si>
  <si>
    <t>HR11</t>
  </si>
  <si>
    <t>Phòng ban: Hành chính nhân sự (18)</t>
  </si>
  <si>
    <t>nguyenthithanhha0412@gmail.com</t>
  </si>
  <si>
    <t>001192023129</t>
  </si>
  <si>
    <t>HaNTT</t>
  </si>
  <si>
    <t>TE107</t>
  </si>
  <si>
    <t>tranhung.kysu@gmail.com</t>
  </si>
  <si>
    <t>001098006150</t>
  </si>
  <si>
    <t>TE109</t>
  </si>
  <si>
    <t>dinhvanhoangmoon1997@gmail.com</t>
  </si>
  <si>
    <t>022097004915</t>
  </si>
  <si>
    <t>ck5chienk12@gmail.com</t>
  </si>
  <si>
    <t>001099037232</t>
  </si>
  <si>
    <t>mailinh36122@gmail.com</t>
  </si>
  <si>
    <t>036200008461</t>
  </si>
  <si>
    <t>IN28</t>
  </si>
  <si>
    <t>Mai Văn Linh</t>
  </si>
  <si>
    <t>ductien0802@gmail.com</t>
  </si>
  <si>
    <t>IN29</t>
  </si>
  <si>
    <t>Nguyễn Văn Tiến</t>
  </si>
  <si>
    <t>cuongasim@gmail.com</t>
  </si>
  <si>
    <t>024099008138</t>
  </si>
  <si>
    <t>TE113</t>
  </si>
  <si>
    <t>Congtuyen04032001@gmail.com</t>
  </si>
  <si>
    <t>024201006386</t>
  </si>
  <si>
    <t>IN67</t>
  </si>
  <si>
    <t>Vũ Công Tuyền</t>
  </si>
  <si>
    <t>haoongocc2001@gmail.com</t>
  </si>
  <si>
    <t>IN66</t>
  </si>
  <si>
    <t>Nguyễn Ngọc Hào</t>
  </si>
  <si>
    <t>nguyenxuan.phu@rtc.edu.vn</t>
  </si>
  <si>
    <t>112219657</t>
  </si>
  <si>
    <t>PhuNX</t>
  </si>
  <si>
    <t>Nguyễn Xuân Phú</t>
  </si>
  <si>
    <t>TE31</t>
  </si>
  <si>
    <t>tranminh.khue@rtc.edu.vn</t>
  </si>
  <si>
    <t>022093005687</t>
  </si>
  <si>
    <t>KhueTM</t>
  </si>
  <si>
    <t>TE32</t>
  </si>
  <si>
    <t>nguyenthetuyen2602@gmail.com</t>
  </si>
  <si>
    <t>001098026974</t>
  </si>
  <si>
    <t>TE62</t>
  </si>
  <si>
    <t>024099013464</t>
  </si>
  <si>
    <t>KHAINT</t>
  </si>
  <si>
    <t>Nguyễn Thế Khải</t>
  </si>
  <si>
    <t>TE75</t>
  </si>
  <si>
    <t>vumanh.huy@rtc.edu.vn</t>
  </si>
  <si>
    <t>163448321</t>
  </si>
  <si>
    <t>TE33</t>
  </si>
  <si>
    <t>tvs0409@gmail.com</t>
  </si>
  <si>
    <t>122289994</t>
  </si>
  <si>
    <t>SonTV</t>
  </si>
  <si>
    <t>TE84</t>
  </si>
  <si>
    <t>Phòng ban: Cơ khí - Thiết kế (15)</t>
  </si>
  <si>
    <t>nguyenvan.sao@rtc.edu.vn</t>
  </si>
  <si>
    <t>030088001892</t>
  </si>
  <si>
    <t>SaoNV</t>
  </si>
  <si>
    <t>DR01</t>
  </si>
  <si>
    <t>nguyenvan.thang@rtc.edu.vn</t>
  </si>
  <si>
    <t>038088002416</t>
  </si>
  <si>
    <t>ThangNV</t>
  </si>
  <si>
    <t>DR02</t>
  </si>
  <si>
    <t>sales.manager@rtc.edu.vn</t>
  </si>
  <si>
    <t>001087018633</t>
  </si>
  <si>
    <t>Mr David</t>
  </si>
  <si>
    <t>Phòng ban: Ban Giám đốc (3)</t>
  </si>
  <si>
    <t>buimanh.can@rtc.edu.vn</t>
  </si>
  <si>
    <t>033094002485</t>
  </si>
  <si>
    <t>CanBM</t>
  </si>
  <si>
    <t>trinhnhu.chuyen@rtc.edu.vn</t>
  </si>
  <si>
    <t>038095012301</t>
  </si>
  <si>
    <t>ChuyenTN</t>
  </si>
  <si>
    <t>TE28</t>
  </si>
  <si>
    <t>votien.dung@rtc.edu.vn</t>
  </si>
  <si>
    <t>001097024583</t>
  </si>
  <si>
    <t>DungVT</t>
  </si>
  <si>
    <t>TE30</t>
  </si>
  <si>
    <t>caothanh.tung@rtc.edu.vn</t>
  </si>
  <si>
    <t>145771052</t>
  </si>
  <si>
    <t>TUNGCT</t>
  </si>
  <si>
    <t>nguyenphuongnam@rtc.edu.vn</t>
  </si>
  <si>
    <t>001098018379</t>
  </si>
  <si>
    <t>TE40</t>
  </si>
  <si>
    <t>duchung149@gmail.com</t>
  </si>
  <si>
    <t>001098013931</t>
  </si>
  <si>
    <t>HUNGND</t>
  </si>
  <si>
    <t>TE49</t>
  </si>
  <si>
    <t>Quanghuyqhe24@gmail.com</t>
  </si>
  <si>
    <t>031099004122</t>
  </si>
  <si>
    <t>TE54</t>
  </si>
  <si>
    <t>thanghphaui@gmail.com</t>
  </si>
  <si>
    <t>032018091</t>
  </si>
  <si>
    <t>THANGNV-AGV</t>
  </si>
  <si>
    <t>TE55</t>
  </si>
  <si>
    <t>letunganh080699@gmail.com</t>
  </si>
  <si>
    <t>001099026683</t>
  </si>
  <si>
    <t>TUNGANHL</t>
  </si>
  <si>
    <t>soul9461@gmail.com</t>
  </si>
  <si>
    <t>163452464</t>
  </si>
  <si>
    <t>TE65</t>
  </si>
  <si>
    <t>030098001399</t>
  </si>
  <si>
    <t>NHANT</t>
  </si>
  <si>
    <t>TE80</t>
  </si>
  <si>
    <t>zeus040498@gmail.com</t>
  </si>
  <si>
    <t>152193171</t>
  </si>
  <si>
    <t>ngtiviet@gmail.vom</t>
  </si>
  <si>
    <t>132403788</t>
  </si>
  <si>
    <t>TE56</t>
  </si>
  <si>
    <t>Nguyễn Tiến Việt</t>
  </si>
  <si>
    <t>huongrbe@gmail.com</t>
  </si>
  <si>
    <t>091931152</t>
  </si>
  <si>
    <t>TE100</t>
  </si>
  <si>
    <t>doanhlf@gmail.com</t>
  </si>
  <si>
    <t>036096005639</t>
  </si>
  <si>
    <t>TE101</t>
  </si>
  <si>
    <t>dojin.chin@gmail.com</t>
  </si>
  <si>
    <t>trinhvanduca9@gmail.com</t>
  </si>
  <si>
    <t>IN23</t>
  </si>
  <si>
    <t>manhtd8799@gmail.com</t>
  </si>
  <si>
    <t>TE104</t>
  </si>
  <si>
    <t>Hoanh.pt181495@sis.hust.edu.vn</t>
  </si>
  <si>
    <t>073498550</t>
  </si>
  <si>
    <t>IN24</t>
  </si>
  <si>
    <t>IN69</t>
  </si>
  <si>
    <t>Nguyễn Tiến Thành</t>
  </si>
  <si>
    <t>IN70</t>
  </si>
  <si>
    <t>Vũ Tân Hưng</t>
  </si>
  <si>
    <t>Phòng ban: AGV (21)</t>
  </si>
  <si>
    <t>Giới tính</t>
  </si>
  <si>
    <t>Ngày sinh</t>
  </si>
  <si>
    <t>Quốc tịch</t>
  </si>
  <si>
    <t>Tôn giáo</t>
  </si>
  <si>
    <t>Dân tộc</t>
  </si>
  <si>
    <t>Email</t>
  </si>
  <si>
    <t>Số thẻ BHYT</t>
  </si>
  <si>
    <t>Số CMND</t>
  </si>
  <si>
    <t>Tên đăng nhập</t>
  </si>
  <si>
    <t>Họ tên</t>
  </si>
  <si>
    <r>
      <t xml:space="preserve">Người sử dụng
</t>
    </r>
    <r>
      <rPr>
        <i/>
        <sz val="12"/>
        <rFont val="Cambria"/>
        <family val="1"/>
        <scheme val="major"/>
      </rPr>
      <t>(Nếu là tài sản dùng chung của phòng thì ghi: Người quản lý của phòng)</t>
    </r>
  </si>
  <si>
    <t>OCD048-OCD062</t>
  </si>
  <si>
    <t>Điện thoại 105</t>
  </si>
  <si>
    <t>Điện thoại + Sim</t>
  </si>
  <si>
    <t xml:space="preserve">Kệ sắt </t>
  </si>
  <si>
    <t xml:space="preserve">Ghế </t>
  </si>
  <si>
    <t xml:space="preserve">Bàn gỗ </t>
  </si>
  <si>
    <t>Cây Z420</t>
  </si>
  <si>
    <t>Dây sạc Laptop</t>
  </si>
  <si>
    <t>Sạc Lap</t>
  </si>
  <si>
    <t xml:space="preserve">Sạc Laptop Dell </t>
  </si>
  <si>
    <t>Sạc điện thoại 105</t>
  </si>
  <si>
    <t xml:space="preserve">Sạc Dell </t>
  </si>
  <si>
    <t xml:space="preserve">Sạc máy tính Dell </t>
  </si>
  <si>
    <t>màn hình dell</t>
  </si>
  <si>
    <t>Màn Dell</t>
  </si>
  <si>
    <t xml:space="preserve">Màn hình Dell </t>
  </si>
  <si>
    <t xml:space="preserve">Màn Dell </t>
  </si>
  <si>
    <t>Dell 5580</t>
  </si>
  <si>
    <t>Laptop Latitude 5580</t>
  </si>
  <si>
    <t>Máy laptop</t>
  </si>
  <si>
    <t>Lap Dell 5580</t>
  </si>
  <si>
    <t>Laptop Dell Lattitude 5400</t>
  </si>
  <si>
    <t>Laptop Dell latitude 5580</t>
  </si>
  <si>
    <t>Dell Latitude 5580</t>
  </si>
  <si>
    <t xml:space="preserve">Laptop Dell </t>
  </si>
  <si>
    <t>Máy tính Dell</t>
  </si>
  <si>
    <t>Trần Ngọc Chinh nghỉ</t>
  </si>
  <si>
    <t>LAP016</t>
  </si>
  <si>
    <t>Máy tính coolermaster</t>
  </si>
  <si>
    <t>PHÒNG KỸ THUẬT</t>
  </si>
  <si>
    <t>Tống Khánh Linh nghỉ thai sản, bàn giáo máy cho Vân</t>
  </si>
  <si>
    <t>HTG034-HTG038</t>
  </si>
  <si>
    <t>GHE057-GHE063</t>
  </si>
  <si>
    <t>BAN062-BAN071</t>
  </si>
  <si>
    <t>Kệ sắt trong kho Mua hàng</t>
  </si>
  <si>
    <t>PHÒNG MUA HÀNG, KHO AGV, KHO BQMS</t>
  </si>
  <si>
    <t xml:space="preserve">Hộp nhựa  </t>
  </si>
  <si>
    <t xml:space="preserve">Hộp nhựa </t>
  </si>
  <si>
    <t>Máy khò</t>
  </si>
  <si>
    <t>OCD044-OCD047</t>
  </si>
  <si>
    <t>OCD041-OCD043</t>
  </si>
  <si>
    <t>MHV015</t>
  </si>
  <si>
    <t>MHV014</t>
  </si>
  <si>
    <t>Máy in</t>
  </si>
  <si>
    <t>Tủ sắt đựng tài liệu</t>
  </si>
  <si>
    <t xml:space="preserve">Điện thoại+Sim </t>
  </si>
  <si>
    <t>CMT022</t>
  </si>
  <si>
    <t>Laptop cá nhân + Sạc</t>
  </si>
  <si>
    <t>Case máy tính</t>
  </si>
  <si>
    <t>PHÒNG KINH DOANH</t>
  </si>
  <si>
    <t>OCD029-OCD034</t>
  </si>
  <si>
    <t>HOP073-HOP077</t>
  </si>
  <si>
    <t>TUS002</t>
  </si>
  <si>
    <t>BAN035-BAN036</t>
  </si>
  <si>
    <t>KẾ TOÁN</t>
  </si>
  <si>
    <t>Sạc laptop dell</t>
  </si>
  <si>
    <t>Sạc máy tính laptop dell Latitude 5480</t>
  </si>
  <si>
    <t>Monitor</t>
  </si>
  <si>
    <t>Wireless gamepad</t>
  </si>
  <si>
    <t>USB-CAN Adapter</t>
  </si>
  <si>
    <t>USB001</t>
  </si>
  <si>
    <t>Camera 3D</t>
  </si>
  <si>
    <t>AGV không line</t>
  </si>
  <si>
    <t>Máy in 3D</t>
  </si>
  <si>
    <t>MID001</t>
  </si>
  <si>
    <t>GHE022-GHE032</t>
  </si>
  <si>
    <t>GHE004-GHE021</t>
  </si>
  <si>
    <t>HTG021-HTG024</t>
  </si>
  <si>
    <t>HTG012-HTG020</t>
  </si>
  <si>
    <t>BAN024-BAN033</t>
  </si>
  <si>
    <t>BAN006-BAN023</t>
  </si>
  <si>
    <t>Máy tính mini</t>
  </si>
  <si>
    <t>MTM002</t>
  </si>
  <si>
    <t>Máy tính cá nhân</t>
  </si>
  <si>
    <t>Máy tính đồng bộ</t>
  </si>
  <si>
    <t>MĐB001</t>
  </si>
  <si>
    <t>MTM001</t>
  </si>
  <si>
    <t>Máy tính server</t>
  </si>
  <si>
    <t>MTS001</t>
  </si>
  <si>
    <t>Máy tính bảng</t>
  </si>
  <si>
    <t>MTB001</t>
  </si>
  <si>
    <t>SAC006</t>
  </si>
  <si>
    <t>Sạc laptop HA130PM160</t>
  </si>
  <si>
    <t>Sạc laptop Dell latitude 5400</t>
  </si>
  <si>
    <t>Sạc laptop DA180PM111</t>
  </si>
  <si>
    <t>Sạc laptop Dell ADP-90LD B</t>
  </si>
  <si>
    <t>SAC002</t>
  </si>
  <si>
    <t>Case Xigmatek</t>
  </si>
  <si>
    <t>Dell precision T5610</t>
  </si>
  <si>
    <t>Dell precision T3600</t>
  </si>
  <si>
    <t>Dell precision Tower 3620</t>
  </si>
  <si>
    <t>Chuột máy tính có dây L102</t>
  </si>
  <si>
    <t>Chuột có dây Logitech  G102</t>
  </si>
  <si>
    <t>Chuột E-DRA</t>
  </si>
  <si>
    <t>Chuột không dây Logitech M331</t>
  </si>
  <si>
    <t>Chuột có dây 9CP040X34M</t>
  </si>
  <si>
    <t>Chuột có dây HP 320M</t>
  </si>
  <si>
    <t>9CP101N1GB</t>
  </si>
  <si>
    <t>Dell precision M4800</t>
  </si>
  <si>
    <t>Dell precision 7510</t>
  </si>
  <si>
    <t>Dell Latitude 5840</t>
  </si>
  <si>
    <t>Dell latitude 5400</t>
  </si>
  <si>
    <t>Trần Cao Khâm nghỉ, bàn giao lại cho Nha</t>
  </si>
  <si>
    <t>Dell latitude 5840</t>
  </si>
  <si>
    <t>Dell precision 5520</t>
  </si>
  <si>
    <t>Team AGV+Team Cơ khí</t>
  </si>
  <si>
    <t>ĐTH001</t>
  </si>
  <si>
    <t>Laptop +sạc</t>
  </si>
  <si>
    <t>Ghế</t>
  </si>
  <si>
    <t>Ổ cứng SSD Intel 670p 512GB NVME</t>
  </si>
  <si>
    <t>Cây nước nóng lạnh khu vực phòng Kinh doanh</t>
  </si>
  <si>
    <t>Cây nước nóng lạnh Fujie khu vực Kỹ thuật hỏng</t>
  </si>
  <si>
    <t>Bộ bình nước, ly nhựa uống nước VPTPHCM</t>
  </si>
  <si>
    <t>BCO002</t>
  </si>
  <si>
    <t>Kệ sắt V lỗ đựng hàng, 100x50x100cm</t>
  </si>
  <si>
    <t>KES007-KES010</t>
  </si>
  <si>
    <t>Bàn trưởng phòng, 160x80x75cm, kèm hộc di động HDD01</t>
  </si>
  <si>
    <t>HTG071- HTG077</t>
  </si>
  <si>
    <t>GHE129-GHE140</t>
  </si>
  <si>
    <t>BAN133-BAN138</t>
  </si>
  <si>
    <t>Bảng từ trắng không khung, 1,2x1,6m phòng Giám đốc</t>
  </si>
  <si>
    <t>OCD071-OCD077</t>
  </si>
  <si>
    <t>OCD064-OCD070</t>
  </si>
  <si>
    <t xml:space="preserve">Màn hình LCD_DELL P2422H 23.8
inch </t>
  </si>
  <si>
    <t xml:space="preserve">Thùng nhựa </t>
  </si>
  <si>
    <t>Đầu ghi hình VP TPHCM</t>
  </si>
  <si>
    <t>Camera giám sát VP TPHCM</t>
  </si>
  <si>
    <t>CMR034-CMR035</t>
  </si>
  <si>
    <t>CMR032-CMR033</t>
  </si>
  <si>
    <t>SHK004-SHK005</t>
  </si>
  <si>
    <t>CMR023-CMR031</t>
  </si>
  <si>
    <t>switch hikvision POE camera</t>
  </si>
  <si>
    <t>SHK001-SKH003</t>
  </si>
  <si>
    <t>Đầu ghi hình VP Hà Nội</t>
  </si>
  <si>
    <t>ĐGH001</t>
  </si>
  <si>
    <t>Camera giám sát VP Hà Nội</t>
  </si>
  <si>
    <t>CMR001-CMR022</t>
  </si>
  <si>
    <t>Bộ sạc dell</t>
  </si>
  <si>
    <t>Sạc dell PP/N OJU01</t>
  </si>
  <si>
    <t>Bộ chăn ga gối đệm</t>
  </si>
  <si>
    <t>CHAN003-CHAN006</t>
  </si>
  <si>
    <t>Bàn lễ tân 1,8m VP Bắc Ninh</t>
  </si>
  <si>
    <t>Máy in canon 2900</t>
  </si>
  <si>
    <t>Bộ sạc Dell Type C</t>
  </si>
  <si>
    <t>Laptop dell 5420 i5-113SG7 ram 16GB, SSD 512GB s/n: SS2S6D3</t>
  </si>
  <si>
    <t>GIN003-GIN005</t>
  </si>
  <si>
    <t>Ổ cứng SSD kington 240GB A400 SATA</t>
  </si>
  <si>
    <t>Ram DDR4 corsai 16GB</t>
  </si>
  <si>
    <t>SSD240GB Kingston</t>
  </si>
  <si>
    <t>Bộ nồi 2 chiếc+1 chảo+1 
ấm inox Kangaroo 
KG998M</t>
  </si>
  <si>
    <t>Giá treo tivi cao cấp LCD_x0002_Plasma-Led KCC tivi 19-40</t>
  </si>
  <si>
    <t xml:space="preserve">TV LED SMART UHD 
43" LG 43UP7550PTC </t>
  </si>
  <si>
    <t>CAY006-009</t>
  </si>
  <si>
    <t xml:space="preserve">Máy lọc nước cũ nhà anh Sao </t>
  </si>
  <si>
    <t>Tủ lạnh Aqua</t>
  </si>
  <si>
    <t>KCA001-002</t>
  </si>
  <si>
    <t>CAY001-CAY005</t>
  </si>
  <si>
    <t>25/10/2022</t>
  </si>
  <si>
    <t>20/10/2022</t>
  </si>
  <si>
    <t>TTL001-TTL009</t>
  </si>
  <si>
    <t>GIT002-GIT003</t>
  </si>
  <si>
    <t>HTG060-HTG070</t>
  </si>
  <si>
    <t>BAN114-BAN132</t>
  </si>
  <si>
    <t>BAN111-BAN123</t>
  </si>
  <si>
    <t>24/10/2022</t>
  </si>
  <si>
    <t>21/10/2022</t>
  </si>
  <si>
    <t>18/10/2022</t>
  </si>
  <si>
    <t xml:space="preserve"> Kệ để hàng Cao 2m - Rộng 0,6m - Dài 1,5m – 4 Tầng</t>
  </si>
  <si>
    <t>ĐHO001-ĐHO004</t>
  </si>
  <si>
    <t>WIF009-012</t>
  </si>
  <si>
    <t>17/10/2022</t>
  </si>
  <si>
    <t>15/10/2022</t>
  </si>
  <si>
    <t>14/10/2022</t>
  </si>
  <si>
    <t>GCQ001-010</t>
  </si>
  <si>
    <t>GHE109-GHE128</t>
  </si>
  <si>
    <t>QTT001-QTT003</t>
  </si>
  <si>
    <t>13/10/2022</t>
  </si>
  <si>
    <t>Máy lọc nước
Hydrogen 5 cấp 
Kangaroo KG100HU</t>
  </si>
  <si>
    <t>Quạt trần 3 cánh 
COEX CCF - 7112</t>
  </si>
  <si>
    <t>QTR001-QTR004</t>
  </si>
  <si>
    <t>Lò vi sóng cơ có 
nướng 23L 
Sharp R_x0002_G302VN-S</t>
  </si>
  <si>
    <t>Tủ lạnh 
Samsung 
RT19M300BGS 
- 208L Digital 
Inverter</t>
  </si>
  <si>
    <t>Sạc laptop Dell 5400</t>
  </si>
  <si>
    <t>Sạc dell type C s/n 93XDSH2</t>
  </si>
  <si>
    <t xml:space="preserve">Laptop dell 5480 i7-7820HQ, 16GB, 512GB, </t>
  </si>
  <si>
    <t>29/9/2022</t>
  </si>
  <si>
    <t>26/9/2022</t>
  </si>
  <si>
    <t>22/09/2022</t>
  </si>
  <si>
    <t>Laptop Dell 5420 i5-1145G7 16GB, 512 GB S/n: 80293F3</t>
  </si>
  <si>
    <t>Laptop Dell 9420 i7-1185G7 16GB SSD 512GB. S/n: 5D80Fk3</t>
  </si>
  <si>
    <t>21/09/2022</t>
  </si>
  <si>
    <t>Cáp chuyển đổi USB to Enthernet LAN 3.0 10/100/1000 MbPs</t>
  </si>
  <si>
    <t>Điện thoại Redmi 9C ram 3GB, 64 GB</t>
  </si>
  <si>
    <t>Bàn nhân viên chân chữ X kích thước 1m2x60cm x 75cm</t>
  </si>
  <si>
    <t>Nokia Model TA-1174</t>
  </si>
  <si>
    <t>Gia công rèm 1600x3000mm</t>
  </si>
  <si>
    <t>Tủ sắt 1000x1830x450mm</t>
  </si>
  <si>
    <t>Thảm tĩnh điện 760x5000mm</t>
  </si>
  <si>
    <t>TTĐ001</t>
  </si>
  <si>
    <t>Rèm cửa 2400x2900mm</t>
  </si>
  <si>
    <t>Pallet 1200x1000x140mm</t>
  </si>
  <si>
    <t xml:space="preserve">Pallet 1000x600x100mm </t>
  </si>
  <si>
    <t>Thảm dính bụi</t>
  </si>
  <si>
    <t>TDB001</t>
  </si>
  <si>
    <t>Màn hình Dell P2319H và dây HDMI UGREEN  2m</t>
  </si>
  <si>
    <t>Màn hình dell P2722H</t>
  </si>
  <si>
    <t>Bàn test kỹ thuật</t>
  </si>
  <si>
    <t>HUB Baseus 2 out 1 in (bộ chia)</t>
  </si>
  <si>
    <t>USB 3.0 Ethernet Adapter phục vụ chuyển đổi dữ liệu giữa 2 máy tính</t>
  </si>
  <si>
    <t>Smartphone Xiaomi Redmi Note 11 4GB 64GB xanh dương nhạt + sạc+ ốp</t>
  </si>
  <si>
    <t>Lê Minh Long nghỉ việc, ngày 20/09/2022 bàn giao lại cho Nguyễn Hoàng Huy</t>
  </si>
  <si>
    <t>Dell 5420 (i5-1135G7,16GB, ssd 512, 14inch) + Bộ sạc Dell</t>
  </si>
  <si>
    <t>Dây VGA + Đầu chuyển VGA to HDMI</t>
  </si>
  <si>
    <t>VGA001</t>
  </si>
  <si>
    <t>Hộp nhựa phòng cơ khí</t>
  </si>
  <si>
    <t>Bộ sạc Dell 5420</t>
  </si>
  <si>
    <t>Laptop Dell 5420 (i5-1135G7, Ram 16GB, ssd 512GB, 14inch</t>
  </si>
  <si>
    <t>Bộ sạc máy Dell</t>
  </si>
  <si>
    <t>CAS PC i5-10400 RAM 16GB SSD 500GB/HĐ 1TB PSU 700W</t>
  </si>
  <si>
    <t>Laptop dell 5530 i7-8850H 16GB, SS D512GB Quadro P10004GDS</t>
  </si>
  <si>
    <t>Màn hình Dell P23019</t>
  </si>
  <si>
    <t>Bộ PC</t>
  </si>
  <si>
    <t>Máy tính cầm tay</t>
  </si>
  <si>
    <t>1 bộ PC(các thiết bị theo danh sách đính kèm)</t>
  </si>
  <si>
    <t>Ổ cắm chuyền</t>
  </si>
  <si>
    <t>Nồi bếp từ cho VP miền Nam</t>
  </si>
  <si>
    <t>Bộ đũa cho VP miền Nam</t>
  </si>
  <si>
    <t>Chảo cho VP miền Nam</t>
  </si>
  <si>
    <t>Kéo cho VP miền Nam</t>
  </si>
  <si>
    <t>Tủ lạnh cho VP miền Nam</t>
  </si>
  <si>
    <t>Quạt cho VP miền Nam</t>
  </si>
  <si>
    <t>Nồi cơm nắp rời</t>
  </si>
  <si>
    <t>Dell Latitu 5400 i5 ( Giang Thanh Hồng)</t>
  </si>
  <si>
    <t>Tủ giày thông minh cánh lật(PKTh)</t>
  </si>
  <si>
    <t>TUG003</t>
  </si>
  <si>
    <t>Búa tạ
 (thép cacbon cường độ cao, nặng 5 kg, cán dài 50 cm)</t>
  </si>
  <si>
    <t>Xà beng 
(một đầu nhọn, một đầu dẹt; dài 100 cm)</t>
  </si>
  <si>
    <t>Rìu cứu nạn (trọng lượng 2 kg, cán dài 90 cm, 
chất liệu thép cacbon cường độ cao)</t>
  </si>
  <si>
    <t>Quần áo chữa cháy theo TT48 gồm (quần áo,
 ủng, mũ, găng tay, khẩu trang)</t>
  </si>
  <si>
    <t>Laptop Dell E5580 Core i7 ram 16gb (Máy hỏng thu hồi)</t>
  </si>
  <si>
    <t>Kệ góc đa năng</t>
  </si>
  <si>
    <t>Kệ sắt chữ V đa năng 1500x600x1300mm 4 tầng</t>
  </si>
  <si>
    <t>18/03/2022</t>
  </si>
  <si>
    <t>Cây máy tính GIPCO</t>
  </si>
  <si>
    <t>Tủ sắt 2 cánh, 3 ngăn Hoà Phát</t>
  </si>
  <si>
    <t>TUS001</t>
  </si>
  <si>
    <t>02/04/2022</t>
  </si>
  <si>
    <t>Hộp nhựa HN 395X280X230 mm</t>
  </si>
  <si>
    <t>s</t>
  </si>
  <si>
    <t>Hộp nhựa HN 515X360X280 mm</t>
  </si>
  <si>
    <t>HOP013</t>
  </si>
  <si>
    <t>HOP012</t>
  </si>
  <si>
    <t>HOP011</t>
  </si>
  <si>
    <t>HOP010</t>
  </si>
  <si>
    <t>HOP009</t>
  </si>
  <si>
    <t>HOP008</t>
  </si>
  <si>
    <t>HOP007</t>
  </si>
  <si>
    <t xml:space="preserve">Màn hình DELL P2422 </t>
  </si>
  <si>
    <t>GTCC00071</t>
  </si>
  <si>
    <t>Tủ gỗ 3 cánh (PKD)</t>
  </si>
  <si>
    <t>CCDC00071</t>
  </si>
  <si>
    <t>GTCC00104</t>
  </si>
  <si>
    <t>CCDC00104</t>
  </si>
  <si>
    <t>GTCC00103</t>
  </si>
  <si>
    <t>Màn hình DELL P2319H (Trịnh Như Chuyên)</t>
  </si>
  <si>
    <t>CCDC00103</t>
  </si>
  <si>
    <t>GTCC00102</t>
  </si>
  <si>
    <t>Màn hình DELL P2319H (Võ Tiến Dũng)</t>
  </si>
  <si>
    <t>CCDC00102</t>
  </si>
  <si>
    <t>GTCC00101</t>
  </si>
  <si>
    <t>Màn hình DELL P2319H  (Khuê)</t>
  </si>
  <si>
    <t>CCDC00101</t>
  </si>
  <si>
    <t>GTCC00070</t>
  </si>
  <si>
    <t>Màn hình Dell P2319H ( Nguyễn Văn Khởi )</t>
  </si>
  <si>
    <t>CCDC00070</t>
  </si>
  <si>
    <t>GTCC00069</t>
  </si>
  <si>
    <t>Màn hình Dell P2319H ( Nguyễn Phương Nam )</t>
  </si>
  <si>
    <t>CCDC00069</t>
  </si>
  <si>
    <t>Laptop Dell 5400 ( Hà Văn quang)</t>
  </si>
  <si>
    <t>CCDC00105</t>
  </si>
  <si>
    <t>GTCC00065</t>
  </si>
  <si>
    <t>Bộ PC I5 ( Nguyễn Thị Thanh Huyền - PKT )</t>
  </si>
  <si>
    <t>CCDC00065</t>
  </si>
  <si>
    <t>GTCC00064</t>
  </si>
  <si>
    <t>CCDC00064</t>
  </si>
  <si>
    <t>GTCC00063</t>
  </si>
  <si>
    <t>CCDC00063</t>
  </si>
  <si>
    <t>chiêvs</t>
  </si>
  <si>
    <t>GTCC00062</t>
  </si>
  <si>
    <t>CCDC00062</t>
  </si>
  <si>
    <t>GTCC00061</t>
  </si>
  <si>
    <t>CCDC00061</t>
  </si>
  <si>
    <t>GTCC00060</t>
  </si>
  <si>
    <t>CCDC00060</t>
  </si>
  <si>
    <t>GTCC00059</t>
  </si>
  <si>
    <t>CCDC00059</t>
  </si>
  <si>
    <t>GTCC00057</t>
  </si>
  <si>
    <t>Dell Latitu 5400 i5 ( c Hải)</t>
  </si>
  <si>
    <t>CCDC00057</t>
  </si>
  <si>
    <t>GTCC00055</t>
  </si>
  <si>
    <t>Dell Latitude i5 ( Trần Hoàng Hiếu))</t>
  </si>
  <si>
    <t>CCDC00055</t>
  </si>
  <si>
    <t>GTCC00053</t>
  </si>
  <si>
    <t>Dell Latitude i5 ( Tống Khánh Linh)</t>
  </si>
  <si>
    <t>CCDC00053</t>
  </si>
  <si>
    <t>GTCC00052</t>
  </si>
  <si>
    <t>Dell Latitude i5 ( Võ Tiến Dũng)</t>
  </si>
  <si>
    <t>CCDC00052</t>
  </si>
  <si>
    <t>GTCC00049</t>
  </si>
  <si>
    <t>DELL 7530 (MR Khuê)</t>
  </si>
  <si>
    <t>CCDC00049</t>
  </si>
  <si>
    <t>GTCC00048</t>
  </si>
  <si>
    <t>Màn hình Viewsonic VA2418 ( Hoè)</t>
  </si>
  <si>
    <t>CCDC00048</t>
  </si>
  <si>
    <t>GTCC00047</t>
  </si>
  <si>
    <t>Màn hình Viewsonic VA2418 ( Hoa)</t>
  </si>
  <si>
    <t>CCDC00047</t>
  </si>
  <si>
    <t>GTCC00046</t>
  </si>
  <si>
    <t>Bộ máy tính i5 10400 ( Hoa)</t>
  </si>
  <si>
    <t>CCDC00046</t>
  </si>
  <si>
    <t>GTCC00043</t>
  </si>
  <si>
    <t>Màn hình máy tính Viewsonic VA2418-SH ( Khánh Linh)</t>
  </si>
  <si>
    <t>CCDC00043</t>
  </si>
  <si>
    <t>GTCC00042</t>
  </si>
  <si>
    <t>CCDC00042</t>
  </si>
  <si>
    <t>GTCC00041</t>
  </si>
  <si>
    <t xml:space="preserve">Quạt tích điện cho CBNV chung cư bắc kỳ SDV </t>
  </si>
  <si>
    <t>CCDC00041</t>
  </si>
  <si>
    <t>GTCC00037</t>
  </si>
  <si>
    <t>CCDC00037</t>
  </si>
  <si>
    <t>GTCC00036</t>
  </si>
  <si>
    <t>CCDC00036</t>
  </si>
  <si>
    <t>GTCC00035</t>
  </si>
  <si>
    <t>CCDC00035</t>
  </si>
  <si>
    <t>GTCC00034</t>
  </si>
  <si>
    <t>CCDC00034</t>
  </si>
  <si>
    <t>GTCC00033</t>
  </si>
  <si>
    <t>CCDC00033</t>
  </si>
  <si>
    <t>GTCC00029</t>
  </si>
  <si>
    <t>CCDC00029</t>
  </si>
  <si>
    <t>GTCC00031</t>
  </si>
  <si>
    <t>Màn hình máy tính VA2418-SH ( Ms Hiền - sale)</t>
  </si>
  <si>
    <t>MHV7</t>
  </si>
  <si>
    <t>CCDC00031</t>
  </si>
  <si>
    <t>GTCC00030</t>
  </si>
  <si>
    <t>Laptop Dell E5580 ( team AGV)</t>
  </si>
  <si>
    <t>CCDC00030</t>
  </si>
  <si>
    <t>GTCC00040</t>
  </si>
  <si>
    <t>Máy chiếu đa năng ( nhân sự)</t>
  </si>
  <si>
    <t>CCDC00040</t>
  </si>
  <si>
    <t>GTCC00028</t>
  </si>
  <si>
    <t>CCDC00028</t>
  </si>
  <si>
    <t>GTCC00027</t>
  </si>
  <si>
    <t>CCDC00027</t>
  </si>
  <si>
    <t>GTCC00026</t>
  </si>
  <si>
    <t>LAPTOP DELL E7270 I5 ( Huyền - admin)</t>
  </si>
  <si>
    <t>CCDC00026</t>
  </si>
  <si>
    <t>GTCC00025</t>
  </si>
  <si>
    <t>LAPTOP DELL E7270 I5 ( Việt Thắng - kỹ thuật)</t>
  </si>
  <si>
    <t>CCDC00025</t>
  </si>
  <si>
    <t>GTCC00024</t>
  </si>
  <si>
    <t>CCDC00024</t>
  </si>
  <si>
    <t>GTCC00023</t>
  </si>
  <si>
    <t>Màn hình máy tính ( Phương admin)</t>
  </si>
  <si>
    <t>CCDC00023</t>
  </si>
  <si>
    <t>GTCC00021</t>
  </si>
  <si>
    <t>Màn hình Viewsonic VA2418-SH ( Dịu P.XNK)</t>
  </si>
  <si>
    <t>MHV003</t>
  </si>
  <si>
    <t>CCDC00021</t>
  </si>
  <si>
    <t>GTCC00020</t>
  </si>
  <si>
    <t>Cây máy tính Cmasteer ( Dịu P.XNK)</t>
  </si>
  <si>
    <t>COM001</t>
  </si>
  <si>
    <t>CCDC00020</t>
  </si>
  <si>
    <t>GTCC00011</t>
  </si>
  <si>
    <t>Laptop Dell E5580 Core i7 ram 16gb ( Tùng PKT)</t>
  </si>
  <si>
    <t>CCDC00011</t>
  </si>
  <si>
    <t>GTCC00010</t>
  </si>
  <si>
    <t>Laptop Dell E5580 Core i7 ram 16gb ( Quân PKT)
+ Bộ sạc Dell 5580 s/n: 6TTS8H2</t>
  </si>
  <si>
    <t>CCDC00010</t>
  </si>
  <si>
    <t>GTCC00002</t>
  </si>
  <si>
    <t>CCDC00002</t>
  </si>
  <si>
    <t>GTCC00001</t>
  </si>
  <si>
    <t>CCDC00001</t>
  </si>
  <si>
    <t>GTCC00019</t>
  </si>
  <si>
    <t>Bàn phím vi tính Fuhlen L411 ( Vũ Hương kế toán)</t>
  </si>
  <si>
    <t>CCDC00019</t>
  </si>
  <si>
    <t>GTCC00018</t>
  </si>
  <si>
    <t>Chuột máy tính Logitech G102 Gen 2 ( Vũ Hương kế toán)</t>
  </si>
  <si>
    <t>CCDC00018</t>
  </si>
  <si>
    <t>GTCC00017</t>
  </si>
  <si>
    <t>Màn hình Viewsonic 27inch ( Vũ Hương kế toán)</t>
  </si>
  <si>
    <t>CCDC00017</t>
  </si>
  <si>
    <t>GTCC00016</t>
  </si>
  <si>
    <t>Cây máy tính SAMA 535 ( Thanh kế toán)</t>
  </si>
  <si>
    <t>CCDC00016</t>
  </si>
  <si>
    <t>GTCC00015</t>
  </si>
  <si>
    <t>CCDC00015</t>
  </si>
  <si>
    <t>GTCC00014</t>
  </si>
  <si>
    <t>CCDC00014</t>
  </si>
  <si>
    <t>GTCC00013</t>
  </si>
  <si>
    <t>CCDC00013</t>
  </si>
  <si>
    <t>GTCC00012</t>
  </si>
  <si>
    <t>Cây máy tính SAMA 535 ( Vũ Hương kế toán)</t>
  </si>
  <si>
    <t>CCDC00012</t>
  </si>
  <si>
    <t>ĐVT</t>
  </si>
  <si>
    <t>Số kỳ PB còn lại</t>
  </si>
  <si>
    <t>Số kỳ phân bổ</t>
  </si>
  <si>
    <t>Số CT ghi tăng</t>
  </si>
  <si>
    <t>Ngày ghi tăng</t>
  </si>
  <si>
    <t>Tên CCDC</t>
  </si>
  <si>
    <t>Mã TS mới</t>
  </si>
  <si>
    <t>Năm 2021</t>
  </si>
  <si>
    <t>Năm 2022</t>
  </si>
  <si>
    <t>SỔ THEO DÕI CÔNG CỤ DỤNG CỤ</t>
  </si>
  <si>
    <t>GSF001</t>
  </si>
  <si>
    <t>Kỹ thuật trả lại HCNS do đã có điện thoại</t>
  </si>
  <si>
    <t>SIM046</t>
  </si>
  <si>
    <t>Sim điện thoại số 0904502047</t>
  </si>
  <si>
    <t>Bàn họp tròn</t>
  </si>
  <si>
    <t>TUS003</t>
  </si>
  <si>
    <t>TUS004</t>
  </si>
  <si>
    <t>TTT001</t>
  </si>
  <si>
    <t>TTT002</t>
  </si>
  <si>
    <t>TTT003</t>
  </si>
  <si>
    <t>TTT004</t>
  </si>
  <si>
    <t>Dùng chung, 10/03/2023 chuyển sang phòng AGV</t>
  </si>
  <si>
    <t>01/01/2022</t>
  </si>
  <si>
    <t>20/12/2022</t>
  </si>
  <si>
    <t>ACTIVE OFFICE</t>
  </si>
  <si>
    <t>ACTIVE WINDOW</t>
  </si>
  <si>
    <t>1. Chưa active</t>
  </si>
  <si>
    <t>2. Đã active</t>
  </si>
  <si>
    <t>3. Crack</t>
  </si>
  <si>
    <t>Tên phòng ban</t>
  </si>
  <si>
    <t>Tên NCC</t>
  </si>
  <si>
    <t>Tên nguồn gôc</t>
  </si>
  <si>
    <t>Tên loại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</si>
</sst>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3">
    <font>
      <sz val="12"/>
      <color theme="1"/>
      <name val="Times New Roman"/>
      <family val="2"/>
    </font>
    <font>
      <b/>
      <sz val="12"/>
      <color theme="1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i/>
      <sz val="12"/>
      <name val="Times New Roman"/>
      <family val="1"/>
    </font>
    <font>
      <b/>
      <sz val="16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8"/>
      <name val="Times New Roman"/>
      <family val="2"/>
    </font>
    <font>
      <u/>
      <sz val="12"/>
      <color theme="10"/>
      <name val="Times New Roman"/>
      <family val="2"/>
    </font>
    <font>
      <sz val="12"/>
      <color theme="10"/>
      <name val="Times New Roman"/>
      <family val="1"/>
    </font>
    <font>
      <b/>
      <i/>
      <sz val="12"/>
      <name val="Times New Roman"/>
      <family val="1"/>
    </font>
    <font>
      <sz val="12"/>
      <color theme="1"/>
      <name val="Times New Roman"/>
      <family val="2"/>
      <charset val="163"/>
    </font>
    <font>
      <sz val="12"/>
      <color theme="1"/>
      <name val="Times New Roman"/>
      <family val="1"/>
      <charset val="163"/>
    </font>
    <font>
      <sz val="12"/>
      <name val="Times New Roman"/>
      <family val="1"/>
      <charset val="163"/>
    </font>
    <font>
      <sz val="12"/>
      <color rgb="FF000000"/>
      <name val="Times New Roman"/>
      <family val="1"/>
      <charset val="163"/>
    </font>
    <font>
      <sz val="12"/>
      <color rgb="FF000000"/>
      <name val="TimesNewRoman"/>
      <charset val="163"/>
    </font>
    <font>
      <sz val="11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name val="Calibri"/>
      <family val="2"/>
      <scheme val="minor"/>
    </font>
    <font>
      <b/>
      <sz val="11.25"/>
      <name val="Microsoft Sans Serif"/>
      <family val="2"/>
    </font>
    <font>
      <sz val="12"/>
      <name val="Cambria"/>
      <family val="1"/>
      <scheme val="major"/>
    </font>
    <font>
      <b/>
      <sz val="12"/>
      <name val="Cambria"/>
      <family val="1"/>
      <scheme val="major"/>
    </font>
    <font>
      <i/>
      <sz val="12"/>
      <name val="Cambria"/>
      <family val="1"/>
      <scheme val="major"/>
    </font>
    <font>
      <sz val="12"/>
      <color theme="1"/>
      <name val="Cambria"/>
      <family val="1"/>
      <scheme val="major"/>
    </font>
    <font>
      <sz val="12"/>
      <color rgb="FF000000"/>
      <name val="Cambria"/>
      <family val="1"/>
      <scheme val="major"/>
    </font>
    <font>
      <sz val="11"/>
      <color rgb="FF000000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2" fillId="0" borderId="0" applyNumberForma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</cellStyleXfs>
  <cellXfs count="41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/>
    <xf numFmtId="49" fontId="2" fillId="0" borderId="0" xfId="0" applyNumberFormat="1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/>
    <xf numFmtId="0" fontId="2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4" fillId="3" borderId="1" xfId="0" applyFont="1" applyFill="1" applyBorder="1"/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49" fontId="2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0" fontId="2" fillId="2" borderId="2" xfId="0" applyFont="1" applyFill="1" applyBorder="1"/>
    <xf numFmtId="0" fontId="4" fillId="0" borderId="2" xfId="0" applyFont="1" applyBorder="1" applyAlignment="1">
      <alignment wrapText="1"/>
    </xf>
    <xf numFmtId="0" fontId="4" fillId="0" borderId="2" xfId="0" applyFont="1" applyBorder="1"/>
    <xf numFmtId="49" fontId="2" fillId="0" borderId="1" xfId="0" applyNumberFormat="1" applyFont="1" applyBorder="1" applyAlignment="1">
      <alignment vertical="center" wrapText="1"/>
    </xf>
    <xf numFmtId="0" fontId="2" fillId="2" borderId="1" xfId="0" applyFont="1" applyFill="1" applyBorder="1"/>
    <xf numFmtId="0" fontId="2" fillId="3" borderId="0" xfId="0" applyFont="1" applyFill="1"/>
    <xf numFmtId="49" fontId="2" fillId="3" borderId="1" xfId="0" applyNumberFormat="1" applyFont="1" applyFill="1" applyBorder="1" applyAlignment="1">
      <alignment vertical="center" wrapText="1"/>
    </xf>
    <xf numFmtId="0" fontId="4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left" vertical="center"/>
    </xf>
    <xf numFmtId="0" fontId="2" fillId="2" borderId="0" xfId="0" applyFont="1" applyFill="1"/>
    <xf numFmtId="49" fontId="2" fillId="2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/>
    </xf>
    <xf numFmtId="0" fontId="2" fillId="2" borderId="1" xfId="0" applyFont="1" applyFill="1" applyBorder="1" applyAlignment="1">
      <alignment vertical="center" wrapText="1"/>
    </xf>
    <xf numFmtId="0" fontId="2" fillId="4" borderId="0" xfId="0" applyFont="1" applyFill="1"/>
    <xf numFmtId="49" fontId="2" fillId="4" borderId="1" xfId="0" applyNumberFormat="1" applyFont="1" applyFill="1" applyBorder="1" applyAlignment="1">
      <alignment vertical="center"/>
    </xf>
    <xf numFmtId="0" fontId="4" fillId="4" borderId="1" xfId="0" applyFont="1" applyFill="1" applyBorder="1"/>
    <xf numFmtId="0" fontId="2" fillId="4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left" vertical="center"/>
    </xf>
    <xf numFmtId="49" fontId="2" fillId="4" borderId="1" xfId="0" applyNumberFormat="1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2" fillId="0" borderId="0" xfId="0" quotePrefix="1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2" borderId="1" xfId="0" quotePrefix="1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left" vertical="center"/>
    </xf>
    <xf numFmtId="0" fontId="4" fillId="4" borderId="3" xfId="0" applyFont="1" applyFill="1" applyBorder="1"/>
    <xf numFmtId="3" fontId="8" fillId="0" borderId="6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3" fontId="8" fillId="4" borderId="6" xfId="0" applyNumberFormat="1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vertical="center"/>
    </xf>
    <xf numFmtId="0" fontId="0" fillId="4" borderId="6" xfId="0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6" xfId="0" applyFill="1" applyBorder="1" applyAlignment="1">
      <alignment vertical="center"/>
    </xf>
    <xf numFmtId="0" fontId="8" fillId="4" borderId="6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/>
    </xf>
    <xf numFmtId="0" fontId="0" fillId="4" borderId="0" xfId="0" applyFill="1"/>
    <xf numFmtId="0" fontId="0" fillId="0" borderId="6" xfId="0" applyBorder="1" applyAlignment="1">
      <alignment vertical="center" wrapText="1"/>
    </xf>
    <xf numFmtId="0" fontId="0" fillId="0" borderId="6" xfId="0" quotePrefix="1" applyBorder="1" applyAlignment="1">
      <alignment vertical="center" wrapText="1"/>
    </xf>
    <xf numFmtId="0" fontId="8" fillId="0" borderId="6" xfId="0" applyFont="1" applyBorder="1" applyAlignment="1">
      <alignment horizontal="center" vertical="center"/>
    </xf>
    <xf numFmtId="0" fontId="0" fillId="4" borderId="6" xfId="0" applyFill="1" applyBorder="1" applyAlignment="1">
      <alignment vertical="center" wrapText="1"/>
    </xf>
    <xf numFmtId="0" fontId="0" fillId="0" borderId="6" xfId="0" quotePrefix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10" fillId="6" borderId="6" xfId="0" applyFont="1" applyFill="1" applyBorder="1" applyAlignment="1">
      <alignment horizontal="left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/>
    </xf>
    <xf numFmtId="0" fontId="0" fillId="0" borderId="8" xfId="0" applyBorder="1" applyAlignment="1">
      <alignment vertical="center" wrapText="1"/>
    </xf>
    <xf numFmtId="0" fontId="1" fillId="0" borderId="7" xfId="0" applyFont="1" applyBorder="1" applyAlignment="1">
      <alignment horizontal="center" vertical="center"/>
    </xf>
    <xf numFmtId="0" fontId="0" fillId="0" borderId="9" xfId="0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7" xfId="0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4" fillId="2" borderId="3" xfId="0" applyFont="1" applyFill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2" fillId="3" borderId="2" xfId="0" applyFont="1" applyFill="1" applyBorder="1"/>
    <xf numFmtId="0" fontId="2" fillId="3" borderId="2" xfId="0" applyFont="1" applyFill="1" applyBorder="1" applyAlignment="1">
      <alignment wrapText="1"/>
    </xf>
    <xf numFmtId="0" fontId="2" fillId="3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49" fontId="2" fillId="3" borderId="2" xfId="0" applyNumberFormat="1" applyFont="1" applyFill="1" applyBorder="1"/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/>
    </xf>
    <xf numFmtId="49" fontId="2" fillId="2" borderId="1" xfId="0" applyNumberFormat="1" applyFont="1" applyFill="1" applyBorder="1"/>
    <xf numFmtId="0" fontId="4" fillId="2" borderId="1" xfId="0" applyFont="1" applyFill="1" applyBorder="1"/>
    <xf numFmtId="49" fontId="2" fillId="2" borderId="1" xfId="0" applyNumberFormat="1" applyFont="1" applyFill="1" applyBorder="1" applyAlignment="1">
      <alignment wrapText="1"/>
    </xf>
    <xf numFmtId="3" fontId="8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vertical="center"/>
    </xf>
    <xf numFmtId="0" fontId="0" fillId="2" borderId="6" xfId="0" quotePrefix="1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/>
    </xf>
    <xf numFmtId="0" fontId="0" fillId="2" borderId="6" xfId="0" applyFill="1" applyBorder="1" applyAlignment="1">
      <alignment vertical="center" wrapText="1"/>
    </xf>
    <xf numFmtId="0" fontId="0" fillId="2" borderId="0" xfId="0" applyFill="1"/>
    <xf numFmtId="0" fontId="8" fillId="0" borderId="1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49" fontId="2" fillId="0" borderId="0" xfId="0" applyNumberFormat="1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3" borderId="0" xfId="0" applyFont="1" applyFill="1" applyAlignment="1">
      <alignment vertical="center"/>
    </xf>
    <xf numFmtId="14" fontId="2" fillId="3" borderId="1" xfId="0" applyNumberFormat="1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8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vertical="center" wrapText="1"/>
    </xf>
    <xf numFmtId="0" fontId="8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/>
    </xf>
    <xf numFmtId="0" fontId="8" fillId="2" borderId="1" xfId="0" quotePrefix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0" borderId="1" xfId="0" quotePrefix="1" applyFont="1" applyBorder="1" applyAlignment="1">
      <alignment vertical="center"/>
    </xf>
    <xf numFmtId="0" fontId="8" fillId="2" borderId="1" xfId="0" applyFont="1" applyFill="1" applyBorder="1" applyAlignment="1">
      <alignment horizontal="left" vertical="center" wrapText="1"/>
    </xf>
    <xf numFmtId="0" fontId="10" fillId="0" borderId="1" xfId="0" applyFont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left" vertical="center"/>
    </xf>
    <xf numFmtId="0" fontId="10" fillId="0" borderId="1" xfId="0" applyFont="1" applyBorder="1" applyAlignment="1">
      <alignment horizontal="left" vertical="center"/>
    </xf>
    <xf numFmtId="0" fontId="8" fillId="2" borderId="1" xfId="0" applyFont="1" applyFill="1" applyBorder="1" applyAlignment="1">
      <alignment vertical="center" wrapText="1"/>
    </xf>
    <xf numFmtId="0" fontId="8" fillId="4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49" fontId="3" fillId="8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quotePrefix="1" applyFont="1" applyFill="1" applyBorder="1" applyAlignment="1">
      <alignment vertical="center" wrapText="1"/>
    </xf>
    <xf numFmtId="0" fontId="8" fillId="2" borderId="1" xfId="0" quotePrefix="1" applyFont="1" applyFill="1" applyBorder="1" applyAlignment="1">
      <alignment vertical="center"/>
    </xf>
    <xf numFmtId="14" fontId="8" fillId="2" borderId="1" xfId="0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vertical="center"/>
    </xf>
    <xf numFmtId="0" fontId="10" fillId="2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14" fontId="8" fillId="0" borderId="1" xfId="0" applyNumberFormat="1" applyFont="1" applyBorder="1" applyAlignment="1">
      <alignment horizontal="left" vertical="center" wrapText="1"/>
    </xf>
    <xf numFmtId="0" fontId="10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quotePrefix="1" applyFont="1" applyFill="1" applyBorder="1" applyAlignment="1">
      <alignment vertical="center" wrapText="1"/>
    </xf>
    <xf numFmtId="0" fontId="13" fillId="0" borderId="1" xfId="1" quotePrefix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49" fontId="2" fillId="0" borderId="1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 wrapText="1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/>
    </xf>
    <xf numFmtId="49" fontId="17" fillId="2" borderId="1" xfId="0" applyNumberFormat="1" applyFont="1" applyFill="1" applyBorder="1" applyAlignment="1">
      <alignment vertical="center" wrapText="1"/>
    </xf>
    <xf numFmtId="0" fontId="17" fillId="0" borderId="1" xfId="0" applyFont="1" applyBorder="1" applyAlignment="1">
      <alignment horizontal="center" vertical="center"/>
    </xf>
    <xf numFmtId="0" fontId="16" fillId="2" borderId="1" xfId="0" applyFont="1" applyFill="1" applyBorder="1" applyAlignment="1">
      <alignment vertical="center" wrapText="1"/>
    </xf>
    <xf numFmtId="0" fontId="16" fillId="0" borderId="1" xfId="0" applyFont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 wrapText="1"/>
    </xf>
    <xf numFmtId="0" fontId="19" fillId="0" borderId="1" xfId="0" applyFont="1" applyBorder="1" applyAlignment="1">
      <alignment horizontal="center" vertical="center" wrapText="1"/>
    </xf>
    <xf numFmtId="0" fontId="15" fillId="0" borderId="1" xfId="0" quotePrefix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wrapText="1"/>
    </xf>
    <xf numFmtId="0" fontId="17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vertical="center"/>
    </xf>
    <xf numFmtId="0" fontId="16" fillId="2" borderId="1" xfId="0" applyFont="1" applyFill="1" applyBorder="1" applyAlignment="1">
      <alignment horizontal="left" vertical="center"/>
    </xf>
    <xf numFmtId="0" fontId="17" fillId="2" borderId="1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vertical="center"/>
    </xf>
    <xf numFmtId="0" fontId="18" fillId="2" borderId="1" xfId="0" applyFont="1" applyFill="1" applyBorder="1" applyAlignment="1">
      <alignment horizontal="left" vertical="center" wrapText="1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0" fontId="18" fillId="2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vertical="center"/>
    </xf>
    <xf numFmtId="0" fontId="10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vertical="center"/>
    </xf>
    <xf numFmtId="14" fontId="2" fillId="2" borderId="1" xfId="0" applyNumberFormat="1" applyFont="1" applyFill="1" applyBorder="1" applyAlignment="1">
      <alignment horizontal="left" vertical="center"/>
    </xf>
    <xf numFmtId="14" fontId="10" fillId="5" borderId="1" xfId="0" applyNumberFormat="1" applyFont="1" applyFill="1" applyBorder="1" applyAlignment="1">
      <alignment horizontal="left" vertical="center" wrapText="1"/>
    </xf>
    <xf numFmtId="0" fontId="8" fillId="4" borderId="0" xfId="0" applyFont="1" applyFill="1" applyAlignment="1">
      <alignment vertical="center"/>
    </xf>
    <xf numFmtId="0" fontId="13" fillId="4" borderId="1" xfId="1" quotePrefix="1" applyFont="1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" fillId="2" borderId="1" xfId="2" applyFont="1" applyFill="1" applyBorder="1" applyAlignment="1">
      <alignment horizontal="left" vertical="center"/>
    </xf>
    <xf numFmtId="14" fontId="8" fillId="2" borderId="1" xfId="0" applyNumberFormat="1" applyFont="1" applyFill="1" applyBorder="1" applyAlignment="1">
      <alignment horizontal="left" vertical="center"/>
    </xf>
    <xf numFmtId="0" fontId="16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0" fillId="0" borderId="1" xfId="0" applyBorder="1"/>
    <xf numFmtId="0" fontId="0" fillId="2" borderId="1" xfId="0" applyFill="1" applyBorder="1" applyAlignment="1">
      <alignment vertical="center" wrapText="1"/>
    </xf>
    <xf numFmtId="0" fontId="2" fillId="2" borderId="1" xfId="2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vertical="center" wrapText="1"/>
    </xf>
    <xf numFmtId="0" fontId="10" fillId="5" borderId="1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vertical="center" wrapText="1"/>
    </xf>
    <xf numFmtId="0" fontId="10" fillId="7" borderId="1" xfId="0" applyFont="1" applyFill="1" applyBorder="1" applyAlignment="1">
      <alignment vertical="center" wrapText="1"/>
    </xf>
    <xf numFmtId="49" fontId="2" fillId="2" borderId="1" xfId="0" applyNumberFormat="1" applyFont="1" applyFill="1" applyBorder="1" applyAlignment="1">
      <alignment horizontal="left" vertical="center"/>
    </xf>
    <xf numFmtId="14" fontId="8" fillId="2" borderId="1" xfId="0" applyNumberFormat="1" applyFont="1" applyFill="1" applyBorder="1" applyAlignment="1">
      <alignment horizontal="left" vertical="center" wrapText="1"/>
    </xf>
    <xf numFmtId="14" fontId="8" fillId="2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vertical="center"/>
    </xf>
    <xf numFmtId="0" fontId="2" fillId="0" borderId="0" xfId="0" applyFont="1" applyAlignment="1">
      <alignment horizontal="left" vertical="center" wrapText="1"/>
    </xf>
    <xf numFmtId="14" fontId="8" fillId="0" borderId="1" xfId="0" applyNumberFormat="1" applyFont="1" applyBorder="1" applyAlignment="1">
      <alignment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wrapText="1"/>
    </xf>
    <xf numFmtId="0" fontId="8" fillId="5" borderId="1" xfId="0" applyFont="1" applyFill="1" applyBorder="1" applyAlignment="1">
      <alignment vertical="center" wrapText="1"/>
    </xf>
    <xf numFmtId="14" fontId="8" fillId="2" borderId="1" xfId="0" applyNumberFormat="1" applyFont="1" applyFill="1" applyBorder="1" applyAlignment="1">
      <alignment vertical="center" wrapText="1"/>
    </xf>
    <xf numFmtId="0" fontId="10" fillId="5" borderId="1" xfId="0" applyFont="1" applyFill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wrapText="1"/>
    </xf>
    <xf numFmtId="14" fontId="2" fillId="2" borderId="1" xfId="0" applyNumberFormat="1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14" fontId="8" fillId="7" borderId="1" xfId="0" applyNumberFormat="1" applyFont="1" applyFill="1" applyBorder="1" applyAlignment="1">
      <alignment vertical="center" wrapText="1"/>
    </xf>
    <xf numFmtId="14" fontId="17" fillId="2" borderId="1" xfId="0" applyNumberFormat="1" applyFont="1" applyFill="1" applyBorder="1" applyAlignment="1">
      <alignment horizontal="right" vertical="center" wrapText="1"/>
    </xf>
    <xf numFmtId="0" fontId="19" fillId="0" borderId="1" xfId="0" applyFont="1" applyBorder="1" applyAlignment="1">
      <alignment horizontal="left" vertical="center" wrapText="1"/>
    </xf>
    <xf numFmtId="0" fontId="18" fillId="2" borderId="1" xfId="0" applyFont="1" applyFill="1" applyBorder="1" applyAlignment="1">
      <alignment horizontal="left" vertical="center"/>
    </xf>
    <xf numFmtId="0" fontId="21" fillId="0" borderId="6" xfId="0" applyFont="1" applyBorder="1" applyAlignment="1">
      <alignment vertical="center"/>
    </xf>
    <xf numFmtId="0" fontId="20" fillId="0" borderId="0" xfId="2"/>
    <xf numFmtId="0" fontId="21" fillId="0" borderId="6" xfId="2" applyFont="1" applyBorder="1" applyAlignment="1">
      <alignment horizontal="center" vertical="center"/>
    </xf>
    <xf numFmtId="14" fontId="21" fillId="0" borderId="6" xfId="2" applyNumberFormat="1" applyFont="1" applyBorder="1" applyAlignment="1">
      <alignment horizontal="center" vertical="center"/>
    </xf>
    <xf numFmtId="0" fontId="21" fillId="0" borderId="6" xfId="2" applyFont="1" applyBorder="1" applyAlignment="1">
      <alignment vertical="center"/>
    </xf>
    <xf numFmtId="0" fontId="21" fillId="0" borderId="6" xfId="2" applyFont="1" applyBorder="1" applyAlignment="1">
      <alignment horizontal="left" vertical="center"/>
    </xf>
    <xf numFmtId="0" fontId="22" fillId="0" borderId="6" xfId="2" applyFont="1" applyBorder="1" applyAlignment="1">
      <alignment vertical="center"/>
    </xf>
    <xf numFmtId="0" fontId="23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5" fillId="0" borderId="0" xfId="0" applyFont="1" applyAlignment="1">
      <alignment horizontal="left" vertical="center"/>
    </xf>
    <xf numFmtId="0" fontId="26" fillId="8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5" fillId="4" borderId="1" xfId="0" applyFont="1" applyFill="1" applyBorder="1" applyAlignment="1">
      <alignment horizontal="left" vertical="center"/>
    </xf>
    <xf numFmtId="49" fontId="25" fillId="4" borderId="1" xfId="0" applyNumberFormat="1" applyFont="1" applyFill="1" applyBorder="1" applyAlignment="1">
      <alignment vertical="center" wrapText="1"/>
    </xf>
    <xf numFmtId="49" fontId="25" fillId="0" borderId="1" xfId="0" applyNumberFormat="1" applyFont="1" applyBorder="1" applyAlignment="1">
      <alignment horizontal="left" vertical="center"/>
    </xf>
    <xf numFmtId="0" fontId="25" fillId="3" borderId="1" xfId="0" applyFont="1" applyFill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5" fillId="3" borderId="1" xfId="0" applyFont="1" applyFill="1" applyBorder="1" applyAlignment="1">
      <alignment horizontal="left" vertical="center"/>
    </xf>
    <xf numFmtId="49" fontId="25" fillId="2" borderId="1" xfId="0" applyNumberFormat="1" applyFont="1" applyFill="1" applyBorder="1" applyAlignment="1">
      <alignment vertical="center" wrapText="1"/>
    </xf>
    <xf numFmtId="0" fontId="28" fillId="4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8" fillId="4" borderId="1" xfId="0" applyFont="1" applyFill="1" applyBorder="1" applyAlignment="1">
      <alignment vertical="center" wrapText="1"/>
    </xf>
    <xf numFmtId="0" fontId="28" fillId="0" borderId="1" xfId="0" applyFont="1" applyBorder="1" applyAlignment="1">
      <alignment vertical="center" wrapText="1"/>
    </xf>
    <xf numFmtId="0" fontId="29" fillId="3" borderId="1" xfId="0" applyFont="1" applyFill="1" applyBorder="1" applyAlignment="1">
      <alignment vertical="center"/>
    </xf>
    <xf numFmtId="0" fontId="28" fillId="4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vertical="center"/>
    </xf>
    <xf numFmtId="0" fontId="28" fillId="2" borderId="1" xfId="0" applyFont="1" applyFill="1" applyBorder="1" applyAlignment="1">
      <alignment horizontal="left" vertical="center"/>
    </xf>
    <xf numFmtId="0" fontId="25" fillId="2" borderId="1" xfId="0" applyFont="1" applyFill="1" applyBorder="1" applyAlignment="1">
      <alignment horizontal="left" vertical="center"/>
    </xf>
    <xf numFmtId="0" fontId="25" fillId="2" borderId="1" xfId="0" applyFont="1" applyFill="1" applyBorder="1" applyAlignment="1">
      <alignment vertical="center"/>
    </xf>
    <xf numFmtId="0" fontId="28" fillId="0" borderId="1" xfId="0" applyFont="1" applyBorder="1" applyAlignment="1">
      <alignment horizontal="left" vertical="center" wrapText="1"/>
    </xf>
    <xf numFmtId="0" fontId="29" fillId="5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left" vertical="center" wrapText="1"/>
    </xf>
    <xf numFmtId="0" fontId="28" fillId="3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vertical="center"/>
    </xf>
    <xf numFmtId="0" fontId="29" fillId="2" borderId="1" xfId="0" applyFont="1" applyFill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28" fillId="3" borderId="1" xfId="0" applyFont="1" applyFill="1" applyBorder="1" applyAlignment="1">
      <alignment vertical="center"/>
    </xf>
    <xf numFmtId="0" fontId="29" fillId="7" borderId="1" xfId="0" applyFont="1" applyFill="1" applyBorder="1" applyAlignment="1">
      <alignment horizontal="left" vertical="center"/>
    </xf>
    <xf numFmtId="0" fontId="28" fillId="5" borderId="1" xfId="0" applyFont="1" applyFill="1" applyBorder="1" applyAlignment="1">
      <alignment vertical="center"/>
    </xf>
    <xf numFmtId="0" fontId="29" fillId="5" borderId="1" xfId="0" applyFont="1" applyFill="1" applyBorder="1" applyAlignment="1">
      <alignment horizontal="left" vertical="center"/>
    </xf>
    <xf numFmtId="0" fontId="29" fillId="0" borderId="1" xfId="0" applyFont="1" applyBorder="1" applyAlignment="1">
      <alignment horizontal="left" vertical="center"/>
    </xf>
    <xf numFmtId="0" fontId="29" fillId="3" borderId="1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left" vertical="center" wrapText="1"/>
    </xf>
    <xf numFmtId="0" fontId="29" fillId="0" borderId="1" xfId="0" applyFont="1" applyBorder="1" applyAlignment="1">
      <alignment horizontal="left" vertical="center" wrapText="1"/>
    </xf>
    <xf numFmtId="0" fontId="29" fillId="2" borderId="1" xfId="0" applyFont="1" applyFill="1" applyBorder="1" applyAlignment="1">
      <alignment horizontal="left" vertical="center"/>
    </xf>
    <xf numFmtId="0" fontId="25" fillId="0" borderId="6" xfId="2" applyFont="1" applyBorder="1" applyAlignment="1">
      <alignment vertical="center"/>
    </xf>
    <xf numFmtId="0" fontId="4" fillId="0" borderId="0" xfId="2" applyFont="1"/>
    <xf numFmtId="0" fontId="4" fillId="0" borderId="1" xfId="2" applyFont="1" applyBorder="1"/>
    <xf numFmtId="1" fontId="4" fillId="0" borderId="1" xfId="2" applyNumberFormat="1" applyFont="1" applyBorder="1"/>
    <xf numFmtId="14" fontId="4" fillId="0" borderId="1" xfId="2" applyNumberFormat="1" applyFont="1" applyBorder="1"/>
    <xf numFmtId="0" fontId="4" fillId="0" borderId="1" xfId="2" applyFont="1" applyBorder="1" applyAlignment="1">
      <alignment wrapText="1"/>
    </xf>
    <xf numFmtId="0" fontId="4" fillId="0" borderId="1" xfId="2" applyFont="1" applyBorder="1" applyAlignment="1">
      <alignment horizontal="center"/>
    </xf>
    <xf numFmtId="0" fontId="4" fillId="0" borderId="3" xfId="2" applyFont="1" applyBorder="1"/>
    <xf numFmtId="0" fontId="5" fillId="0" borderId="1" xfId="2" applyFont="1" applyBorder="1" applyAlignment="1">
      <alignment vertical="center"/>
    </xf>
    <xf numFmtId="0" fontId="4" fillId="0" borderId="1" xfId="2" applyFont="1" applyBorder="1" applyAlignment="1">
      <alignment horizontal="left" vertical="center"/>
    </xf>
    <xf numFmtId="0" fontId="5" fillId="0" borderId="1" xfId="2" applyFont="1" applyBorder="1" applyAlignment="1">
      <alignment horizontal="left" vertical="center"/>
    </xf>
    <xf numFmtId="0" fontId="30" fillId="0" borderId="1" xfId="2" applyFont="1" applyBorder="1" applyAlignment="1">
      <alignment horizontal="left" vertical="center" wrapText="1"/>
    </xf>
    <xf numFmtId="0" fontId="5" fillId="0" borderId="3" xfId="2" applyFont="1" applyBorder="1" applyAlignment="1">
      <alignment horizontal="center"/>
    </xf>
    <xf numFmtId="0" fontId="5" fillId="0" borderId="1" xfId="2" applyFont="1" applyBorder="1"/>
    <xf numFmtId="0" fontId="30" fillId="0" borderId="1" xfId="2" applyFont="1" applyBorder="1" applyAlignment="1">
      <alignment vertical="center" wrapText="1"/>
    </xf>
    <xf numFmtId="0" fontId="5" fillId="0" borderId="3" xfId="2" applyFont="1" applyBorder="1"/>
    <xf numFmtId="0" fontId="5" fillId="0" borderId="3" xfId="2" applyFont="1" applyBorder="1" applyAlignment="1">
      <alignment vertical="center"/>
    </xf>
    <xf numFmtId="0" fontId="5" fillId="0" borderId="1" xfId="2" applyFont="1" applyBorder="1" applyAlignment="1">
      <alignment vertical="center" wrapText="1"/>
    </xf>
    <xf numFmtId="0" fontId="5" fillId="0" borderId="1" xfId="2" applyFont="1" applyBorder="1" applyAlignment="1">
      <alignment horizontal="left"/>
    </xf>
    <xf numFmtId="0" fontId="5" fillId="0" borderId="3" xfId="2" applyFont="1" applyBorder="1" applyAlignment="1">
      <alignment horizontal="left"/>
    </xf>
    <xf numFmtId="0" fontId="5" fillId="0" borderId="3" xfId="2" applyFont="1" applyBorder="1" applyAlignment="1">
      <alignment horizontal="left" vertical="center"/>
    </xf>
    <xf numFmtId="0" fontId="5" fillId="0" borderId="1" xfId="2" applyFont="1" applyBorder="1" applyAlignment="1">
      <alignment horizontal="left" vertical="center" wrapText="1"/>
    </xf>
    <xf numFmtId="0" fontId="4" fillId="0" borderId="3" xfId="2" applyFont="1" applyBorder="1" applyAlignment="1">
      <alignment horizontal="left" vertical="center"/>
    </xf>
    <xf numFmtId="0" fontId="5" fillId="0" borderId="3" xfId="2" applyFont="1" applyBorder="1" applyAlignment="1">
      <alignment horizontal="center" vertical="center"/>
    </xf>
    <xf numFmtId="0" fontId="5" fillId="0" borderId="6" xfId="2" applyFont="1" applyBorder="1" applyAlignment="1">
      <alignment vertical="center"/>
    </xf>
    <xf numFmtId="0" fontId="5" fillId="0" borderId="7" xfId="2" applyFont="1" applyBorder="1" applyAlignment="1">
      <alignment vertical="center"/>
    </xf>
    <xf numFmtId="0" fontId="5" fillId="0" borderId="6" xfId="2" applyFont="1" applyBorder="1" applyAlignment="1">
      <alignment horizontal="left"/>
    </xf>
    <xf numFmtId="0" fontId="30" fillId="0" borderId="3" xfId="2" applyFont="1" applyBorder="1" applyAlignment="1">
      <alignment horizontal="left" vertical="center"/>
    </xf>
    <xf numFmtId="0" fontId="4" fillId="0" borderId="13" xfId="2" applyFont="1" applyBorder="1"/>
    <xf numFmtId="0" fontId="30" fillId="0" borderId="1" xfId="2" applyFont="1" applyBorder="1" applyAlignment="1">
      <alignment horizontal="left" vertical="center"/>
    </xf>
    <xf numFmtId="0" fontId="30" fillId="0" borderId="3" xfId="2" applyFont="1" applyBorder="1" applyAlignment="1">
      <alignment horizontal="center" vertical="center"/>
    </xf>
    <xf numFmtId="0" fontId="30" fillId="5" borderId="1" xfId="2" applyFont="1" applyFill="1" applyBorder="1" applyAlignment="1">
      <alignment horizontal="left" vertical="center"/>
    </xf>
    <xf numFmtId="0" fontId="30" fillId="0" borderId="3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5" fillId="0" borderId="3" xfId="2" applyFont="1" applyBorder="1" applyAlignment="1">
      <alignment vertical="center" wrapText="1"/>
    </xf>
    <xf numFmtId="0" fontId="4" fillId="2" borderId="3" xfId="2" applyFont="1" applyFill="1" applyBorder="1"/>
    <xf numFmtId="0" fontId="4" fillId="8" borderId="3" xfId="2" applyFont="1" applyFill="1" applyBorder="1"/>
    <xf numFmtId="0" fontId="5" fillId="8" borderId="3" xfId="2" applyFont="1" applyFill="1" applyBorder="1" applyAlignment="1">
      <alignment vertical="center" wrapText="1"/>
    </xf>
    <xf numFmtId="0" fontId="5" fillId="2" borderId="3" xfId="2" applyFont="1" applyFill="1" applyBorder="1" applyAlignment="1">
      <alignment vertical="center" wrapText="1"/>
    </xf>
    <xf numFmtId="0" fontId="4" fillId="0" borderId="12" xfId="2" applyFont="1" applyBorder="1"/>
    <xf numFmtId="0" fontId="4" fillId="0" borderId="1" xfId="2" applyFont="1" applyBorder="1" applyAlignment="1">
      <alignment horizontal="left" vertical="center" wrapText="1"/>
    </xf>
    <xf numFmtId="1" fontId="4" fillId="0" borderId="1" xfId="2" applyNumberFormat="1" applyFont="1" applyBorder="1" applyAlignment="1">
      <alignment horizontal="right" vertical="center"/>
    </xf>
    <xf numFmtId="0" fontId="4" fillId="0" borderId="0" xfId="2" applyFont="1" applyAlignment="1">
      <alignment horizontal="left" vertical="center"/>
    </xf>
    <xf numFmtId="14" fontId="4" fillId="0" borderId="1" xfId="2" applyNumberFormat="1" applyFont="1" applyBorder="1" applyAlignment="1">
      <alignment horizontal="left" vertical="center"/>
    </xf>
    <xf numFmtId="0" fontId="31" fillId="0" borderId="0" xfId="2" applyFont="1"/>
    <xf numFmtId="0" fontId="31" fillId="0" borderId="1" xfId="2" applyFont="1" applyBorder="1" applyAlignment="1">
      <alignment horizontal="center" vertical="center" wrapText="1"/>
    </xf>
    <xf numFmtId="1" fontId="31" fillId="0" borderId="1" xfId="2" applyNumberFormat="1" applyFont="1" applyBorder="1" applyAlignment="1">
      <alignment horizontal="center" vertical="center" wrapText="1"/>
    </xf>
    <xf numFmtId="0" fontId="31" fillId="0" borderId="3" xfId="2" applyFont="1" applyBorder="1" applyAlignment="1">
      <alignment horizontal="center" vertical="center" wrapText="1"/>
    </xf>
    <xf numFmtId="0" fontId="31" fillId="0" borderId="0" xfId="2" applyFont="1" applyAlignment="1">
      <alignment horizontal="center" vertical="center" wrapText="1"/>
    </xf>
    <xf numFmtId="14" fontId="2" fillId="0" borderId="1" xfId="0" applyNumberFormat="1" applyFont="1" applyBorder="1" applyAlignment="1">
      <alignment vertical="center"/>
    </xf>
    <xf numFmtId="14" fontId="2" fillId="0" borderId="0" xfId="0" applyNumberFormat="1" applyFont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 wrapText="1"/>
    </xf>
    <xf numFmtId="14" fontId="31" fillId="0" borderId="1" xfId="2" applyNumberFormat="1" applyFont="1" applyBorder="1" applyAlignment="1">
      <alignment horizontal="left" vertical="center" wrapText="1"/>
    </xf>
    <xf numFmtId="14" fontId="4" fillId="0" borderId="1" xfId="2" quotePrefix="1" applyNumberFormat="1" applyFont="1" applyBorder="1" applyAlignment="1">
      <alignment horizontal="left" vertical="center"/>
    </xf>
    <xf numFmtId="14" fontId="4" fillId="0" borderId="1" xfId="2" applyNumberFormat="1" applyFont="1" applyBorder="1" applyAlignment="1">
      <alignment horizontal="left"/>
    </xf>
    <xf numFmtId="14" fontId="4" fillId="0" borderId="1" xfId="2" applyNumberFormat="1" applyFont="1" applyBorder="1" applyAlignment="1">
      <alignment horizontal="left" wrapText="1"/>
    </xf>
    <xf numFmtId="14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right" vertical="center" wrapText="1"/>
    </xf>
    <xf numFmtId="14" fontId="2" fillId="0" borderId="1" xfId="0" applyNumberFormat="1" applyFont="1" applyBorder="1" applyAlignment="1">
      <alignment horizontal="right" vertical="center"/>
    </xf>
    <xf numFmtId="14" fontId="8" fillId="0" borderId="1" xfId="0" applyNumberFormat="1" applyFont="1" applyBorder="1" applyAlignment="1">
      <alignment horizontal="right" vertical="center" wrapText="1"/>
    </xf>
    <xf numFmtId="49" fontId="2" fillId="0" borderId="1" xfId="0" applyNumberFormat="1" applyFont="1" applyBorder="1" applyAlignment="1">
      <alignment horizontal="right" vertical="center" wrapText="1"/>
    </xf>
    <xf numFmtId="0" fontId="2" fillId="4" borderId="1" xfId="0" applyFont="1" applyFill="1" applyBorder="1" applyAlignment="1">
      <alignment horizontal="right" vertical="center" wrapText="1"/>
    </xf>
    <xf numFmtId="0" fontId="8" fillId="4" borderId="1" xfId="0" applyFont="1" applyFill="1" applyBorder="1" applyAlignment="1">
      <alignment horizontal="right" vertical="center" wrapText="1"/>
    </xf>
    <xf numFmtId="0" fontId="8" fillId="3" borderId="1" xfId="0" applyFont="1" applyFill="1" applyBorder="1" applyAlignment="1">
      <alignment horizontal="right" vertical="center" wrapText="1"/>
    </xf>
    <xf numFmtId="14" fontId="8" fillId="2" borderId="1" xfId="0" applyNumberFormat="1" applyFont="1" applyFill="1" applyBorder="1" applyAlignment="1">
      <alignment horizontal="right" vertical="center" wrapText="1"/>
    </xf>
    <xf numFmtId="14" fontId="2" fillId="0" borderId="1" xfId="0" applyNumberFormat="1" applyFont="1" applyBorder="1" applyAlignment="1">
      <alignment horizontal="right" vertical="center" wrapText="1"/>
    </xf>
    <xf numFmtId="14" fontId="10" fillId="5" borderId="1" xfId="0" applyNumberFormat="1" applyFont="1" applyFill="1" applyBorder="1" applyAlignment="1">
      <alignment horizontal="right" vertical="center" wrapText="1"/>
    </xf>
    <xf numFmtId="14" fontId="4" fillId="0" borderId="1" xfId="2" applyNumberFormat="1" applyFont="1" applyBorder="1" applyAlignment="1">
      <alignment horizontal="right"/>
    </xf>
    <xf numFmtId="14" fontId="2" fillId="2" borderId="1" xfId="0" applyNumberFormat="1" applyFont="1" applyFill="1" applyBorder="1" applyAlignment="1">
      <alignment horizontal="right" vertical="center" wrapText="1"/>
    </xf>
    <xf numFmtId="14" fontId="8" fillId="7" borderId="1" xfId="0" applyNumberFormat="1" applyFont="1" applyFill="1" applyBorder="1" applyAlignment="1">
      <alignment horizontal="right" vertical="center" wrapText="1"/>
    </xf>
    <xf numFmtId="14" fontId="2" fillId="4" borderId="1" xfId="0" applyNumberFormat="1" applyFont="1" applyFill="1" applyBorder="1" applyAlignment="1">
      <alignment horizontal="right" vertical="center"/>
    </xf>
    <xf numFmtId="14" fontId="2" fillId="4" borderId="1" xfId="0" applyNumberFormat="1" applyFont="1" applyFill="1" applyBorder="1" applyAlignment="1">
      <alignment vertical="center"/>
    </xf>
    <xf numFmtId="0" fontId="2" fillId="4" borderId="1" xfId="1" quotePrefix="1" applyFont="1" applyFill="1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/>
    </xf>
    <xf numFmtId="0" fontId="8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1" fillId="4" borderId="12" xfId="2" applyFont="1" applyFill="1" applyBorder="1" applyAlignment="1">
      <alignment horizontal="center"/>
    </xf>
    <xf numFmtId="0" fontId="31" fillId="4" borderId="3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1" xfId="2" applyFont="1" applyBorder="1" applyAlignment="1">
      <alignment horizontal="center"/>
    </xf>
    <xf numFmtId="0" fontId="4" fillId="0" borderId="15" xfId="2" applyFont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32" fillId="4" borderId="1" xfId="2" applyFont="1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49" fontId="2" fillId="0" borderId="4" xfId="0" applyNumberFormat="1" applyFont="1" applyBorder="1" applyAlignment="1">
      <alignment horizontal="center" vertical="center" wrapText="1"/>
    </xf>
  </cellXfs>
  <cellStyles count="4">
    <cellStyle name="Comma 2" xfId="3" xr:uid="{3244EA62-18D6-4431-9251-EED2D9EC258D}"/>
    <cellStyle name="Hyperlink" xfId="1" builtinId="8"/>
    <cellStyle name="Normal" xfId="0" builtinId="0"/>
    <cellStyle name="Normal 2" xfId="2" xr:uid="{05AF60D1-ED3D-42EC-829C-9890F935FE3B}"/>
  </cellStyles>
  <dxfs count="4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</xdr:rowOff>
    </xdr:from>
    <xdr:ext cx="876382" cy="422835"/>
    <xdr:pic>
      <xdr:nvPicPr>
        <xdr:cNvPr id="2" name="Picture 1">
          <a:extLst>
            <a:ext uri="{FF2B5EF4-FFF2-40B4-BE49-F238E27FC236}">
              <a16:creationId xmlns:a16="http://schemas.microsoft.com/office/drawing/2014/main" id="{6B3B7FDE-360B-4BFC-AD7A-64680AC03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876382" cy="42283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</xdr:rowOff>
    </xdr:from>
    <xdr:ext cx="876382" cy="422835"/>
    <xdr:pic>
      <xdr:nvPicPr>
        <xdr:cNvPr id="2" name="Picture 1">
          <a:extLst>
            <a:ext uri="{FF2B5EF4-FFF2-40B4-BE49-F238E27FC236}">
              <a16:creationId xmlns:a16="http://schemas.microsoft.com/office/drawing/2014/main" id="{E4046190-C7D9-4E95-B015-8C6F68CB8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876382" cy="422835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</xdr:rowOff>
    </xdr:from>
    <xdr:ext cx="876382" cy="422835"/>
    <xdr:pic>
      <xdr:nvPicPr>
        <xdr:cNvPr id="2" name="Picture 1">
          <a:extLst>
            <a:ext uri="{FF2B5EF4-FFF2-40B4-BE49-F238E27FC236}">
              <a16:creationId xmlns:a16="http://schemas.microsoft.com/office/drawing/2014/main" id="{2A96C546-DCFC-4DE0-B104-A4B643A13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876382" cy="422835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1</xdr:rowOff>
    </xdr:from>
    <xdr:ext cx="876382" cy="422835"/>
    <xdr:pic>
      <xdr:nvPicPr>
        <xdr:cNvPr id="2" name="Picture 1">
          <a:extLst>
            <a:ext uri="{FF2B5EF4-FFF2-40B4-BE49-F238E27FC236}">
              <a16:creationId xmlns:a16="http://schemas.microsoft.com/office/drawing/2014/main" id="{46F32323-4CD9-4D90-B26F-B8C4355C0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"/>
          <a:ext cx="876382" cy="42283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0D713-1945-4EB9-97C8-AAA4F4AFCCFF}">
  <sheetPr>
    <pageSetUpPr fitToPage="1"/>
  </sheetPr>
  <dimension ref="A2:AM2069"/>
  <sheetViews>
    <sheetView zoomScale="59" zoomScaleNormal="59" workbookViewId="0">
      <selection activeCell="M13" sqref="M13"/>
    </sheetView>
  </sheetViews>
  <sheetFormatPr defaultColWidth="8.625" defaultRowHeight="15.75"/>
  <cols>
    <col min="1" max="1" width="5.75" style="60" customWidth="1"/>
    <col min="2" max="2" width="15.875" style="133" customWidth="1"/>
    <col min="3" max="3" width="28.5" style="62" customWidth="1"/>
    <col min="4" max="4" width="11.5" style="60" hidden="1" customWidth="1"/>
    <col min="5" max="5" width="12.375" style="60" hidden="1" customWidth="1"/>
    <col min="6" max="6" width="11.25" style="60" hidden="1" customWidth="1"/>
    <col min="7" max="7" width="32.375" style="62" customWidth="1"/>
    <col min="8" max="8" width="15.625" style="62" customWidth="1"/>
    <col min="9" max="10" width="8.75" style="61" customWidth="1"/>
    <col min="11" max="11" width="18.625" style="60" customWidth="1"/>
    <col min="12" max="12" width="18.625" style="133" customWidth="1"/>
    <col min="13" max="13" width="18.875" style="60" bestFit="1" customWidth="1"/>
    <col min="14" max="14" width="26.75" style="133" customWidth="1"/>
    <col min="15" max="15" width="18" style="259" customWidth="1"/>
    <col min="16" max="17" width="18" style="133" hidden="1" customWidth="1"/>
    <col min="18" max="18" width="24.75" style="135" customWidth="1"/>
    <col min="40" max="16384" width="8.625" style="134"/>
  </cols>
  <sheetData>
    <row r="2" spans="1:18" ht="19.899999999999999" customHeight="1">
      <c r="A2" s="400" t="s">
        <v>4</v>
      </c>
      <c r="B2" s="400"/>
      <c r="C2" s="400"/>
      <c r="D2" s="400"/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1:18" ht="19.899999999999999" customHeight="1">
      <c r="A3" s="60" t="s">
        <v>5</v>
      </c>
      <c r="C3" s="62" t="s">
        <v>15</v>
      </c>
    </row>
    <row r="4" spans="1:18" ht="19.899999999999999" customHeight="1">
      <c r="A4" s="60" t="s">
        <v>6</v>
      </c>
      <c r="C4" s="60" t="s">
        <v>381</v>
      </c>
    </row>
    <row r="5" spans="1:18" ht="19.899999999999999" customHeight="1">
      <c r="A5" s="60" t="s">
        <v>9</v>
      </c>
      <c r="C5" s="62" t="s">
        <v>10</v>
      </c>
    </row>
    <row r="6" spans="1:18" ht="19.899999999999999" customHeight="1">
      <c r="A6" s="63" t="s">
        <v>11</v>
      </c>
      <c r="C6" s="62" t="s">
        <v>380</v>
      </c>
      <c r="D6" s="401" t="s">
        <v>379</v>
      </c>
      <c r="E6" s="401"/>
      <c r="F6" s="401"/>
    </row>
    <row r="7" spans="1:18" ht="19.899999999999999" customHeight="1">
      <c r="A7" s="63" t="s">
        <v>11</v>
      </c>
      <c r="C7" s="62" t="s">
        <v>378</v>
      </c>
      <c r="D7" s="401" t="s">
        <v>377</v>
      </c>
      <c r="E7" s="401"/>
      <c r="F7" s="401"/>
    </row>
    <row r="8" spans="1:18" ht="19.899999999999999" customHeight="1">
      <c r="A8" s="63" t="s">
        <v>11</v>
      </c>
      <c r="C8" s="62" t="s">
        <v>726</v>
      </c>
      <c r="D8" s="401" t="s">
        <v>725</v>
      </c>
      <c r="E8" s="401"/>
      <c r="F8" s="401"/>
    </row>
    <row r="9" spans="1:18" ht="19.899999999999999" customHeight="1">
      <c r="A9" s="60" t="s">
        <v>8</v>
      </c>
    </row>
    <row r="10" spans="1:18" ht="63">
      <c r="A10" s="173" t="s">
        <v>0</v>
      </c>
      <c r="B10" s="173" t="s">
        <v>3</v>
      </c>
      <c r="C10" s="174" t="s">
        <v>1</v>
      </c>
      <c r="D10" s="174" t="s">
        <v>733</v>
      </c>
      <c r="E10" s="174" t="s">
        <v>731</v>
      </c>
      <c r="F10" s="174" t="s">
        <v>732</v>
      </c>
      <c r="G10" s="174" t="s">
        <v>376</v>
      </c>
      <c r="H10" s="174" t="s">
        <v>737</v>
      </c>
      <c r="I10" s="174" t="s">
        <v>734</v>
      </c>
      <c r="J10" s="174" t="s">
        <v>12</v>
      </c>
      <c r="K10" s="173" t="s">
        <v>7</v>
      </c>
      <c r="L10" s="173" t="s">
        <v>728</v>
      </c>
      <c r="M10" s="173" t="s">
        <v>727</v>
      </c>
      <c r="N10" s="174" t="s">
        <v>729</v>
      </c>
      <c r="O10" s="174" t="s">
        <v>724</v>
      </c>
      <c r="P10" s="139" t="s">
        <v>736</v>
      </c>
      <c r="Q10" s="174" t="s">
        <v>735</v>
      </c>
      <c r="R10" s="175" t="s">
        <v>2</v>
      </c>
    </row>
    <row r="11" spans="1:18" ht="35.25" customHeight="1">
      <c r="A11" s="15">
        <v>1</v>
      </c>
      <c r="B11" s="239" t="s">
        <v>738</v>
      </c>
      <c r="C11" s="247" t="s">
        <v>739</v>
      </c>
      <c r="D11" s="66"/>
      <c r="E11" s="66"/>
      <c r="F11" s="66"/>
      <c r="G11" s="64"/>
      <c r="H11" s="141"/>
      <c r="I11" s="202" t="s">
        <v>18</v>
      </c>
      <c r="J11" s="192">
        <v>1</v>
      </c>
      <c r="K11" s="11" t="s">
        <v>730</v>
      </c>
      <c r="L11" s="141" t="s">
        <v>17</v>
      </c>
      <c r="M11" s="11"/>
      <c r="N11" s="141" t="s">
        <v>119</v>
      </c>
      <c r="O11" s="146"/>
      <c r="P11" s="43"/>
      <c r="Q11" s="234"/>
      <c r="R11" s="35" t="s">
        <v>272</v>
      </c>
    </row>
    <row r="12" spans="1:18" ht="35.25" customHeight="1">
      <c r="A12" s="15">
        <f>A11+1</f>
        <v>2</v>
      </c>
      <c r="B12" s="239" t="s">
        <v>740</v>
      </c>
      <c r="C12" s="247" t="s">
        <v>741</v>
      </c>
      <c r="D12" s="66"/>
      <c r="E12" s="66"/>
      <c r="F12" s="66"/>
      <c r="G12" s="64"/>
      <c r="H12" s="141"/>
      <c r="I12" s="202" t="s">
        <v>18</v>
      </c>
      <c r="J12" s="192">
        <v>1</v>
      </c>
      <c r="K12" s="11" t="s">
        <v>730</v>
      </c>
      <c r="L12" s="141" t="s">
        <v>17</v>
      </c>
      <c r="M12" s="11"/>
      <c r="N12" s="141" t="s">
        <v>119</v>
      </c>
      <c r="O12" s="146"/>
      <c r="P12" s="43"/>
      <c r="Q12" s="234"/>
      <c r="R12" s="35" t="s">
        <v>272</v>
      </c>
    </row>
    <row r="13" spans="1:18" ht="35.25" customHeight="1">
      <c r="A13" s="15">
        <f t="shared" ref="A13:A76" si="0">A12+1</f>
        <v>3</v>
      </c>
      <c r="B13" s="239" t="s">
        <v>742</v>
      </c>
      <c r="C13" s="247" t="s">
        <v>743</v>
      </c>
      <c r="D13" s="66"/>
      <c r="E13" s="66"/>
      <c r="F13" s="66"/>
      <c r="G13" s="64"/>
      <c r="H13" s="141"/>
      <c r="I13" s="202" t="s">
        <v>18</v>
      </c>
      <c r="J13" s="192">
        <v>1</v>
      </c>
      <c r="K13" s="11" t="s">
        <v>730</v>
      </c>
      <c r="L13" s="141" t="s">
        <v>17</v>
      </c>
      <c r="M13" s="11"/>
      <c r="N13" s="141" t="s">
        <v>119</v>
      </c>
      <c r="O13" s="146"/>
      <c r="P13" s="43"/>
      <c r="Q13" s="234"/>
      <c r="R13" s="35" t="s">
        <v>272</v>
      </c>
    </row>
    <row r="14" spans="1:18" ht="35.25" customHeight="1">
      <c r="A14" s="15">
        <f t="shared" si="0"/>
        <v>4</v>
      </c>
      <c r="B14" s="239" t="s">
        <v>744</v>
      </c>
      <c r="C14" s="247" t="s">
        <v>745</v>
      </c>
      <c r="D14" s="66"/>
      <c r="E14" s="66"/>
      <c r="F14" s="66"/>
      <c r="G14" s="64"/>
      <c r="H14" s="141"/>
      <c r="I14" s="202" t="s">
        <v>18</v>
      </c>
      <c r="J14" s="192">
        <v>1</v>
      </c>
      <c r="K14" s="11" t="s">
        <v>730</v>
      </c>
      <c r="L14" s="141" t="s">
        <v>17</v>
      </c>
      <c r="M14" s="11"/>
      <c r="N14" s="141" t="s">
        <v>119</v>
      </c>
      <c r="O14" s="146"/>
      <c r="P14" s="43"/>
      <c r="Q14" s="234"/>
      <c r="R14" s="35" t="s">
        <v>272</v>
      </c>
    </row>
    <row r="15" spans="1:18" ht="35.25" customHeight="1">
      <c r="A15" s="15">
        <f t="shared" si="0"/>
        <v>5</v>
      </c>
      <c r="B15" s="239" t="s">
        <v>746</v>
      </c>
      <c r="C15" s="247" t="s">
        <v>747</v>
      </c>
      <c r="D15" s="43"/>
      <c r="E15" s="43"/>
      <c r="F15" s="43"/>
      <c r="G15" s="64"/>
      <c r="H15" s="141"/>
      <c r="I15" s="202" t="s">
        <v>18</v>
      </c>
      <c r="J15" s="192">
        <v>1</v>
      </c>
      <c r="K15" s="11" t="s">
        <v>730</v>
      </c>
      <c r="L15" s="141" t="s">
        <v>17</v>
      </c>
      <c r="M15" s="11"/>
      <c r="N15" s="141" t="s">
        <v>119</v>
      </c>
      <c r="O15" s="146"/>
      <c r="P15" s="43"/>
      <c r="Q15" s="234"/>
      <c r="R15" s="35" t="s">
        <v>272</v>
      </c>
    </row>
    <row r="16" spans="1:18" ht="35.25" customHeight="1">
      <c r="A16" s="15">
        <f t="shared" si="0"/>
        <v>6</v>
      </c>
      <c r="B16" s="239" t="s">
        <v>748</v>
      </c>
      <c r="C16" s="247" t="s">
        <v>749</v>
      </c>
      <c r="D16" s="43"/>
      <c r="E16" s="43"/>
      <c r="F16" s="43"/>
      <c r="G16" s="64"/>
      <c r="H16" s="141"/>
      <c r="I16" s="202" t="s">
        <v>18</v>
      </c>
      <c r="J16" s="192">
        <v>1</v>
      </c>
      <c r="K16" s="11" t="s">
        <v>730</v>
      </c>
      <c r="L16" s="141" t="s">
        <v>17</v>
      </c>
      <c r="M16" s="11"/>
      <c r="N16" s="141" t="s">
        <v>119</v>
      </c>
      <c r="O16" s="146"/>
      <c r="P16" s="43"/>
      <c r="Q16" s="43"/>
      <c r="R16" s="35" t="s">
        <v>272</v>
      </c>
    </row>
    <row r="17" spans="1:18" ht="35.25" customHeight="1">
      <c r="A17" s="15">
        <f t="shared" si="0"/>
        <v>7</v>
      </c>
      <c r="B17" s="239" t="s">
        <v>750</v>
      </c>
      <c r="C17" s="247" t="s">
        <v>749</v>
      </c>
      <c r="D17" s="43"/>
      <c r="E17" s="43"/>
      <c r="F17" s="43"/>
      <c r="G17" s="64"/>
      <c r="H17" s="141"/>
      <c r="I17" s="202" t="s">
        <v>18</v>
      </c>
      <c r="J17" s="192">
        <v>1</v>
      </c>
      <c r="K17" s="11" t="s">
        <v>730</v>
      </c>
      <c r="L17" s="141" t="s">
        <v>17</v>
      </c>
      <c r="M17" s="11"/>
      <c r="N17" s="141" t="s">
        <v>119</v>
      </c>
      <c r="O17" s="146"/>
      <c r="P17" s="43"/>
      <c r="Q17" s="43"/>
      <c r="R17" s="35" t="s">
        <v>272</v>
      </c>
    </row>
    <row r="18" spans="1:18" ht="35.25" customHeight="1">
      <c r="A18" s="15">
        <f t="shared" si="0"/>
        <v>8</v>
      </c>
      <c r="B18" s="239" t="s">
        <v>751</v>
      </c>
      <c r="C18" s="247" t="s">
        <v>752</v>
      </c>
      <c r="D18" s="43"/>
      <c r="E18" s="43"/>
      <c r="F18" s="43"/>
      <c r="G18" s="64"/>
      <c r="H18" s="141"/>
      <c r="I18" s="202" t="s">
        <v>18</v>
      </c>
      <c r="J18" s="192">
        <v>1</v>
      </c>
      <c r="K18" s="11" t="s">
        <v>730</v>
      </c>
      <c r="L18" s="141" t="s">
        <v>17</v>
      </c>
      <c r="M18" s="11"/>
      <c r="N18" s="141" t="s">
        <v>119</v>
      </c>
      <c r="O18" s="146"/>
      <c r="P18" s="43"/>
      <c r="Q18" s="43"/>
      <c r="R18" s="35" t="s">
        <v>272</v>
      </c>
    </row>
    <row r="19" spans="1:18" ht="35.25" customHeight="1">
      <c r="A19" s="15">
        <f t="shared" si="0"/>
        <v>9</v>
      </c>
      <c r="B19" s="239" t="s">
        <v>753</v>
      </c>
      <c r="C19" s="247" t="s">
        <v>754</v>
      </c>
      <c r="D19" s="43"/>
      <c r="E19" s="43"/>
      <c r="F19" s="43"/>
      <c r="G19" s="64"/>
      <c r="H19" s="141"/>
      <c r="I19" s="202" t="s">
        <v>18</v>
      </c>
      <c r="J19" s="192">
        <v>1</v>
      </c>
      <c r="K19" s="11" t="s">
        <v>730</v>
      </c>
      <c r="L19" s="141" t="s">
        <v>17</v>
      </c>
      <c r="M19" s="11"/>
      <c r="N19" s="141" t="s">
        <v>119</v>
      </c>
      <c r="O19" s="146"/>
      <c r="P19" s="43"/>
      <c r="Q19" s="43"/>
      <c r="R19" s="35" t="s">
        <v>272</v>
      </c>
    </row>
    <row r="20" spans="1:18" ht="35.25" customHeight="1">
      <c r="A20" s="15">
        <f t="shared" si="0"/>
        <v>10</v>
      </c>
      <c r="B20" s="239" t="s">
        <v>755</v>
      </c>
      <c r="C20" s="247" t="s">
        <v>756</v>
      </c>
      <c r="D20" s="43"/>
      <c r="E20" s="43"/>
      <c r="F20" s="43"/>
      <c r="G20" s="64"/>
      <c r="H20" s="141"/>
      <c r="I20" s="202" t="s">
        <v>18</v>
      </c>
      <c r="J20" s="192">
        <v>1</v>
      </c>
      <c r="K20" s="11" t="s">
        <v>730</v>
      </c>
      <c r="L20" s="141" t="s">
        <v>17</v>
      </c>
      <c r="M20" s="11"/>
      <c r="N20" s="141" t="s">
        <v>119</v>
      </c>
      <c r="O20" s="146"/>
      <c r="P20" s="43"/>
      <c r="Q20" s="43"/>
      <c r="R20" s="35" t="s">
        <v>272</v>
      </c>
    </row>
    <row r="21" spans="1:18" ht="35.25" customHeight="1">
      <c r="A21" s="15">
        <f t="shared" si="0"/>
        <v>11</v>
      </c>
      <c r="B21" s="239" t="s">
        <v>757</v>
      </c>
      <c r="C21" s="247" t="s">
        <v>758</v>
      </c>
      <c r="D21" s="43"/>
      <c r="E21" s="43"/>
      <c r="F21" s="43"/>
      <c r="G21" s="64"/>
      <c r="H21" s="141"/>
      <c r="I21" s="202" t="s">
        <v>18</v>
      </c>
      <c r="J21" s="192">
        <v>1</v>
      </c>
      <c r="K21" s="11" t="s">
        <v>730</v>
      </c>
      <c r="L21" s="141" t="s">
        <v>17</v>
      </c>
      <c r="M21" s="11"/>
      <c r="N21" s="141" t="s">
        <v>119</v>
      </c>
      <c r="O21" s="146"/>
      <c r="P21" s="43"/>
      <c r="Q21" s="43"/>
      <c r="R21" s="35" t="s">
        <v>272</v>
      </c>
    </row>
    <row r="22" spans="1:18" ht="35.25" customHeight="1">
      <c r="A22" s="15">
        <f t="shared" si="0"/>
        <v>12</v>
      </c>
      <c r="B22" s="239" t="s">
        <v>759</v>
      </c>
      <c r="C22" s="247" t="s">
        <v>760</v>
      </c>
      <c r="D22" s="43"/>
      <c r="E22" s="43"/>
      <c r="F22" s="43"/>
      <c r="G22" s="64"/>
      <c r="H22" s="141"/>
      <c r="I22" s="202" t="s">
        <v>18</v>
      </c>
      <c r="J22" s="192">
        <v>1</v>
      </c>
      <c r="K22" s="11" t="s">
        <v>730</v>
      </c>
      <c r="L22" s="141" t="s">
        <v>17</v>
      </c>
      <c r="M22" s="19"/>
      <c r="N22" s="141" t="s">
        <v>119</v>
      </c>
      <c r="O22" s="146"/>
      <c r="P22" s="43"/>
      <c r="Q22" s="43"/>
      <c r="R22" s="35" t="s">
        <v>272</v>
      </c>
    </row>
    <row r="23" spans="1:18" ht="35.25" customHeight="1">
      <c r="A23" s="15">
        <f t="shared" si="0"/>
        <v>13</v>
      </c>
      <c r="B23" s="239" t="s">
        <v>761</v>
      </c>
      <c r="C23" s="247" t="s">
        <v>762</v>
      </c>
      <c r="D23" s="43"/>
      <c r="E23" s="43"/>
      <c r="F23" s="43"/>
      <c r="G23" s="64"/>
      <c r="H23" s="141"/>
      <c r="I23" s="202" t="s">
        <v>18</v>
      </c>
      <c r="J23" s="192">
        <v>1</v>
      </c>
      <c r="K23" s="11" t="s">
        <v>730</v>
      </c>
      <c r="L23" s="141" t="s">
        <v>17</v>
      </c>
      <c r="M23" s="19"/>
      <c r="N23" s="141" t="s">
        <v>119</v>
      </c>
      <c r="O23" s="146"/>
      <c r="P23" s="43"/>
      <c r="Q23" s="43"/>
      <c r="R23" s="35" t="s">
        <v>272</v>
      </c>
    </row>
    <row r="24" spans="1:18" ht="35.25" customHeight="1">
      <c r="A24" s="15">
        <f t="shared" si="0"/>
        <v>14</v>
      </c>
      <c r="B24" s="239" t="s">
        <v>763</v>
      </c>
      <c r="C24" s="247" t="s">
        <v>764</v>
      </c>
      <c r="D24" s="43"/>
      <c r="E24" s="43"/>
      <c r="F24" s="43"/>
      <c r="G24" s="64"/>
      <c r="H24" s="141"/>
      <c r="I24" s="202" t="s">
        <v>18</v>
      </c>
      <c r="J24" s="192">
        <v>1</v>
      </c>
      <c r="K24" s="11" t="s">
        <v>730</v>
      </c>
      <c r="L24" s="141" t="s">
        <v>17</v>
      </c>
      <c r="M24" s="19"/>
      <c r="N24" s="141" t="s">
        <v>119</v>
      </c>
      <c r="O24" s="146"/>
      <c r="P24" s="43"/>
      <c r="Q24" s="43"/>
      <c r="R24" s="35" t="s">
        <v>272</v>
      </c>
    </row>
    <row r="25" spans="1:18" ht="45" customHeight="1">
      <c r="A25" s="15">
        <f t="shared" si="0"/>
        <v>15</v>
      </c>
      <c r="B25" s="239" t="s">
        <v>765</v>
      </c>
      <c r="C25" s="247" t="s">
        <v>766</v>
      </c>
      <c r="D25" s="43"/>
      <c r="E25" s="43"/>
      <c r="F25" s="43"/>
      <c r="G25" s="64"/>
      <c r="H25" s="141"/>
      <c r="I25" s="202" t="s">
        <v>18</v>
      </c>
      <c r="J25" s="192">
        <v>1</v>
      </c>
      <c r="K25" s="11" t="s">
        <v>730</v>
      </c>
      <c r="L25" s="141" t="s">
        <v>17</v>
      </c>
      <c r="M25" s="19"/>
      <c r="N25" s="141" t="s">
        <v>119</v>
      </c>
      <c r="O25" s="146"/>
      <c r="P25" s="43"/>
      <c r="Q25" s="43"/>
      <c r="R25" s="35" t="s">
        <v>272</v>
      </c>
    </row>
    <row r="26" spans="1:18" ht="45" customHeight="1">
      <c r="A26" s="15">
        <f t="shared" si="0"/>
        <v>16</v>
      </c>
      <c r="B26" s="239" t="s">
        <v>767</v>
      </c>
      <c r="C26" s="247" t="s">
        <v>766</v>
      </c>
      <c r="D26" s="43"/>
      <c r="E26" s="43"/>
      <c r="F26" s="43"/>
      <c r="G26" s="64"/>
      <c r="H26" s="141"/>
      <c r="I26" s="202" t="s">
        <v>18</v>
      </c>
      <c r="J26" s="192">
        <v>1</v>
      </c>
      <c r="K26" s="11" t="s">
        <v>730</v>
      </c>
      <c r="L26" s="141" t="s">
        <v>17</v>
      </c>
      <c r="M26" s="19"/>
      <c r="N26" s="141" t="s">
        <v>119</v>
      </c>
      <c r="O26" s="146"/>
      <c r="P26" s="43"/>
      <c r="Q26" s="43"/>
      <c r="R26" s="35" t="s">
        <v>272</v>
      </c>
    </row>
    <row r="27" spans="1:18" ht="45" customHeight="1">
      <c r="A27" s="15">
        <f t="shared" si="0"/>
        <v>17</v>
      </c>
      <c r="B27" s="239" t="s">
        <v>768</v>
      </c>
      <c r="C27" s="247" t="s">
        <v>769</v>
      </c>
      <c r="D27" s="43"/>
      <c r="E27" s="43"/>
      <c r="F27" s="43"/>
      <c r="G27" s="64"/>
      <c r="H27" s="141"/>
      <c r="I27" s="202" t="s">
        <v>18</v>
      </c>
      <c r="J27" s="192">
        <v>1</v>
      </c>
      <c r="K27" s="11" t="s">
        <v>730</v>
      </c>
      <c r="L27" s="141" t="s">
        <v>17</v>
      </c>
      <c r="M27" s="19"/>
      <c r="N27" s="141" t="s">
        <v>119</v>
      </c>
      <c r="O27" s="146"/>
      <c r="P27" s="43"/>
      <c r="Q27" s="43"/>
      <c r="R27" s="35" t="s">
        <v>272</v>
      </c>
    </row>
    <row r="28" spans="1:18" ht="45" customHeight="1">
      <c r="A28" s="15">
        <f t="shared" si="0"/>
        <v>18</v>
      </c>
      <c r="B28" s="239" t="s">
        <v>770</v>
      </c>
      <c r="C28" s="247" t="s">
        <v>771</v>
      </c>
      <c r="D28" s="43"/>
      <c r="E28" s="43"/>
      <c r="F28" s="43"/>
      <c r="G28" s="64"/>
      <c r="H28" s="141"/>
      <c r="I28" s="202" t="s">
        <v>18</v>
      </c>
      <c r="J28" s="192">
        <v>1</v>
      </c>
      <c r="K28" s="11" t="s">
        <v>730</v>
      </c>
      <c r="L28" s="141" t="s">
        <v>17</v>
      </c>
      <c r="M28" s="19"/>
      <c r="N28" s="141" t="s">
        <v>119</v>
      </c>
      <c r="O28" s="146"/>
      <c r="P28" s="43"/>
      <c r="Q28" s="43"/>
      <c r="R28" s="35" t="s">
        <v>272</v>
      </c>
    </row>
    <row r="29" spans="1:18" ht="45" customHeight="1">
      <c r="A29" s="15">
        <f t="shared" si="0"/>
        <v>19</v>
      </c>
      <c r="B29" s="239" t="s">
        <v>772</v>
      </c>
      <c r="C29" s="247" t="s">
        <v>773</v>
      </c>
      <c r="D29" s="43"/>
      <c r="E29" s="43"/>
      <c r="F29" s="43"/>
      <c r="G29" s="64"/>
      <c r="H29" s="141"/>
      <c r="I29" s="202" t="s">
        <v>18</v>
      </c>
      <c r="J29" s="192">
        <v>1</v>
      </c>
      <c r="K29" s="11" t="s">
        <v>730</v>
      </c>
      <c r="L29" s="141" t="s">
        <v>17</v>
      </c>
      <c r="M29" s="19"/>
      <c r="N29" s="141" t="s">
        <v>119</v>
      </c>
      <c r="O29" s="146"/>
      <c r="P29" s="43"/>
      <c r="Q29" s="43"/>
      <c r="R29" s="35" t="s">
        <v>272</v>
      </c>
    </row>
    <row r="30" spans="1:18" ht="45" customHeight="1">
      <c r="A30" s="15">
        <f t="shared" si="0"/>
        <v>20</v>
      </c>
      <c r="B30" s="239" t="s">
        <v>774</v>
      </c>
      <c r="C30" s="247" t="s">
        <v>775</v>
      </c>
      <c r="D30" s="43"/>
      <c r="E30" s="43"/>
      <c r="F30" s="43"/>
      <c r="G30" s="64"/>
      <c r="H30" s="141"/>
      <c r="I30" s="202" t="s">
        <v>18</v>
      </c>
      <c r="J30" s="192">
        <v>1</v>
      </c>
      <c r="K30" s="11" t="s">
        <v>730</v>
      </c>
      <c r="L30" s="141" t="s">
        <v>17</v>
      </c>
      <c r="M30" s="19"/>
      <c r="N30" s="141" t="s">
        <v>119</v>
      </c>
      <c r="O30" s="146"/>
      <c r="P30" s="43"/>
      <c r="Q30" s="43"/>
      <c r="R30" s="35" t="s">
        <v>272</v>
      </c>
    </row>
    <row r="31" spans="1:18" ht="45" customHeight="1">
      <c r="A31" s="15">
        <f t="shared" si="0"/>
        <v>21</v>
      </c>
      <c r="B31" s="239" t="s">
        <v>776</v>
      </c>
      <c r="C31" s="247" t="s">
        <v>777</v>
      </c>
      <c r="D31" s="43"/>
      <c r="E31" s="43"/>
      <c r="F31" s="43"/>
      <c r="G31" s="64"/>
      <c r="H31" s="141"/>
      <c r="I31" s="202" t="s">
        <v>18</v>
      </c>
      <c r="J31" s="192">
        <v>1</v>
      </c>
      <c r="K31" s="11" t="s">
        <v>730</v>
      </c>
      <c r="L31" s="141" t="s">
        <v>17</v>
      </c>
      <c r="M31" s="19"/>
      <c r="N31" s="141" t="s">
        <v>119</v>
      </c>
      <c r="O31" s="146"/>
      <c r="P31" s="43"/>
      <c r="Q31" s="43"/>
      <c r="R31" s="35" t="s">
        <v>272</v>
      </c>
    </row>
    <row r="32" spans="1:18" ht="45" customHeight="1">
      <c r="A32" s="15">
        <f t="shared" si="0"/>
        <v>22</v>
      </c>
      <c r="B32" s="239" t="s">
        <v>778</v>
      </c>
      <c r="C32" s="247" t="s">
        <v>777</v>
      </c>
      <c r="D32" s="43"/>
      <c r="E32" s="43"/>
      <c r="F32" s="43"/>
      <c r="G32" s="64"/>
      <c r="H32" s="141"/>
      <c r="I32" s="202" t="s">
        <v>18</v>
      </c>
      <c r="J32" s="192">
        <v>1</v>
      </c>
      <c r="K32" s="11" t="s">
        <v>730</v>
      </c>
      <c r="L32" s="141" t="s">
        <v>17</v>
      </c>
      <c r="M32" s="19"/>
      <c r="N32" s="141" t="s">
        <v>119</v>
      </c>
      <c r="O32" s="146"/>
      <c r="P32" s="43"/>
      <c r="Q32" s="43"/>
      <c r="R32" s="35" t="s">
        <v>272</v>
      </c>
    </row>
    <row r="33" spans="1:18" ht="45" customHeight="1">
      <c r="A33" s="15">
        <f t="shared" si="0"/>
        <v>23</v>
      </c>
      <c r="B33" s="239" t="s">
        <v>779</v>
      </c>
      <c r="C33" s="247" t="s">
        <v>780</v>
      </c>
      <c r="D33" s="43"/>
      <c r="E33" s="43"/>
      <c r="F33" s="43"/>
      <c r="G33" s="64"/>
      <c r="H33" s="141"/>
      <c r="I33" s="202" t="s">
        <v>18</v>
      </c>
      <c r="J33" s="192">
        <v>1</v>
      </c>
      <c r="K33" s="11" t="s">
        <v>730</v>
      </c>
      <c r="L33" s="141" t="s">
        <v>17</v>
      </c>
      <c r="M33" s="19"/>
      <c r="N33" s="141" t="s">
        <v>119</v>
      </c>
      <c r="O33" s="146"/>
      <c r="P33" s="43"/>
      <c r="Q33" s="43"/>
      <c r="R33" s="35" t="s">
        <v>272</v>
      </c>
    </row>
    <row r="34" spans="1:18" ht="45" customHeight="1">
      <c r="A34" s="15">
        <f t="shared" si="0"/>
        <v>24</v>
      </c>
      <c r="B34" s="239" t="s">
        <v>781</v>
      </c>
      <c r="C34" s="247" t="s">
        <v>782</v>
      </c>
      <c r="D34" s="43"/>
      <c r="E34" s="43"/>
      <c r="F34" s="43"/>
      <c r="G34" s="64"/>
      <c r="H34" s="141"/>
      <c r="I34" s="202" t="s">
        <v>18</v>
      </c>
      <c r="J34" s="192">
        <v>1</v>
      </c>
      <c r="K34" s="11" t="s">
        <v>730</v>
      </c>
      <c r="L34" s="141" t="s">
        <v>17</v>
      </c>
      <c r="M34" s="19"/>
      <c r="N34" s="141" t="s">
        <v>119</v>
      </c>
      <c r="O34" s="146"/>
      <c r="P34" s="43"/>
      <c r="Q34" s="43"/>
      <c r="R34" s="35" t="s">
        <v>272</v>
      </c>
    </row>
    <row r="35" spans="1:18" ht="45" customHeight="1">
      <c r="A35" s="15">
        <f t="shared" si="0"/>
        <v>25</v>
      </c>
      <c r="B35" s="239" t="s">
        <v>783</v>
      </c>
      <c r="C35" s="247" t="s">
        <v>771</v>
      </c>
      <c r="D35" s="43"/>
      <c r="E35" s="43"/>
      <c r="F35" s="43"/>
      <c r="G35" s="64"/>
      <c r="H35" s="141"/>
      <c r="I35" s="202" t="s">
        <v>18</v>
      </c>
      <c r="J35" s="192">
        <v>1</v>
      </c>
      <c r="K35" s="11" t="s">
        <v>730</v>
      </c>
      <c r="L35" s="141" t="s">
        <v>17</v>
      </c>
      <c r="M35" s="19"/>
      <c r="N35" s="141" t="s">
        <v>119</v>
      </c>
      <c r="O35" s="146"/>
      <c r="P35" s="43"/>
      <c r="Q35" s="43"/>
      <c r="R35" s="35" t="s">
        <v>272</v>
      </c>
    </row>
    <row r="36" spans="1:18" ht="45" customHeight="1">
      <c r="A36" s="15">
        <f t="shared" si="0"/>
        <v>26</v>
      </c>
      <c r="B36" s="239" t="s">
        <v>784</v>
      </c>
      <c r="C36" s="247" t="s">
        <v>771</v>
      </c>
      <c r="D36" s="43"/>
      <c r="E36" s="43"/>
      <c r="F36" s="43"/>
      <c r="G36" s="64"/>
      <c r="H36" s="141"/>
      <c r="I36" s="202" t="s">
        <v>18</v>
      </c>
      <c r="J36" s="192">
        <v>1</v>
      </c>
      <c r="K36" s="11" t="s">
        <v>730</v>
      </c>
      <c r="L36" s="141" t="s">
        <v>17</v>
      </c>
      <c r="M36" s="19"/>
      <c r="N36" s="141" t="s">
        <v>119</v>
      </c>
      <c r="O36" s="146"/>
      <c r="P36" s="43"/>
      <c r="Q36" s="43"/>
      <c r="R36" s="35" t="s">
        <v>272</v>
      </c>
    </row>
    <row r="37" spans="1:18" ht="45" customHeight="1">
      <c r="A37" s="15">
        <f t="shared" si="0"/>
        <v>27</v>
      </c>
      <c r="B37" s="239" t="s">
        <v>785</v>
      </c>
      <c r="C37" s="247" t="s">
        <v>786</v>
      </c>
      <c r="D37" s="43"/>
      <c r="E37" s="43"/>
      <c r="F37" s="43"/>
      <c r="G37" s="64"/>
      <c r="H37" s="141"/>
      <c r="I37" s="202" t="s">
        <v>18</v>
      </c>
      <c r="J37" s="192">
        <v>1</v>
      </c>
      <c r="K37" s="11" t="s">
        <v>730</v>
      </c>
      <c r="L37" s="141" t="s">
        <v>17</v>
      </c>
      <c r="M37" s="19"/>
      <c r="N37" s="141" t="s">
        <v>119</v>
      </c>
      <c r="O37" s="146"/>
      <c r="P37" s="43"/>
      <c r="Q37" s="43"/>
      <c r="R37" s="35" t="s">
        <v>272</v>
      </c>
    </row>
    <row r="38" spans="1:18" ht="45" customHeight="1">
      <c r="A38" s="15">
        <f t="shared" si="0"/>
        <v>28</v>
      </c>
      <c r="B38" s="239" t="s">
        <v>787</v>
      </c>
      <c r="C38" s="247" t="s">
        <v>788</v>
      </c>
      <c r="D38" s="43"/>
      <c r="E38" s="43"/>
      <c r="F38" s="43"/>
      <c r="G38" s="64"/>
      <c r="H38" s="141"/>
      <c r="I38" s="202" t="s">
        <v>18</v>
      </c>
      <c r="J38" s="192">
        <v>1</v>
      </c>
      <c r="K38" s="11" t="s">
        <v>730</v>
      </c>
      <c r="L38" s="141" t="s">
        <v>17</v>
      </c>
      <c r="M38" s="19"/>
      <c r="N38" s="141" t="s">
        <v>119</v>
      </c>
      <c r="O38" s="146"/>
      <c r="P38" s="43"/>
      <c r="Q38" s="43"/>
      <c r="R38" s="35" t="s">
        <v>272</v>
      </c>
    </row>
    <row r="39" spans="1:18" ht="45" customHeight="1">
      <c r="A39" s="15">
        <f t="shared" si="0"/>
        <v>29</v>
      </c>
      <c r="B39" s="239" t="s">
        <v>789</v>
      </c>
      <c r="C39" s="247" t="s">
        <v>790</v>
      </c>
      <c r="D39" s="43"/>
      <c r="E39" s="43"/>
      <c r="F39" s="43"/>
      <c r="G39" s="64"/>
      <c r="H39" s="141"/>
      <c r="I39" s="202" t="s">
        <v>18</v>
      </c>
      <c r="J39" s="192">
        <v>1</v>
      </c>
      <c r="K39" s="11" t="s">
        <v>730</v>
      </c>
      <c r="L39" s="141" t="s">
        <v>17</v>
      </c>
      <c r="M39" s="11"/>
      <c r="N39" s="141" t="s">
        <v>119</v>
      </c>
      <c r="O39" s="146"/>
      <c r="P39" s="43"/>
      <c r="Q39" s="43"/>
      <c r="R39" s="35" t="s">
        <v>272</v>
      </c>
    </row>
    <row r="40" spans="1:18" ht="45" customHeight="1">
      <c r="A40" s="15">
        <f t="shared" si="0"/>
        <v>30</v>
      </c>
      <c r="B40" s="239" t="s">
        <v>791</v>
      </c>
      <c r="C40" s="247" t="s">
        <v>792</v>
      </c>
      <c r="D40" s="43"/>
      <c r="E40" s="43"/>
      <c r="F40" s="43"/>
      <c r="G40" s="64"/>
      <c r="H40" s="141"/>
      <c r="I40" s="202" t="s">
        <v>18</v>
      </c>
      <c r="J40" s="192">
        <v>1</v>
      </c>
      <c r="K40" s="11" t="s">
        <v>730</v>
      </c>
      <c r="L40" s="141" t="s">
        <v>17</v>
      </c>
      <c r="M40" s="11"/>
      <c r="N40" s="141" t="s">
        <v>119</v>
      </c>
      <c r="O40" s="146"/>
      <c r="P40" s="43"/>
      <c r="Q40" s="43"/>
      <c r="R40" s="35" t="s">
        <v>272</v>
      </c>
    </row>
    <row r="41" spans="1:18" ht="45" customHeight="1">
      <c r="A41" s="15">
        <f t="shared" si="0"/>
        <v>31</v>
      </c>
      <c r="B41" s="239" t="s">
        <v>793</v>
      </c>
      <c r="C41" s="247" t="s">
        <v>794</v>
      </c>
      <c r="D41" s="19"/>
      <c r="E41" s="19"/>
      <c r="F41" s="19"/>
      <c r="G41" s="64"/>
      <c r="H41" s="141"/>
      <c r="I41" s="202" t="s">
        <v>18</v>
      </c>
      <c r="J41" s="192">
        <v>1</v>
      </c>
      <c r="K41" s="11" t="s">
        <v>730</v>
      </c>
      <c r="L41" s="141" t="s">
        <v>17</v>
      </c>
      <c r="M41" s="11"/>
      <c r="N41" s="141" t="s">
        <v>119</v>
      </c>
      <c r="O41" s="146"/>
      <c r="P41" s="43"/>
      <c r="Q41" s="43"/>
      <c r="R41" s="35" t="s">
        <v>272</v>
      </c>
    </row>
    <row r="42" spans="1:18" ht="45" customHeight="1">
      <c r="A42" s="15">
        <f t="shared" si="0"/>
        <v>32</v>
      </c>
      <c r="B42" s="239" t="s">
        <v>795</v>
      </c>
      <c r="C42" s="247" t="s">
        <v>796</v>
      </c>
      <c r="D42" s="46"/>
      <c r="E42" s="46"/>
      <c r="F42" s="46"/>
      <c r="G42" s="64"/>
      <c r="H42" s="141"/>
      <c r="I42" s="202" t="s">
        <v>18</v>
      </c>
      <c r="J42" s="192">
        <v>1</v>
      </c>
      <c r="K42" s="11" t="s">
        <v>730</v>
      </c>
      <c r="L42" s="141" t="s">
        <v>17</v>
      </c>
      <c r="M42" s="11"/>
      <c r="N42" s="141" t="s">
        <v>119</v>
      </c>
      <c r="O42" s="146"/>
      <c r="P42" s="43"/>
      <c r="Q42" s="43"/>
      <c r="R42" s="35" t="s">
        <v>272</v>
      </c>
    </row>
    <row r="43" spans="1:18" ht="45" customHeight="1">
      <c r="A43" s="15">
        <f t="shared" si="0"/>
        <v>33</v>
      </c>
      <c r="B43" s="239" t="s">
        <v>797</v>
      </c>
      <c r="C43" s="247" t="s">
        <v>798</v>
      </c>
      <c r="D43" s="46"/>
      <c r="E43" s="46"/>
      <c r="F43" s="46"/>
      <c r="G43" s="64"/>
      <c r="H43" s="141"/>
      <c r="I43" s="202" t="s">
        <v>18</v>
      </c>
      <c r="J43" s="192">
        <v>1</v>
      </c>
      <c r="K43" s="11" t="s">
        <v>730</v>
      </c>
      <c r="L43" s="141" t="s">
        <v>17</v>
      </c>
      <c r="M43" s="11"/>
      <c r="N43" s="141" t="s">
        <v>119</v>
      </c>
      <c r="O43" s="146"/>
      <c r="P43" s="43"/>
      <c r="Q43" s="43"/>
      <c r="R43" s="35" t="s">
        <v>272</v>
      </c>
    </row>
    <row r="44" spans="1:18" ht="45" customHeight="1">
      <c r="A44" s="15">
        <f t="shared" si="0"/>
        <v>34</v>
      </c>
      <c r="B44" s="239" t="s">
        <v>799</v>
      </c>
      <c r="C44" s="247" t="s">
        <v>800</v>
      </c>
      <c r="D44" s="46"/>
      <c r="E44" s="46"/>
      <c r="F44" s="46"/>
      <c r="G44" s="64"/>
      <c r="H44" s="141"/>
      <c r="I44" s="202" t="s">
        <v>18</v>
      </c>
      <c r="J44" s="192">
        <v>1</v>
      </c>
      <c r="K44" s="11" t="s">
        <v>730</v>
      </c>
      <c r="L44" s="141" t="s">
        <v>17</v>
      </c>
      <c r="M44" s="11"/>
      <c r="N44" s="141" t="s">
        <v>119</v>
      </c>
      <c r="O44" s="146"/>
      <c r="P44" s="43"/>
      <c r="Q44" s="43"/>
      <c r="R44" s="35" t="s">
        <v>272</v>
      </c>
    </row>
    <row r="45" spans="1:18" ht="45" customHeight="1">
      <c r="A45" s="15">
        <f t="shared" si="0"/>
        <v>35</v>
      </c>
      <c r="B45" s="239" t="s">
        <v>801</v>
      </c>
      <c r="C45" s="247" t="s">
        <v>802</v>
      </c>
      <c r="D45" s="46"/>
      <c r="E45" s="46"/>
      <c r="F45" s="46"/>
      <c r="G45" s="64"/>
      <c r="H45" s="141"/>
      <c r="I45" s="202" t="s">
        <v>18</v>
      </c>
      <c r="J45" s="192">
        <v>1</v>
      </c>
      <c r="K45" s="11" t="s">
        <v>730</v>
      </c>
      <c r="L45" s="141" t="s">
        <v>17</v>
      </c>
      <c r="M45" s="11"/>
      <c r="N45" s="141" t="s">
        <v>119</v>
      </c>
      <c r="O45" s="146"/>
      <c r="P45" s="43"/>
      <c r="Q45" s="43"/>
      <c r="R45" s="35" t="s">
        <v>272</v>
      </c>
    </row>
    <row r="46" spans="1:18" ht="45" customHeight="1">
      <c r="A46" s="15">
        <f t="shared" si="0"/>
        <v>36</v>
      </c>
      <c r="B46" s="239" t="s">
        <v>803</v>
      </c>
      <c r="C46" s="247" t="s">
        <v>802</v>
      </c>
      <c r="D46" s="46"/>
      <c r="E46" s="46"/>
      <c r="F46" s="46"/>
      <c r="G46" s="64"/>
      <c r="H46" s="141"/>
      <c r="I46" s="202" t="s">
        <v>18</v>
      </c>
      <c r="J46" s="192">
        <v>1</v>
      </c>
      <c r="K46" s="11" t="s">
        <v>730</v>
      </c>
      <c r="L46" s="141" t="s">
        <v>17</v>
      </c>
      <c r="M46" s="11"/>
      <c r="N46" s="141" t="s">
        <v>119</v>
      </c>
      <c r="O46" s="146"/>
      <c r="P46" s="43"/>
      <c r="Q46" s="43"/>
      <c r="R46" s="35" t="s">
        <v>272</v>
      </c>
    </row>
    <row r="47" spans="1:18" ht="45" customHeight="1">
      <c r="A47" s="15">
        <f t="shared" si="0"/>
        <v>37</v>
      </c>
      <c r="B47" s="239" t="s">
        <v>804</v>
      </c>
      <c r="C47" s="247" t="s">
        <v>805</v>
      </c>
      <c r="D47" s="46"/>
      <c r="E47" s="46"/>
      <c r="F47" s="46"/>
      <c r="G47" s="64"/>
      <c r="H47" s="141"/>
      <c r="I47" s="202" t="s">
        <v>18</v>
      </c>
      <c r="J47" s="192">
        <v>1</v>
      </c>
      <c r="K47" s="11" t="s">
        <v>730</v>
      </c>
      <c r="L47" s="141" t="s">
        <v>17</v>
      </c>
      <c r="M47" s="11"/>
      <c r="N47" s="141" t="s">
        <v>119</v>
      </c>
      <c r="O47" s="146"/>
      <c r="P47" s="43"/>
      <c r="Q47" s="43"/>
      <c r="R47" s="35" t="s">
        <v>272</v>
      </c>
    </row>
    <row r="48" spans="1:18" ht="45" customHeight="1">
      <c r="A48" s="15">
        <f t="shared" si="0"/>
        <v>38</v>
      </c>
      <c r="B48" s="239" t="s">
        <v>806</v>
      </c>
      <c r="C48" s="247" t="s">
        <v>807</v>
      </c>
      <c r="D48" s="46"/>
      <c r="E48" s="46"/>
      <c r="F48" s="46"/>
      <c r="G48" s="64"/>
      <c r="H48" s="141"/>
      <c r="I48" s="202" t="s">
        <v>18</v>
      </c>
      <c r="J48" s="192">
        <v>1</v>
      </c>
      <c r="K48" s="11" t="s">
        <v>730</v>
      </c>
      <c r="L48" s="141" t="s">
        <v>17</v>
      </c>
      <c r="M48" s="11"/>
      <c r="N48" s="141" t="s">
        <v>119</v>
      </c>
      <c r="O48" s="146"/>
      <c r="P48" s="43"/>
      <c r="Q48" s="43"/>
      <c r="R48" s="35" t="s">
        <v>272</v>
      </c>
    </row>
    <row r="49" spans="1:18" ht="45" customHeight="1">
      <c r="A49" s="15">
        <f t="shared" si="0"/>
        <v>39</v>
      </c>
      <c r="B49" s="239" t="s">
        <v>808</v>
      </c>
      <c r="C49" s="247" t="s">
        <v>807</v>
      </c>
      <c r="D49" s="46"/>
      <c r="E49" s="46"/>
      <c r="F49" s="46"/>
      <c r="G49" s="64"/>
      <c r="H49" s="141"/>
      <c r="I49" s="202" t="s">
        <v>18</v>
      </c>
      <c r="J49" s="192">
        <v>1</v>
      </c>
      <c r="K49" s="11" t="s">
        <v>730</v>
      </c>
      <c r="L49" s="141" t="s">
        <v>17</v>
      </c>
      <c r="M49" s="11"/>
      <c r="N49" s="141" t="s">
        <v>119</v>
      </c>
      <c r="O49" s="146"/>
      <c r="P49" s="43"/>
      <c r="Q49" s="43"/>
      <c r="R49" s="35" t="s">
        <v>272</v>
      </c>
    </row>
    <row r="50" spans="1:18" ht="45" customHeight="1">
      <c r="A50" s="15">
        <f t="shared" si="0"/>
        <v>40</v>
      </c>
      <c r="B50" s="239" t="s">
        <v>809</v>
      </c>
      <c r="C50" s="247" t="s">
        <v>807</v>
      </c>
      <c r="D50" s="46"/>
      <c r="E50" s="46"/>
      <c r="F50" s="46"/>
      <c r="G50" s="64"/>
      <c r="H50" s="141"/>
      <c r="I50" s="202" t="s">
        <v>18</v>
      </c>
      <c r="J50" s="192">
        <v>1</v>
      </c>
      <c r="K50" s="11" t="s">
        <v>730</v>
      </c>
      <c r="L50" s="141" t="s">
        <v>17</v>
      </c>
      <c r="M50" s="11"/>
      <c r="N50" s="141" t="s">
        <v>119</v>
      </c>
      <c r="O50" s="146"/>
      <c r="P50" s="43"/>
      <c r="Q50" s="43"/>
      <c r="R50" s="35" t="s">
        <v>272</v>
      </c>
    </row>
    <row r="51" spans="1:18" ht="45" customHeight="1">
      <c r="A51" s="15">
        <f t="shared" si="0"/>
        <v>41</v>
      </c>
      <c r="B51" s="239" t="s">
        <v>810</v>
      </c>
      <c r="C51" s="247" t="s">
        <v>807</v>
      </c>
      <c r="D51" s="46"/>
      <c r="E51" s="46"/>
      <c r="F51" s="46"/>
      <c r="G51" s="64"/>
      <c r="H51" s="141"/>
      <c r="I51" s="202" t="s">
        <v>18</v>
      </c>
      <c r="J51" s="192">
        <v>1</v>
      </c>
      <c r="K51" s="11" t="s">
        <v>730</v>
      </c>
      <c r="L51" s="141" t="s">
        <v>17</v>
      </c>
      <c r="M51" s="11"/>
      <c r="N51" s="141" t="s">
        <v>119</v>
      </c>
      <c r="O51" s="146"/>
      <c r="P51" s="43"/>
      <c r="Q51" s="43"/>
      <c r="R51" s="35" t="s">
        <v>272</v>
      </c>
    </row>
    <row r="52" spans="1:18" ht="45" customHeight="1">
      <c r="A52" s="15">
        <f t="shared" si="0"/>
        <v>42</v>
      </c>
      <c r="B52" s="239" t="s">
        <v>811</v>
      </c>
      <c r="C52" s="247" t="s">
        <v>812</v>
      </c>
      <c r="D52" s="46"/>
      <c r="E52" s="46"/>
      <c r="F52" s="46"/>
      <c r="G52" s="64"/>
      <c r="H52" s="141"/>
      <c r="I52" s="202" t="s">
        <v>18</v>
      </c>
      <c r="J52" s="192">
        <v>1</v>
      </c>
      <c r="K52" s="11" t="s">
        <v>730</v>
      </c>
      <c r="L52" s="141" t="s">
        <v>17</v>
      </c>
      <c r="M52" s="11"/>
      <c r="N52" s="141" t="s">
        <v>119</v>
      </c>
      <c r="O52" s="146"/>
      <c r="P52" s="43"/>
      <c r="Q52" s="43"/>
      <c r="R52" s="35" t="s">
        <v>272</v>
      </c>
    </row>
    <row r="53" spans="1:18" ht="45" customHeight="1">
      <c r="A53" s="15">
        <f t="shared" si="0"/>
        <v>43</v>
      </c>
      <c r="B53" s="239" t="s">
        <v>813</v>
      </c>
      <c r="C53" s="247" t="s">
        <v>812</v>
      </c>
      <c r="D53" s="46"/>
      <c r="E53" s="46"/>
      <c r="F53" s="46"/>
      <c r="G53" s="64"/>
      <c r="H53" s="141"/>
      <c r="I53" s="202" t="s">
        <v>18</v>
      </c>
      <c r="J53" s="192">
        <v>1</v>
      </c>
      <c r="K53" s="11" t="s">
        <v>730</v>
      </c>
      <c r="L53" s="141" t="s">
        <v>17</v>
      </c>
      <c r="M53" s="11"/>
      <c r="N53" s="141" t="s">
        <v>119</v>
      </c>
      <c r="O53" s="146"/>
      <c r="P53" s="43"/>
      <c r="Q53" s="43"/>
      <c r="R53" s="35" t="s">
        <v>272</v>
      </c>
    </row>
    <row r="54" spans="1:18" ht="45" customHeight="1">
      <c r="A54" s="15">
        <f t="shared" si="0"/>
        <v>44</v>
      </c>
      <c r="B54" s="239" t="s">
        <v>814</v>
      </c>
      <c r="C54" s="247" t="s">
        <v>812</v>
      </c>
      <c r="D54" s="46"/>
      <c r="E54" s="46"/>
      <c r="F54" s="46"/>
      <c r="G54" s="64"/>
      <c r="H54" s="141"/>
      <c r="I54" s="202" t="s">
        <v>18</v>
      </c>
      <c r="J54" s="192">
        <v>1</v>
      </c>
      <c r="K54" s="11" t="s">
        <v>730</v>
      </c>
      <c r="L54" s="141" t="s">
        <v>17</v>
      </c>
      <c r="M54" s="11"/>
      <c r="N54" s="141" t="s">
        <v>119</v>
      </c>
      <c r="O54" s="146"/>
      <c r="P54" s="43"/>
      <c r="Q54" s="43"/>
      <c r="R54" s="35" t="s">
        <v>272</v>
      </c>
    </row>
    <row r="55" spans="1:18" ht="45" customHeight="1">
      <c r="A55" s="15">
        <f t="shared" si="0"/>
        <v>45</v>
      </c>
      <c r="B55" s="239" t="s">
        <v>815</v>
      </c>
      <c r="C55" s="247" t="s">
        <v>812</v>
      </c>
      <c r="D55" s="43"/>
      <c r="E55" s="43"/>
      <c r="F55" s="43"/>
      <c r="G55" s="64"/>
      <c r="H55" s="141"/>
      <c r="I55" s="202" t="s">
        <v>18</v>
      </c>
      <c r="J55" s="192">
        <v>1</v>
      </c>
      <c r="K55" s="11" t="s">
        <v>730</v>
      </c>
      <c r="L55" s="141" t="s">
        <v>17</v>
      </c>
      <c r="M55" s="11"/>
      <c r="N55" s="141" t="s">
        <v>119</v>
      </c>
      <c r="O55" s="146"/>
      <c r="P55" s="43"/>
      <c r="Q55" s="43"/>
      <c r="R55" s="35" t="s">
        <v>272</v>
      </c>
    </row>
    <row r="56" spans="1:18" ht="45" customHeight="1">
      <c r="A56" s="15">
        <f t="shared" si="0"/>
        <v>46</v>
      </c>
      <c r="B56" s="239" t="s">
        <v>816</v>
      </c>
      <c r="C56" s="247" t="s">
        <v>817</v>
      </c>
      <c r="D56" s="66"/>
      <c r="E56" s="66"/>
      <c r="F56" s="66"/>
      <c r="G56" s="64"/>
      <c r="H56" s="141"/>
      <c r="I56" s="202" t="s">
        <v>18</v>
      </c>
      <c r="J56" s="192">
        <v>1</v>
      </c>
      <c r="K56" s="11" t="s">
        <v>730</v>
      </c>
      <c r="L56" s="141" t="s">
        <v>17</v>
      </c>
      <c r="M56" s="11"/>
      <c r="N56" s="141" t="s">
        <v>119</v>
      </c>
      <c r="O56" s="146"/>
      <c r="P56" s="43"/>
      <c r="Q56" s="43"/>
      <c r="R56" s="35" t="s">
        <v>272</v>
      </c>
    </row>
    <row r="57" spans="1:18" ht="45" customHeight="1">
      <c r="A57" s="15">
        <f t="shared" si="0"/>
        <v>47</v>
      </c>
      <c r="B57" s="239" t="s">
        <v>818</v>
      </c>
      <c r="C57" s="247" t="s">
        <v>819</v>
      </c>
      <c r="D57" s="66"/>
      <c r="E57" s="66"/>
      <c r="F57" s="66"/>
      <c r="G57" s="64"/>
      <c r="H57" s="141"/>
      <c r="I57" s="202" t="s">
        <v>18</v>
      </c>
      <c r="J57" s="192">
        <v>1</v>
      </c>
      <c r="K57" s="11" t="s">
        <v>730</v>
      </c>
      <c r="L57" s="141" t="s">
        <v>17</v>
      </c>
      <c r="M57" s="11"/>
      <c r="N57" s="141" t="s">
        <v>119</v>
      </c>
      <c r="O57" s="146"/>
      <c r="P57" s="43"/>
      <c r="Q57" s="43"/>
      <c r="R57" s="35" t="s">
        <v>272</v>
      </c>
    </row>
    <row r="58" spans="1:18" ht="45" customHeight="1">
      <c r="A58" s="15">
        <f t="shared" si="0"/>
        <v>48</v>
      </c>
      <c r="B58" s="239" t="s">
        <v>820</v>
      </c>
      <c r="C58" s="247" t="s">
        <v>821</v>
      </c>
      <c r="D58" s="66"/>
      <c r="E58" s="66"/>
      <c r="F58" s="66"/>
      <c r="G58" s="64"/>
      <c r="H58" s="141"/>
      <c r="I58" s="202" t="s">
        <v>18</v>
      </c>
      <c r="J58" s="192">
        <v>1</v>
      </c>
      <c r="K58" s="11" t="s">
        <v>730</v>
      </c>
      <c r="L58" s="141" t="s">
        <v>17</v>
      </c>
      <c r="M58" s="11"/>
      <c r="N58" s="141" t="s">
        <v>119</v>
      </c>
      <c r="O58" s="146"/>
      <c r="P58" s="43"/>
      <c r="Q58" s="43"/>
      <c r="R58" s="35" t="s">
        <v>272</v>
      </c>
    </row>
    <row r="59" spans="1:18" ht="45" customHeight="1">
      <c r="A59" s="15">
        <f t="shared" si="0"/>
        <v>49</v>
      </c>
      <c r="B59" s="239" t="s">
        <v>822</v>
      </c>
      <c r="C59" s="247" t="s">
        <v>821</v>
      </c>
      <c r="D59" s="66"/>
      <c r="E59" s="66"/>
      <c r="F59" s="66"/>
      <c r="G59" s="64"/>
      <c r="H59" s="141"/>
      <c r="I59" s="202" t="s">
        <v>18</v>
      </c>
      <c r="J59" s="192">
        <v>1</v>
      </c>
      <c r="K59" s="11" t="s">
        <v>730</v>
      </c>
      <c r="L59" s="141" t="s">
        <v>17</v>
      </c>
      <c r="M59" s="11"/>
      <c r="N59" s="141" t="s">
        <v>119</v>
      </c>
      <c r="O59" s="146"/>
      <c r="P59" s="43"/>
      <c r="Q59" s="43"/>
      <c r="R59" s="35" t="s">
        <v>272</v>
      </c>
    </row>
    <row r="60" spans="1:18" ht="45" customHeight="1">
      <c r="A60" s="15">
        <f t="shared" si="0"/>
        <v>50</v>
      </c>
      <c r="B60" s="239" t="s">
        <v>823</v>
      </c>
      <c r="C60" s="247" t="s">
        <v>824</v>
      </c>
      <c r="D60" s="66"/>
      <c r="E60" s="66"/>
      <c r="F60" s="66"/>
      <c r="G60" s="64"/>
      <c r="H60" s="141"/>
      <c r="I60" s="202" t="s">
        <v>18</v>
      </c>
      <c r="J60" s="192">
        <v>1</v>
      </c>
      <c r="K60" s="11" t="s">
        <v>730</v>
      </c>
      <c r="L60" s="141" t="s">
        <v>17</v>
      </c>
      <c r="M60" s="11"/>
      <c r="N60" s="141" t="s">
        <v>119</v>
      </c>
      <c r="O60" s="146"/>
      <c r="P60" s="43"/>
      <c r="Q60" s="43"/>
      <c r="R60" s="35" t="s">
        <v>272</v>
      </c>
    </row>
    <row r="61" spans="1:18" ht="45" customHeight="1">
      <c r="A61" s="15">
        <f t="shared" si="0"/>
        <v>51</v>
      </c>
      <c r="B61" s="239" t="s">
        <v>825</v>
      </c>
      <c r="C61" s="247" t="s">
        <v>826</v>
      </c>
      <c r="D61" s="66"/>
      <c r="E61" s="66"/>
      <c r="F61" s="66"/>
      <c r="G61" s="64"/>
      <c r="H61" s="141"/>
      <c r="I61" s="202" t="s">
        <v>18</v>
      </c>
      <c r="J61" s="192">
        <v>1</v>
      </c>
      <c r="K61" s="11" t="s">
        <v>730</v>
      </c>
      <c r="L61" s="141" t="s">
        <v>17</v>
      </c>
      <c r="M61" s="11"/>
      <c r="N61" s="141" t="s">
        <v>119</v>
      </c>
      <c r="O61" s="146"/>
      <c r="P61" s="43"/>
      <c r="Q61" s="43"/>
      <c r="R61" s="35" t="s">
        <v>272</v>
      </c>
    </row>
    <row r="62" spans="1:18" ht="35.25" customHeight="1">
      <c r="A62" s="15">
        <f t="shared" si="0"/>
        <v>52</v>
      </c>
      <c r="B62" s="239" t="s">
        <v>827</v>
      </c>
      <c r="C62" s="247" t="s">
        <v>828</v>
      </c>
      <c r="D62" s="66"/>
      <c r="E62" s="66"/>
      <c r="F62" s="66"/>
      <c r="G62" s="64"/>
      <c r="H62" s="141"/>
      <c r="I62" s="202" t="s">
        <v>18</v>
      </c>
      <c r="J62" s="192">
        <v>1</v>
      </c>
      <c r="K62" s="11" t="s">
        <v>730</v>
      </c>
      <c r="L62" s="141" t="s">
        <v>17</v>
      </c>
      <c r="M62" s="11"/>
      <c r="N62" s="141" t="s">
        <v>119</v>
      </c>
      <c r="O62" s="146"/>
      <c r="P62" s="43"/>
      <c r="Q62" s="43"/>
      <c r="R62" s="35" t="s">
        <v>272</v>
      </c>
    </row>
    <row r="63" spans="1:18" ht="35.25" customHeight="1">
      <c r="A63" s="15">
        <f t="shared" si="0"/>
        <v>53</v>
      </c>
      <c r="B63" s="239" t="s">
        <v>829</v>
      </c>
      <c r="C63" s="247" t="s">
        <v>828</v>
      </c>
      <c r="D63" s="66"/>
      <c r="E63" s="66"/>
      <c r="F63" s="66"/>
      <c r="G63" s="64"/>
      <c r="H63" s="141"/>
      <c r="I63" s="202" t="s">
        <v>18</v>
      </c>
      <c r="J63" s="192">
        <v>1</v>
      </c>
      <c r="K63" s="11" t="s">
        <v>730</v>
      </c>
      <c r="L63" s="141" t="s">
        <v>17</v>
      </c>
      <c r="M63" s="11"/>
      <c r="N63" s="141" t="s">
        <v>119</v>
      </c>
      <c r="O63" s="146"/>
      <c r="P63" s="43"/>
      <c r="Q63" s="43"/>
      <c r="R63" s="35" t="s">
        <v>272</v>
      </c>
    </row>
    <row r="64" spans="1:18" ht="35.25" customHeight="1">
      <c r="A64" s="15">
        <f t="shared" si="0"/>
        <v>54</v>
      </c>
      <c r="B64" s="239" t="s">
        <v>830</v>
      </c>
      <c r="C64" s="247" t="s">
        <v>828</v>
      </c>
      <c r="D64" s="46"/>
      <c r="E64" s="46"/>
      <c r="F64" s="46"/>
      <c r="G64" s="64"/>
      <c r="H64" s="141"/>
      <c r="I64" s="202" t="s">
        <v>18</v>
      </c>
      <c r="J64" s="192">
        <v>1</v>
      </c>
      <c r="K64" s="11" t="s">
        <v>730</v>
      </c>
      <c r="L64" s="141" t="s">
        <v>17</v>
      </c>
      <c r="M64" s="11"/>
      <c r="N64" s="141" t="s">
        <v>119</v>
      </c>
      <c r="O64" s="146"/>
      <c r="P64" s="43"/>
      <c r="Q64" s="43"/>
      <c r="R64" s="35" t="s">
        <v>272</v>
      </c>
    </row>
    <row r="65" spans="1:18" ht="35.25" customHeight="1">
      <c r="A65" s="15">
        <f t="shared" si="0"/>
        <v>55</v>
      </c>
      <c r="B65" s="239" t="s">
        <v>831</v>
      </c>
      <c r="C65" s="247" t="s">
        <v>828</v>
      </c>
      <c r="D65" s="46"/>
      <c r="E65" s="46"/>
      <c r="F65" s="46"/>
      <c r="G65" s="64"/>
      <c r="H65" s="141"/>
      <c r="I65" s="202" t="s">
        <v>18</v>
      </c>
      <c r="J65" s="192">
        <v>1</v>
      </c>
      <c r="K65" s="11" t="s">
        <v>730</v>
      </c>
      <c r="L65" s="141" t="s">
        <v>17</v>
      </c>
      <c r="M65" s="11"/>
      <c r="N65" s="141" t="s">
        <v>119</v>
      </c>
      <c r="O65" s="146"/>
      <c r="P65" s="43"/>
      <c r="Q65" s="43"/>
      <c r="R65" s="35" t="s">
        <v>272</v>
      </c>
    </row>
    <row r="66" spans="1:18" ht="35.25" customHeight="1">
      <c r="A66" s="15">
        <f t="shared" si="0"/>
        <v>56</v>
      </c>
      <c r="B66" s="239" t="s">
        <v>832</v>
      </c>
      <c r="C66" s="247" t="s">
        <v>833</v>
      </c>
      <c r="D66" s="46"/>
      <c r="E66" s="46"/>
      <c r="F66" s="46"/>
      <c r="G66" s="64"/>
      <c r="H66" s="141"/>
      <c r="I66" s="202" t="s">
        <v>18</v>
      </c>
      <c r="J66" s="192">
        <v>1</v>
      </c>
      <c r="K66" s="11" t="s">
        <v>730</v>
      </c>
      <c r="L66" s="141" t="s">
        <v>17</v>
      </c>
      <c r="M66" s="11"/>
      <c r="N66" s="141" t="s">
        <v>119</v>
      </c>
      <c r="O66" s="146"/>
      <c r="P66" s="43"/>
      <c r="Q66" s="43"/>
      <c r="R66" s="35" t="s">
        <v>272</v>
      </c>
    </row>
    <row r="67" spans="1:18" ht="35.25" customHeight="1">
      <c r="A67" s="15">
        <f t="shared" si="0"/>
        <v>57</v>
      </c>
      <c r="B67" s="239" t="s">
        <v>834</v>
      </c>
      <c r="C67" s="247" t="s">
        <v>833</v>
      </c>
      <c r="D67" s="46"/>
      <c r="E67" s="46"/>
      <c r="F67" s="46"/>
      <c r="G67" s="64"/>
      <c r="H67" s="141"/>
      <c r="I67" s="202" t="s">
        <v>18</v>
      </c>
      <c r="J67" s="192">
        <v>1</v>
      </c>
      <c r="K67" s="11" t="s">
        <v>730</v>
      </c>
      <c r="L67" s="141" t="s">
        <v>17</v>
      </c>
      <c r="M67" s="11"/>
      <c r="N67" s="141" t="s">
        <v>119</v>
      </c>
      <c r="O67" s="146"/>
      <c r="P67" s="43"/>
      <c r="Q67" s="43"/>
      <c r="R67" s="35" t="s">
        <v>272</v>
      </c>
    </row>
    <row r="68" spans="1:18" ht="35.25" customHeight="1">
      <c r="A68" s="15">
        <f t="shared" si="0"/>
        <v>58</v>
      </c>
      <c r="B68" s="239" t="s">
        <v>835</v>
      </c>
      <c r="C68" s="247" t="s">
        <v>833</v>
      </c>
      <c r="D68" s="46"/>
      <c r="E68" s="46"/>
      <c r="F68" s="46"/>
      <c r="G68" s="64"/>
      <c r="H68" s="141"/>
      <c r="I68" s="202" t="s">
        <v>18</v>
      </c>
      <c r="J68" s="192">
        <v>1</v>
      </c>
      <c r="K68" s="11" t="s">
        <v>730</v>
      </c>
      <c r="L68" s="141" t="s">
        <v>17</v>
      </c>
      <c r="M68" s="11"/>
      <c r="N68" s="141" t="s">
        <v>119</v>
      </c>
      <c r="O68" s="146"/>
      <c r="P68" s="43"/>
      <c r="Q68" s="43"/>
      <c r="R68" s="35" t="s">
        <v>272</v>
      </c>
    </row>
    <row r="69" spans="1:18" ht="35.25" customHeight="1">
      <c r="A69" s="15">
        <f t="shared" si="0"/>
        <v>59</v>
      </c>
      <c r="B69" s="239" t="s">
        <v>836</v>
      </c>
      <c r="C69" s="247" t="s">
        <v>833</v>
      </c>
      <c r="D69" s="46"/>
      <c r="E69" s="46"/>
      <c r="F69" s="46"/>
      <c r="G69" s="64"/>
      <c r="H69" s="141"/>
      <c r="I69" s="202" t="s">
        <v>18</v>
      </c>
      <c r="J69" s="192">
        <v>1</v>
      </c>
      <c r="K69" s="11" t="s">
        <v>730</v>
      </c>
      <c r="L69" s="141" t="s">
        <v>17</v>
      </c>
      <c r="M69" s="11"/>
      <c r="N69" s="141" t="s">
        <v>119</v>
      </c>
      <c r="O69" s="146"/>
      <c r="P69" s="43"/>
      <c r="Q69" s="43"/>
      <c r="R69" s="35" t="s">
        <v>272</v>
      </c>
    </row>
    <row r="70" spans="1:18" ht="35.25" customHeight="1">
      <c r="A70" s="15">
        <f t="shared" si="0"/>
        <v>60</v>
      </c>
      <c r="B70" s="239" t="s">
        <v>837</v>
      </c>
      <c r="C70" s="247" t="s">
        <v>838</v>
      </c>
      <c r="D70" s="46"/>
      <c r="E70" s="46"/>
      <c r="F70" s="46"/>
      <c r="G70" s="64"/>
      <c r="H70" s="141"/>
      <c r="I70" s="202" t="s">
        <v>18</v>
      </c>
      <c r="J70" s="192">
        <v>1</v>
      </c>
      <c r="K70" s="11" t="s">
        <v>730</v>
      </c>
      <c r="L70" s="141" t="s">
        <v>17</v>
      </c>
      <c r="M70" s="11"/>
      <c r="N70" s="141" t="s">
        <v>119</v>
      </c>
      <c r="O70" s="146"/>
      <c r="P70" s="43"/>
      <c r="Q70" s="43"/>
      <c r="R70" s="35" t="s">
        <v>272</v>
      </c>
    </row>
    <row r="71" spans="1:18" ht="35.25" customHeight="1">
      <c r="A71" s="15">
        <f t="shared" si="0"/>
        <v>61</v>
      </c>
      <c r="B71" s="239" t="s">
        <v>839</v>
      </c>
      <c r="C71" s="247" t="s">
        <v>840</v>
      </c>
      <c r="D71" s="46"/>
      <c r="E71" s="46"/>
      <c r="F71" s="46"/>
      <c r="G71" s="64"/>
      <c r="H71" s="141"/>
      <c r="I71" s="202" t="s">
        <v>18</v>
      </c>
      <c r="J71" s="192">
        <v>1</v>
      </c>
      <c r="K71" s="11" t="s">
        <v>730</v>
      </c>
      <c r="L71" s="141" t="s">
        <v>17</v>
      </c>
      <c r="M71" s="11"/>
      <c r="N71" s="141" t="s">
        <v>119</v>
      </c>
      <c r="O71" s="146"/>
      <c r="P71" s="43"/>
      <c r="Q71" s="43"/>
      <c r="R71" s="35" t="s">
        <v>272</v>
      </c>
    </row>
    <row r="72" spans="1:18" ht="35.25" customHeight="1">
      <c r="A72" s="15">
        <f t="shared" si="0"/>
        <v>62</v>
      </c>
      <c r="B72" s="239" t="s">
        <v>841</v>
      </c>
      <c r="C72" s="247" t="s">
        <v>842</v>
      </c>
      <c r="D72" s="43"/>
      <c r="E72" s="43"/>
      <c r="F72" s="43"/>
      <c r="G72" s="64"/>
      <c r="H72" s="141"/>
      <c r="I72" s="202" t="s">
        <v>18</v>
      </c>
      <c r="J72" s="192">
        <v>1</v>
      </c>
      <c r="K72" s="11" t="s">
        <v>730</v>
      </c>
      <c r="L72" s="141" t="s">
        <v>17</v>
      </c>
      <c r="M72" s="11"/>
      <c r="N72" s="141" t="s">
        <v>119</v>
      </c>
      <c r="O72" s="146"/>
      <c r="P72" s="43"/>
      <c r="Q72" s="43"/>
      <c r="R72" s="35" t="s">
        <v>272</v>
      </c>
    </row>
    <row r="73" spans="1:18" ht="35.25" customHeight="1">
      <c r="A73" s="15">
        <f t="shared" si="0"/>
        <v>63</v>
      </c>
      <c r="B73" s="239" t="s">
        <v>843</v>
      </c>
      <c r="C73" s="247" t="s">
        <v>844</v>
      </c>
      <c r="D73" s="43"/>
      <c r="E73" s="43"/>
      <c r="F73" s="43"/>
      <c r="G73" s="64"/>
      <c r="H73" s="141"/>
      <c r="I73" s="202" t="s">
        <v>18</v>
      </c>
      <c r="J73" s="192">
        <v>1</v>
      </c>
      <c r="K73" s="11" t="s">
        <v>730</v>
      </c>
      <c r="L73" s="141" t="s">
        <v>17</v>
      </c>
      <c r="M73" s="11"/>
      <c r="N73" s="141" t="s">
        <v>119</v>
      </c>
      <c r="O73" s="146"/>
      <c r="P73" s="43"/>
      <c r="Q73" s="43"/>
      <c r="R73" s="35" t="s">
        <v>272</v>
      </c>
    </row>
    <row r="74" spans="1:18" ht="35.25" customHeight="1">
      <c r="A74" s="15">
        <f t="shared" si="0"/>
        <v>64</v>
      </c>
      <c r="B74" s="239" t="s">
        <v>845</v>
      </c>
      <c r="C74" s="247" t="s">
        <v>844</v>
      </c>
      <c r="D74" s="43"/>
      <c r="E74" s="43"/>
      <c r="F74" s="43"/>
      <c r="G74" s="64"/>
      <c r="H74" s="141"/>
      <c r="I74" s="202" t="s">
        <v>18</v>
      </c>
      <c r="J74" s="192">
        <v>1</v>
      </c>
      <c r="K74" s="11" t="s">
        <v>730</v>
      </c>
      <c r="L74" s="141" t="s">
        <v>17</v>
      </c>
      <c r="M74" s="11"/>
      <c r="N74" s="141" t="s">
        <v>119</v>
      </c>
      <c r="O74" s="146"/>
      <c r="P74" s="43"/>
      <c r="Q74" s="43"/>
      <c r="R74" s="35" t="s">
        <v>272</v>
      </c>
    </row>
    <row r="75" spans="1:18" ht="35.25" customHeight="1">
      <c r="A75" s="15">
        <f t="shared" si="0"/>
        <v>65</v>
      </c>
      <c r="B75" s="239" t="s">
        <v>846</v>
      </c>
      <c r="C75" s="247" t="s">
        <v>847</v>
      </c>
      <c r="D75" s="43"/>
      <c r="E75" s="43"/>
      <c r="F75" s="43"/>
      <c r="G75" s="64"/>
      <c r="H75" s="141"/>
      <c r="I75" s="202" t="s">
        <v>18</v>
      </c>
      <c r="J75" s="192">
        <v>1</v>
      </c>
      <c r="K75" s="11" t="s">
        <v>730</v>
      </c>
      <c r="L75" s="141" t="s">
        <v>17</v>
      </c>
      <c r="M75" s="11"/>
      <c r="N75" s="141" t="s">
        <v>119</v>
      </c>
      <c r="O75" s="146"/>
      <c r="P75" s="43"/>
      <c r="Q75" s="43"/>
      <c r="R75" s="35" t="s">
        <v>272</v>
      </c>
    </row>
    <row r="76" spans="1:18" ht="35.25" customHeight="1">
      <c r="A76" s="15">
        <f t="shared" si="0"/>
        <v>66</v>
      </c>
      <c r="B76" s="239" t="s">
        <v>848</v>
      </c>
      <c r="C76" s="247" t="s">
        <v>849</v>
      </c>
      <c r="D76" s="46"/>
      <c r="E76" s="46"/>
      <c r="F76" s="46"/>
      <c r="G76" s="64"/>
      <c r="H76" s="141"/>
      <c r="I76" s="202" t="s">
        <v>18</v>
      </c>
      <c r="J76" s="192">
        <v>1</v>
      </c>
      <c r="K76" s="11" t="s">
        <v>730</v>
      </c>
      <c r="L76" s="141" t="s">
        <v>17</v>
      </c>
      <c r="M76" s="11"/>
      <c r="N76" s="141" t="s">
        <v>2523</v>
      </c>
      <c r="O76" s="146"/>
      <c r="P76" s="43"/>
      <c r="Q76" s="43"/>
      <c r="R76" s="35" t="s">
        <v>2638</v>
      </c>
    </row>
    <row r="77" spans="1:18" ht="35.25" customHeight="1">
      <c r="A77" s="15">
        <f t="shared" ref="A77:A140" si="1">A76+1</f>
        <v>67</v>
      </c>
      <c r="B77" s="239" t="s">
        <v>850</v>
      </c>
      <c r="C77" s="247" t="s">
        <v>851</v>
      </c>
      <c r="D77" s="46"/>
      <c r="E77" s="46"/>
      <c r="F77" s="46"/>
      <c r="G77" s="64"/>
      <c r="H77" s="141"/>
      <c r="I77" s="202" t="s">
        <v>18</v>
      </c>
      <c r="J77" s="192">
        <v>1</v>
      </c>
      <c r="K77" s="11" t="s">
        <v>730</v>
      </c>
      <c r="L77" s="141" t="s">
        <v>17</v>
      </c>
      <c r="M77" s="11"/>
      <c r="N77" s="141" t="s">
        <v>2523</v>
      </c>
      <c r="O77" s="146"/>
      <c r="P77" s="43"/>
      <c r="Q77" s="43"/>
      <c r="R77" s="35" t="s">
        <v>2638</v>
      </c>
    </row>
    <row r="78" spans="1:18" ht="35.25" customHeight="1">
      <c r="A78" s="15">
        <f t="shared" si="1"/>
        <v>68</v>
      </c>
      <c r="B78" s="239" t="s">
        <v>852</v>
      </c>
      <c r="C78" s="247" t="s">
        <v>853</v>
      </c>
      <c r="D78" s="46"/>
      <c r="E78" s="46"/>
      <c r="F78" s="46"/>
      <c r="G78" s="64"/>
      <c r="H78" s="141"/>
      <c r="I78" s="202" t="s">
        <v>18</v>
      </c>
      <c r="J78" s="192">
        <v>1</v>
      </c>
      <c r="K78" s="11" t="s">
        <v>730</v>
      </c>
      <c r="L78" s="141" t="s">
        <v>17</v>
      </c>
      <c r="M78" s="11"/>
      <c r="N78" s="141" t="s">
        <v>2523</v>
      </c>
      <c r="O78" s="146"/>
      <c r="P78" s="43"/>
      <c r="Q78" s="43"/>
      <c r="R78" s="35" t="s">
        <v>2638</v>
      </c>
    </row>
    <row r="79" spans="1:18" ht="35.25" customHeight="1">
      <c r="A79" s="15">
        <f t="shared" si="1"/>
        <v>69</v>
      </c>
      <c r="B79" s="239" t="s">
        <v>854</v>
      </c>
      <c r="C79" s="247" t="s">
        <v>853</v>
      </c>
      <c r="D79" s="46"/>
      <c r="E79" s="46"/>
      <c r="F79" s="46"/>
      <c r="G79" s="64"/>
      <c r="H79" s="141"/>
      <c r="I79" s="202" t="s">
        <v>18</v>
      </c>
      <c r="J79" s="192">
        <v>1</v>
      </c>
      <c r="K79" s="11" t="s">
        <v>730</v>
      </c>
      <c r="L79" s="141" t="s">
        <v>17</v>
      </c>
      <c r="M79" s="11"/>
      <c r="N79" s="141" t="s">
        <v>2523</v>
      </c>
      <c r="O79" s="146"/>
      <c r="P79" s="43"/>
      <c r="Q79" s="43"/>
      <c r="R79" s="35" t="s">
        <v>2638</v>
      </c>
    </row>
    <row r="80" spans="1:18" ht="35.25" customHeight="1">
      <c r="A80" s="15">
        <f t="shared" si="1"/>
        <v>70</v>
      </c>
      <c r="B80" s="141" t="s">
        <v>374</v>
      </c>
      <c r="C80" s="146" t="s">
        <v>373</v>
      </c>
      <c r="D80" s="43"/>
      <c r="E80" s="43"/>
      <c r="F80" s="43"/>
      <c r="G80" s="141" t="s">
        <v>365</v>
      </c>
      <c r="H80" s="141"/>
      <c r="I80" s="13" t="s">
        <v>18</v>
      </c>
      <c r="J80" s="13">
        <v>1</v>
      </c>
      <c r="K80" s="11" t="s">
        <v>730</v>
      </c>
      <c r="L80" s="141" t="s">
        <v>17</v>
      </c>
      <c r="M80" s="11"/>
      <c r="N80" s="141" t="s">
        <v>119</v>
      </c>
      <c r="O80" s="146"/>
      <c r="P80" s="43"/>
      <c r="Q80" s="43"/>
      <c r="R80" s="35" t="s">
        <v>272</v>
      </c>
    </row>
    <row r="81" spans="1:18" ht="35.25" customHeight="1">
      <c r="A81" s="15">
        <f t="shared" si="1"/>
        <v>71</v>
      </c>
      <c r="B81" s="141" t="s">
        <v>372</v>
      </c>
      <c r="C81" s="146" t="s">
        <v>371</v>
      </c>
      <c r="D81" s="19"/>
      <c r="E81" s="19"/>
      <c r="F81" s="19"/>
      <c r="G81" s="146" t="s">
        <v>368</v>
      </c>
      <c r="H81" s="141"/>
      <c r="I81" s="13" t="s">
        <v>18</v>
      </c>
      <c r="J81" s="13">
        <v>1</v>
      </c>
      <c r="K81" s="11" t="s">
        <v>730</v>
      </c>
      <c r="L81" s="141" t="s">
        <v>17</v>
      </c>
      <c r="M81" s="11"/>
      <c r="N81" s="141" t="s">
        <v>2523</v>
      </c>
      <c r="O81" s="146"/>
      <c r="P81" s="43"/>
      <c r="Q81" s="43"/>
      <c r="R81" s="35" t="s">
        <v>80</v>
      </c>
    </row>
    <row r="82" spans="1:18" ht="35.25" customHeight="1">
      <c r="A82" s="15">
        <f t="shared" si="1"/>
        <v>72</v>
      </c>
      <c r="B82" s="141" t="s">
        <v>370</v>
      </c>
      <c r="C82" s="146" t="s">
        <v>369</v>
      </c>
      <c r="D82" s="19"/>
      <c r="E82" s="19"/>
      <c r="F82" s="19"/>
      <c r="G82" s="146" t="s">
        <v>368</v>
      </c>
      <c r="H82" s="141"/>
      <c r="I82" s="13" t="s">
        <v>18</v>
      </c>
      <c r="J82" s="13">
        <v>1</v>
      </c>
      <c r="K82" s="11" t="s">
        <v>730</v>
      </c>
      <c r="L82" s="141" t="s">
        <v>17</v>
      </c>
      <c r="M82" s="11"/>
      <c r="N82" s="141" t="s">
        <v>2523</v>
      </c>
      <c r="O82" s="146"/>
      <c r="P82" s="43"/>
      <c r="Q82" s="43"/>
      <c r="R82" s="35" t="s">
        <v>88</v>
      </c>
    </row>
    <row r="83" spans="1:18" ht="35.25" customHeight="1">
      <c r="A83" s="15">
        <f t="shared" si="1"/>
        <v>73</v>
      </c>
      <c r="B83" s="141" t="s">
        <v>367</v>
      </c>
      <c r="C83" s="146" t="s">
        <v>366</v>
      </c>
      <c r="D83" s="19"/>
      <c r="E83" s="19"/>
      <c r="F83" s="19"/>
      <c r="G83" s="141" t="s">
        <v>365</v>
      </c>
      <c r="H83" s="141"/>
      <c r="I83" s="13" t="s">
        <v>18</v>
      </c>
      <c r="J83" s="13">
        <v>1</v>
      </c>
      <c r="K83" s="11" t="s">
        <v>730</v>
      </c>
      <c r="L83" s="141" t="s">
        <v>17</v>
      </c>
      <c r="M83" s="11"/>
      <c r="N83" s="141" t="s">
        <v>119</v>
      </c>
      <c r="O83" s="146"/>
      <c r="P83" s="43"/>
      <c r="Q83" s="43"/>
      <c r="R83" s="35" t="s">
        <v>272</v>
      </c>
    </row>
    <row r="84" spans="1:18" ht="35.25" customHeight="1">
      <c r="A84" s="15">
        <f t="shared" si="1"/>
        <v>74</v>
      </c>
      <c r="B84" s="141" t="s">
        <v>364</v>
      </c>
      <c r="C84" s="146" t="s">
        <v>363</v>
      </c>
      <c r="D84" s="46"/>
      <c r="E84" s="46"/>
      <c r="F84" s="46"/>
      <c r="G84" s="141" t="s">
        <v>363</v>
      </c>
      <c r="H84" s="141"/>
      <c r="I84" s="13" t="s">
        <v>18</v>
      </c>
      <c r="J84" s="13">
        <v>1</v>
      </c>
      <c r="K84" s="11" t="s">
        <v>730</v>
      </c>
      <c r="L84" s="141" t="s">
        <v>17</v>
      </c>
      <c r="M84" s="11"/>
      <c r="N84" s="141" t="s">
        <v>119</v>
      </c>
      <c r="O84" s="146"/>
      <c r="P84" s="43"/>
      <c r="Q84" s="43"/>
      <c r="R84" s="35" t="s">
        <v>272</v>
      </c>
    </row>
    <row r="85" spans="1:18" ht="35.25" customHeight="1">
      <c r="A85" s="15">
        <f t="shared" si="1"/>
        <v>75</v>
      </c>
      <c r="B85" s="43" t="s">
        <v>362</v>
      </c>
      <c r="C85" s="66" t="s">
        <v>361</v>
      </c>
      <c r="D85" s="46"/>
      <c r="E85" s="46"/>
      <c r="F85" s="46"/>
      <c r="G85" s="43" t="s">
        <v>361</v>
      </c>
      <c r="H85" s="141"/>
      <c r="I85" s="13" t="s">
        <v>18</v>
      </c>
      <c r="J85" s="13">
        <v>1</v>
      </c>
      <c r="K85" s="11" t="s">
        <v>730</v>
      </c>
      <c r="L85" s="43" t="s">
        <v>17</v>
      </c>
      <c r="M85" s="11"/>
      <c r="N85" s="141" t="s">
        <v>119</v>
      </c>
      <c r="O85" s="66"/>
      <c r="P85" s="43"/>
      <c r="Q85" s="43"/>
      <c r="R85" s="35" t="s">
        <v>272</v>
      </c>
    </row>
    <row r="86" spans="1:18" ht="35.25" customHeight="1">
      <c r="A86" s="15">
        <f t="shared" si="1"/>
        <v>76</v>
      </c>
      <c r="B86" s="43" t="s">
        <v>360</v>
      </c>
      <c r="C86" s="66" t="s">
        <v>359</v>
      </c>
      <c r="D86" s="46"/>
      <c r="E86" s="46"/>
      <c r="F86" s="46"/>
      <c r="G86" s="43" t="s">
        <v>359</v>
      </c>
      <c r="H86" s="141"/>
      <c r="I86" s="13" t="s">
        <v>18</v>
      </c>
      <c r="J86" s="13">
        <v>1</v>
      </c>
      <c r="K86" s="11" t="s">
        <v>730</v>
      </c>
      <c r="L86" s="43" t="s">
        <v>17</v>
      </c>
      <c r="M86" s="11"/>
      <c r="N86" s="141" t="s">
        <v>119</v>
      </c>
      <c r="O86" s="66"/>
      <c r="P86" s="43"/>
      <c r="Q86" s="43"/>
      <c r="R86" s="35" t="s">
        <v>272</v>
      </c>
    </row>
    <row r="87" spans="1:18" ht="35.25" customHeight="1">
      <c r="A87" s="15">
        <f t="shared" si="1"/>
        <v>77</v>
      </c>
      <c r="B87" s="43" t="s">
        <v>358</v>
      </c>
      <c r="C87" s="66" t="s">
        <v>357</v>
      </c>
      <c r="D87" s="46"/>
      <c r="E87" s="46"/>
      <c r="F87" s="46"/>
      <c r="G87" s="43" t="s">
        <v>357</v>
      </c>
      <c r="H87" s="141"/>
      <c r="I87" s="13" t="s">
        <v>18</v>
      </c>
      <c r="J87" s="13">
        <v>1</v>
      </c>
      <c r="K87" s="11" t="s">
        <v>730</v>
      </c>
      <c r="L87" s="43" t="s">
        <v>17</v>
      </c>
      <c r="M87" s="11"/>
      <c r="N87" s="141" t="s">
        <v>119</v>
      </c>
      <c r="O87" s="66"/>
      <c r="P87" s="43"/>
      <c r="Q87" s="43"/>
      <c r="R87" s="35" t="s">
        <v>272</v>
      </c>
    </row>
    <row r="88" spans="1:18" ht="35.25" customHeight="1">
      <c r="A88" s="15">
        <f t="shared" si="1"/>
        <v>78</v>
      </c>
      <c r="B88" s="43" t="s">
        <v>356</v>
      </c>
      <c r="C88" s="66" t="s">
        <v>355</v>
      </c>
      <c r="D88" s="46"/>
      <c r="E88" s="46"/>
      <c r="F88" s="46"/>
      <c r="G88" s="43" t="s">
        <v>355</v>
      </c>
      <c r="H88" s="141"/>
      <c r="I88" s="13" t="s">
        <v>18</v>
      </c>
      <c r="J88" s="13">
        <v>1</v>
      </c>
      <c r="K88" s="11" t="s">
        <v>730</v>
      </c>
      <c r="L88" s="43" t="s">
        <v>17</v>
      </c>
      <c r="M88" s="11"/>
      <c r="N88" s="141" t="s">
        <v>119</v>
      </c>
      <c r="O88" s="66"/>
      <c r="P88" s="43"/>
      <c r="Q88" s="43"/>
      <c r="R88" s="35" t="s">
        <v>272</v>
      </c>
    </row>
    <row r="89" spans="1:18" ht="35.25" customHeight="1">
      <c r="A89" s="15">
        <f t="shared" si="1"/>
        <v>79</v>
      </c>
      <c r="B89" s="141" t="s">
        <v>350</v>
      </c>
      <c r="C89" s="146" t="s">
        <v>349</v>
      </c>
      <c r="D89" s="46"/>
      <c r="E89" s="46"/>
      <c r="F89" s="46"/>
      <c r="G89" s="141" t="s">
        <v>349</v>
      </c>
      <c r="H89" s="141"/>
      <c r="I89" s="13" t="s">
        <v>18</v>
      </c>
      <c r="J89" s="13">
        <v>1</v>
      </c>
      <c r="K89" s="11" t="s">
        <v>730</v>
      </c>
      <c r="L89" s="141" t="s">
        <v>17</v>
      </c>
      <c r="M89" s="11"/>
      <c r="N89" s="141" t="s">
        <v>119</v>
      </c>
      <c r="O89" s="146"/>
      <c r="P89" s="43"/>
      <c r="Q89" s="43"/>
      <c r="R89" s="35" t="s">
        <v>272</v>
      </c>
    </row>
    <row r="90" spans="1:18" ht="35.25" customHeight="1">
      <c r="A90" s="15">
        <f t="shared" si="1"/>
        <v>80</v>
      </c>
      <c r="B90" s="141" t="s">
        <v>347</v>
      </c>
      <c r="C90" s="146" t="s">
        <v>346</v>
      </c>
      <c r="D90" s="46"/>
      <c r="E90" s="46"/>
      <c r="F90" s="46"/>
      <c r="G90" s="141" t="s">
        <v>346</v>
      </c>
      <c r="H90" s="141"/>
      <c r="I90" s="13" t="s">
        <v>18</v>
      </c>
      <c r="J90" s="13">
        <v>1</v>
      </c>
      <c r="K90" s="11" t="s">
        <v>730</v>
      </c>
      <c r="L90" s="141" t="s">
        <v>17</v>
      </c>
      <c r="M90" s="11"/>
      <c r="N90" s="141" t="s">
        <v>119</v>
      </c>
      <c r="O90" s="146"/>
      <c r="P90" s="43"/>
      <c r="Q90" s="43"/>
      <c r="R90" s="35" t="s">
        <v>272</v>
      </c>
    </row>
    <row r="91" spans="1:18" ht="35.25" customHeight="1">
      <c r="A91" s="15">
        <f t="shared" si="1"/>
        <v>81</v>
      </c>
      <c r="B91" s="141" t="s">
        <v>345</v>
      </c>
      <c r="C91" s="146" t="s">
        <v>344</v>
      </c>
      <c r="D91" s="46"/>
      <c r="E91" s="46"/>
      <c r="F91" s="46"/>
      <c r="G91" s="141" t="s">
        <v>344</v>
      </c>
      <c r="H91" s="141"/>
      <c r="I91" s="13" t="s">
        <v>18</v>
      </c>
      <c r="J91" s="13">
        <v>1</v>
      </c>
      <c r="K91" s="11" t="s">
        <v>730</v>
      </c>
      <c r="L91" s="141" t="s">
        <v>17</v>
      </c>
      <c r="M91" s="11"/>
      <c r="N91" s="141" t="s">
        <v>119</v>
      </c>
      <c r="O91" s="146"/>
      <c r="P91" s="43"/>
      <c r="Q91" s="43"/>
      <c r="R91" s="35" t="s">
        <v>272</v>
      </c>
    </row>
    <row r="92" spans="1:18" ht="35.25" customHeight="1">
      <c r="A92" s="15">
        <f t="shared" si="1"/>
        <v>82</v>
      </c>
      <c r="B92" s="141" t="s">
        <v>343</v>
      </c>
      <c r="C92" s="146" t="s">
        <v>340</v>
      </c>
      <c r="D92" s="46"/>
      <c r="E92" s="46"/>
      <c r="F92" s="46"/>
      <c r="G92" s="141" t="s">
        <v>340</v>
      </c>
      <c r="H92" s="141"/>
      <c r="I92" s="13" t="s">
        <v>18</v>
      </c>
      <c r="J92" s="13">
        <v>1</v>
      </c>
      <c r="K92" s="11" t="s">
        <v>730</v>
      </c>
      <c r="L92" s="141" t="s">
        <v>17</v>
      </c>
      <c r="M92" s="11"/>
      <c r="N92" s="141" t="s">
        <v>119</v>
      </c>
      <c r="O92" s="146"/>
      <c r="P92" s="43"/>
      <c r="Q92" s="43"/>
      <c r="R92" s="44" t="s">
        <v>339</v>
      </c>
    </row>
    <row r="93" spans="1:18" ht="35.25" customHeight="1">
      <c r="A93" s="15">
        <f t="shared" si="1"/>
        <v>83</v>
      </c>
      <c r="B93" s="141" t="s">
        <v>342</v>
      </c>
      <c r="C93" s="146" t="s">
        <v>340</v>
      </c>
      <c r="D93" s="46"/>
      <c r="E93" s="46"/>
      <c r="F93" s="46"/>
      <c r="G93" s="141" t="s">
        <v>340</v>
      </c>
      <c r="H93" s="141"/>
      <c r="I93" s="13" t="s">
        <v>18</v>
      </c>
      <c r="J93" s="13">
        <v>1</v>
      </c>
      <c r="K93" s="11" t="s">
        <v>730</v>
      </c>
      <c r="L93" s="141" t="s">
        <v>17</v>
      </c>
      <c r="M93" s="11"/>
      <c r="N93" s="141" t="s">
        <v>119</v>
      </c>
      <c r="O93" s="146"/>
      <c r="P93" s="43"/>
      <c r="Q93" s="43"/>
      <c r="R93" s="44" t="s">
        <v>339</v>
      </c>
    </row>
    <row r="94" spans="1:18" ht="35.25" customHeight="1">
      <c r="A94" s="15">
        <f t="shared" si="1"/>
        <v>84</v>
      </c>
      <c r="B94" s="141" t="s">
        <v>341</v>
      </c>
      <c r="C94" s="146" t="s">
        <v>340</v>
      </c>
      <c r="D94" s="46"/>
      <c r="E94" s="46"/>
      <c r="F94" s="46"/>
      <c r="G94" s="141" t="s">
        <v>340</v>
      </c>
      <c r="H94" s="141"/>
      <c r="I94" s="13" t="s">
        <v>18</v>
      </c>
      <c r="J94" s="13">
        <v>1</v>
      </c>
      <c r="K94" s="11" t="s">
        <v>730</v>
      </c>
      <c r="L94" s="141" t="s">
        <v>17</v>
      </c>
      <c r="M94" s="11"/>
      <c r="N94" s="141" t="s">
        <v>119</v>
      </c>
      <c r="O94" s="146"/>
      <c r="P94" s="43"/>
      <c r="Q94" s="43"/>
      <c r="R94" s="44" t="s">
        <v>339</v>
      </c>
    </row>
    <row r="95" spans="1:18" ht="35.25" customHeight="1">
      <c r="A95" s="15">
        <f t="shared" si="1"/>
        <v>85</v>
      </c>
      <c r="B95" s="141" t="s">
        <v>338</v>
      </c>
      <c r="C95" s="146" t="s">
        <v>337</v>
      </c>
      <c r="D95" s="46"/>
      <c r="E95" s="46"/>
      <c r="F95" s="46"/>
      <c r="G95" s="141" t="s">
        <v>337</v>
      </c>
      <c r="H95" s="141"/>
      <c r="I95" s="13" t="s">
        <v>18</v>
      </c>
      <c r="J95" s="13">
        <v>1</v>
      </c>
      <c r="K95" s="11" t="s">
        <v>730</v>
      </c>
      <c r="L95" s="141" t="s">
        <v>17</v>
      </c>
      <c r="M95" s="11"/>
      <c r="N95" s="141" t="s">
        <v>119</v>
      </c>
      <c r="O95" s="146"/>
      <c r="P95" s="43"/>
      <c r="Q95" s="43"/>
      <c r="R95" s="44" t="s">
        <v>272</v>
      </c>
    </row>
    <row r="96" spans="1:18" ht="35.25" customHeight="1">
      <c r="A96" s="15">
        <f t="shared" si="1"/>
        <v>86</v>
      </c>
      <c r="B96" s="141" t="s">
        <v>336</v>
      </c>
      <c r="C96" s="146" t="s">
        <v>335</v>
      </c>
      <c r="D96" s="19"/>
      <c r="E96" s="19"/>
      <c r="F96" s="19"/>
      <c r="G96" s="141" t="s">
        <v>335</v>
      </c>
      <c r="H96" s="141"/>
      <c r="I96" s="13" t="s">
        <v>18</v>
      </c>
      <c r="J96" s="13">
        <v>1</v>
      </c>
      <c r="K96" s="11" t="s">
        <v>730</v>
      </c>
      <c r="L96" s="141" t="s">
        <v>17</v>
      </c>
      <c r="M96" s="11"/>
      <c r="N96" s="141" t="s">
        <v>119</v>
      </c>
      <c r="O96" s="146"/>
      <c r="P96" s="43"/>
      <c r="Q96" s="43"/>
      <c r="R96" s="44" t="s">
        <v>272</v>
      </c>
    </row>
    <row r="97" spans="1:18" ht="35.25" customHeight="1">
      <c r="A97" s="15">
        <f t="shared" si="1"/>
        <v>87</v>
      </c>
      <c r="B97" s="141" t="s">
        <v>334</v>
      </c>
      <c r="C97" s="146" t="s">
        <v>333</v>
      </c>
      <c r="D97" s="169"/>
      <c r="E97" s="169"/>
      <c r="F97" s="169"/>
      <c r="G97" s="141" t="s">
        <v>333</v>
      </c>
      <c r="H97" s="141"/>
      <c r="I97" s="13" t="s">
        <v>18</v>
      </c>
      <c r="J97" s="13">
        <v>1</v>
      </c>
      <c r="K97" s="11" t="s">
        <v>730</v>
      </c>
      <c r="L97" s="141" t="s">
        <v>17</v>
      </c>
      <c r="M97" s="11"/>
      <c r="N97" s="141" t="s">
        <v>119</v>
      </c>
      <c r="O97" s="146"/>
      <c r="P97" s="43"/>
      <c r="Q97" s="43"/>
      <c r="R97" s="44" t="s">
        <v>272</v>
      </c>
    </row>
    <row r="98" spans="1:18" ht="35.25" customHeight="1">
      <c r="A98" s="15">
        <f t="shared" si="1"/>
        <v>88</v>
      </c>
      <c r="B98" s="43" t="s">
        <v>332</v>
      </c>
      <c r="C98" s="66" t="s">
        <v>331</v>
      </c>
      <c r="D98" s="43"/>
      <c r="E98" s="43"/>
      <c r="F98" s="43"/>
      <c r="G98" s="43" t="s">
        <v>331</v>
      </c>
      <c r="H98" s="141"/>
      <c r="I98" s="13" t="s">
        <v>18</v>
      </c>
      <c r="J98" s="13">
        <v>1</v>
      </c>
      <c r="K98" s="11" t="s">
        <v>730</v>
      </c>
      <c r="L98" s="43" t="s">
        <v>17</v>
      </c>
      <c r="M98" s="11"/>
      <c r="N98" s="141" t="s">
        <v>119</v>
      </c>
      <c r="O98" s="66"/>
      <c r="P98" s="43"/>
      <c r="Q98" s="43"/>
      <c r="R98" s="44" t="s">
        <v>272</v>
      </c>
    </row>
    <row r="99" spans="1:18" ht="35.25" customHeight="1">
      <c r="A99" s="15">
        <f t="shared" si="1"/>
        <v>89</v>
      </c>
      <c r="B99" s="43" t="s">
        <v>330</v>
      </c>
      <c r="C99" s="66" t="s">
        <v>329</v>
      </c>
      <c r="D99" s="66"/>
      <c r="E99" s="66"/>
      <c r="F99" s="66"/>
      <c r="G99" s="43" t="s">
        <v>329</v>
      </c>
      <c r="H99" s="141"/>
      <c r="I99" s="13" t="s">
        <v>18</v>
      </c>
      <c r="J99" s="13">
        <v>1</v>
      </c>
      <c r="K99" s="11" t="s">
        <v>730</v>
      </c>
      <c r="L99" s="43" t="s">
        <v>17</v>
      </c>
      <c r="M99" s="11"/>
      <c r="N99" s="141" t="s">
        <v>119</v>
      </c>
      <c r="O99" s="66"/>
      <c r="P99" s="43"/>
      <c r="Q99" s="43"/>
      <c r="R99" s="44" t="s">
        <v>272</v>
      </c>
    </row>
    <row r="100" spans="1:18" ht="35.25" customHeight="1">
      <c r="A100" s="15">
        <f t="shared" si="1"/>
        <v>90</v>
      </c>
      <c r="B100" s="43" t="s">
        <v>328</v>
      </c>
      <c r="C100" s="66" t="s">
        <v>327</v>
      </c>
      <c r="D100" s="66"/>
      <c r="E100" s="66"/>
      <c r="F100" s="66"/>
      <c r="G100" s="43" t="s">
        <v>327</v>
      </c>
      <c r="H100" s="141"/>
      <c r="I100" s="13" t="s">
        <v>18</v>
      </c>
      <c r="J100" s="13">
        <v>1</v>
      </c>
      <c r="K100" s="11" t="s">
        <v>730</v>
      </c>
      <c r="L100" s="43" t="s">
        <v>17</v>
      </c>
      <c r="M100" s="11"/>
      <c r="N100" s="141" t="s">
        <v>119</v>
      </c>
      <c r="O100" s="66"/>
      <c r="P100" s="43"/>
      <c r="Q100" s="43"/>
      <c r="R100" s="44" t="s">
        <v>272</v>
      </c>
    </row>
    <row r="101" spans="1:18" ht="35.25" customHeight="1">
      <c r="A101" s="15">
        <f t="shared" si="1"/>
        <v>91</v>
      </c>
      <c r="B101" s="43" t="s">
        <v>326</v>
      </c>
      <c r="C101" s="66" t="s">
        <v>325</v>
      </c>
      <c r="D101" s="66"/>
      <c r="E101" s="66"/>
      <c r="F101" s="66"/>
      <c r="G101" s="43" t="s">
        <v>325</v>
      </c>
      <c r="H101" s="141"/>
      <c r="I101" s="13" t="s">
        <v>18</v>
      </c>
      <c r="J101" s="13">
        <v>1</v>
      </c>
      <c r="K101" s="11" t="s">
        <v>730</v>
      </c>
      <c r="L101" s="43" t="s">
        <v>17</v>
      </c>
      <c r="M101" s="11"/>
      <c r="N101" s="141" t="s">
        <v>119</v>
      </c>
      <c r="O101" s="66"/>
      <c r="P101" s="43"/>
      <c r="Q101" s="43"/>
      <c r="R101" s="44" t="s">
        <v>272</v>
      </c>
    </row>
    <row r="102" spans="1:18" ht="35.25" customHeight="1">
      <c r="A102" s="15">
        <f t="shared" si="1"/>
        <v>92</v>
      </c>
      <c r="B102" s="43" t="s">
        <v>324</v>
      </c>
      <c r="C102" s="66" t="s">
        <v>323</v>
      </c>
      <c r="D102" s="66"/>
      <c r="E102" s="66"/>
      <c r="F102" s="66"/>
      <c r="G102" s="43" t="s">
        <v>323</v>
      </c>
      <c r="H102" s="141"/>
      <c r="I102" s="13" t="s">
        <v>18</v>
      </c>
      <c r="J102" s="13">
        <v>1</v>
      </c>
      <c r="K102" s="11" t="s">
        <v>730</v>
      </c>
      <c r="L102" s="43" t="s">
        <v>17</v>
      </c>
      <c r="M102" s="11"/>
      <c r="N102" s="141" t="s">
        <v>119</v>
      </c>
      <c r="O102" s="66"/>
      <c r="P102" s="43"/>
      <c r="Q102" s="43"/>
      <c r="R102" s="44" t="s">
        <v>272</v>
      </c>
    </row>
    <row r="103" spans="1:18" ht="35.25" customHeight="1">
      <c r="A103" s="15">
        <f t="shared" si="1"/>
        <v>93</v>
      </c>
      <c r="B103" s="43" t="s">
        <v>322</v>
      </c>
      <c r="C103" s="66" t="s">
        <v>321</v>
      </c>
      <c r="D103" s="66"/>
      <c r="E103" s="66"/>
      <c r="F103" s="66"/>
      <c r="G103" s="43" t="s">
        <v>321</v>
      </c>
      <c r="H103" s="141"/>
      <c r="I103" s="13" t="s">
        <v>18</v>
      </c>
      <c r="J103" s="13">
        <v>1</v>
      </c>
      <c r="K103" s="11" t="s">
        <v>730</v>
      </c>
      <c r="L103" s="43" t="s">
        <v>17</v>
      </c>
      <c r="M103" s="11"/>
      <c r="N103" s="141" t="s">
        <v>119</v>
      </c>
      <c r="O103" s="66"/>
      <c r="P103" s="43"/>
      <c r="Q103" s="43"/>
      <c r="R103" s="44" t="s">
        <v>272</v>
      </c>
    </row>
    <row r="104" spans="1:18" ht="35.25" customHeight="1">
      <c r="A104" s="15">
        <f t="shared" si="1"/>
        <v>94</v>
      </c>
      <c r="B104" s="43" t="s">
        <v>320</v>
      </c>
      <c r="C104" s="66" t="s">
        <v>319</v>
      </c>
      <c r="D104" s="19"/>
      <c r="E104" s="19"/>
      <c r="F104" s="19"/>
      <c r="G104" s="43" t="s">
        <v>319</v>
      </c>
      <c r="H104" s="141"/>
      <c r="I104" s="13" t="s">
        <v>18</v>
      </c>
      <c r="J104" s="13">
        <v>1</v>
      </c>
      <c r="K104" s="11" t="s">
        <v>730</v>
      </c>
      <c r="L104" s="43" t="s">
        <v>17</v>
      </c>
      <c r="M104" s="11"/>
      <c r="N104" s="141" t="s">
        <v>119</v>
      </c>
      <c r="O104" s="66"/>
      <c r="P104" s="43"/>
      <c r="Q104" s="43"/>
      <c r="R104" s="44" t="s">
        <v>272</v>
      </c>
    </row>
    <row r="105" spans="1:18" ht="35.25" customHeight="1">
      <c r="A105" s="15">
        <f t="shared" si="1"/>
        <v>95</v>
      </c>
      <c r="B105" s="43" t="s">
        <v>318</v>
      </c>
      <c r="C105" s="66" t="s">
        <v>317</v>
      </c>
      <c r="D105" s="19"/>
      <c r="E105" s="19"/>
      <c r="F105" s="19"/>
      <c r="G105" s="43" t="s">
        <v>317</v>
      </c>
      <c r="H105" s="141"/>
      <c r="I105" s="13" t="s">
        <v>18</v>
      </c>
      <c r="J105" s="13">
        <v>1</v>
      </c>
      <c r="K105" s="11" t="s">
        <v>730</v>
      </c>
      <c r="L105" s="43" t="s">
        <v>17</v>
      </c>
      <c r="M105" s="11"/>
      <c r="N105" s="141" t="s">
        <v>119</v>
      </c>
      <c r="O105" s="66"/>
      <c r="P105" s="43"/>
      <c r="Q105" s="43"/>
      <c r="R105" s="44" t="s">
        <v>272</v>
      </c>
    </row>
    <row r="106" spans="1:18" ht="35.25" customHeight="1">
      <c r="A106" s="15">
        <f t="shared" si="1"/>
        <v>96</v>
      </c>
      <c r="B106" s="43" t="s">
        <v>316</v>
      </c>
      <c r="C106" s="66" t="s">
        <v>315</v>
      </c>
      <c r="D106" s="46"/>
      <c r="E106" s="46"/>
      <c r="F106" s="46"/>
      <c r="G106" s="43" t="s">
        <v>315</v>
      </c>
      <c r="H106" s="141"/>
      <c r="I106" s="13" t="s">
        <v>18</v>
      </c>
      <c r="J106" s="13">
        <v>1</v>
      </c>
      <c r="K106" s="11" t="s">
        <v>730</v>
      </c>
      <c r="L106" s="43" t="s">
        <v>17</v>
      </c>
      <c r="M106" s="11"/>
      <c r="N106" s="141" t="s">
        <v>119</v>
      </c>
      <c r="O106" s="66"/>
      <c r="P106" s="43"/>
      <c r="Q106" s="43"/>
      <c r="R106" s="44" t="s">
        <v>272</v>
      </c>
    </row>
    <row r="107" spans="1:18" ht="35.25" customHeight="1">
      <c r="A107" s="15">
        <f t="shared" si="1"/>
        <v>97</v>
      </c>
      <c r="B107" s="43" t="s">
        <v>314</v>
      </c>
      <c r="C107" s="66" t="s">
        <v>313</v>
      </c>
      <c r="D107" s="19"/>
      <c r="E107" s="19"/>
      <c r="F107" s="19"/>
      <c r="G107" s="43" t="s">
        <v>313</v>
      </c>
      <c r="H107" s="141"/>
      <c r="I107" s="13" t="s">
        <v>18</v>
      </c>
      <c r="J107" s="13">
        <v>1</v>
      </c>
      <c r="K107" s="11" t="s">
        <v>730</v>
      </c>
      <c r="L107" s="43" t="s">
        <v>17</v>
      </c>
      <c r="M107" s="11"/>
      <c r="N107" s="141" t="s">
        <v>119</v>
      </c>
      <c r="O107" s="66"/>
      <c r="P107" s="43"/>
      <c r="Q107" s="43"/>
      <c r="R107" s="44" t="s">
        <v>272</v>
      </c>
    </row>
    <row r="108" spans="1:18" ht="35.25" customHeight="1">
      <c r="A108" s="15">
        <f t="shared" si="1"/>
        <v>98</v>
      </c>
      <c r="B108" s="43" t="s">
        <v>312</v>
      </c>
      <c r="C108" s="66" t="s">
        <v>311</v>
      </c>
      <c r="D108" s="19"/>
      <c r="E108" s="19"/>
      <c r="F108" s="19"/>
      <c r="G108" s="43" t="s">
        <v>311</v>
      </c>
      <c r="H108" s="141"/>
      <c r="I108" s="13" t="s">
        <v>18</v>
      </c>
      <c r="J108" s="13">
        <v>1</v>
      </c>
      <c r="K108" s="11" t="s">
        <v>730</v>
      </c>
      <c r="L108" s="43" t="s">
        <v>17</v>
      </c>
      <c r="M108" s="11"/>
      <c r="N108" s="141" t="s">
        <v>119</v>
      </c>
      <c r="O108" s="66"/>
      <c r="P108" s="43"/>
      <c r="Q108" s="43"/>
      <c r="R108" s="44" t="s">
        <v>272</v>
      </c>
    </row>
    <row r="109" spans="1:18" ht="35.25" customHeight="1">
      <c r="A109" s="15">
        <f t="shared" si="1"/>
        <v>99</v>
      </c>
      <c r="B109" s="43" t="s">
        <v>310</v>
      </c>
      <c r="C109" s="66" t="s">
        <v>309</v>
      </c>
      <c r="D109" s="19"/>
      <c r="E109" s="19"/>
      <c r="F109" s="19"/>
      <c r="G109" s="43" t="s">
        <v>309</v>
      </c>
      <c r="H109" s="141"/>
      <c r="I109" s="13" t="s">
        <v>18</v>
      </c>
      <c r="J109" s="13">
        <v>1</v>
      </c>
      <c r="K109" s="11" t="s">
        <v>730</v>
      </c>
      <c r="L109" s="43" t="s">
        <v>17</v>
      </c>
      <c r="M109" s="11"/>
      <c r="N109" s="141" t="s">
        <v>119</v>
      </c>
      <c r="O109" s="66"/>
      <c r="P109" s="43"/>
      <c r="Q109" s="43"/>
      <c r="R109" s="44" t="s">
        <v>272</v>
      </c>
    </row>
    <row r="110" spans="1:18" ht="35.25" customHeight="1">
      <c r="A110" s="15">
        <f t="shared" si="1"/>
        <v>100</v>
      </c>
      <c r="B110" s="43" t="s">
        <v>308</v>
      </c>
      <c r="C110" s="66" t="s">
        <v>307</v>
      </c>
      <c r="D110" s="19"/>
      <c r="E110" s="19"/>
      <c r="F110" s="19"/>
      <c r="G110" s="43" t="s">
        <v>307</v>
      </c>
      <c r="H110" s="141"/>
      <c r="I110" s="13" t="s">
        <v>18</v>
      </c>
      <c r="J110" s="13">
        <v>1</v>
      </c>
      <c r="K110" s="11" t="s">
        <v>730</v>
      </c>
      <c r="L110" s="43" t="s">
        <v>17</v>
      </c>
      <c r="M110" s="11"/>
      <c r="N110" s="141" t="s">
        <v>119</v>
      </c>
      <c r="O110" s="66"/>
      <c r="P110" s="43"/>
      <c r="Q110" s="43"/>
      <c r="R110" s="44" t="s">
        <v>272</v>
      </c>
    </row>
    <row r="111" spans="1:18" ht="35.25" customHeight="1">
      <c r="A111" s="15">
        <f t="shared" si="1"/>
        <v>101</v>
      </c>
      <c r="B111" s="141" t="s">
        <v>299</v>
      </c>
      <c r="C111" s="146" t="s">
        <v>298</v>
      </c>
      <c r="D111" s="19"/>
      <c r="E111" s="19"/>
      <c r="F111" s="19"/>
      <c r="G111" s="146" t="s">
        <v>298</v>
      </c>
      <c r="H111" s="141"/>
      <c r="I111" s="13" t="s">
        <v>18</v>
      </c>
      <c r="J111" s="13">
        <v>1</v>
      </c>
      <c r="K111" s="11" t="s">
        <v>730</v>
      </c>
      <c r="L111" s="141" t="s">
        <v>17</v>
      </c>
      <c r="M111" s="11"/>
      <c r="N111" s="141" t="s">
        <v>119</v>
      </c>
      <c r="O111" s="146"/>
      <c r="P111" s="43"/>
      <c r="Q111" s="43"/>
      <c r="R111" s="44" t="s">
        <v>272</v>
      </c>
    </row>
    <row r="112" spans="1:18" ht="35.25" customHeight="1">
      <c r="A112" s="15">
        <f t="shared" si="1"/>
        <v>102</v>
      </c>
      <c r="B112" s="141" t="s">
        <v>297</v>
      </c>
      <c r="C112" s="146" t="s">
        <v>296</v>
      </c>
      <c r="D112" s="19"/>
      <c r="E112" s="19"/>
      <c r="F112" s="19"/>
      <c r="G112" s="141" t="s">
        <v>296</v>
      </c>
      <c r="H112" s="141"/>
      <c r="I112" s="13" t="s">
        <v>18</v>
      </c>
      <c r="J112" s="13">
        <v>1</v>
      </c>
      <c r="K112" s="11" t="s">
        <v>730</v>
      </c>
      <c r="L112" s="141" t="s">
        <v>17</v>
      </c>
      <c r="M112" s="11"/>
      <c r="N112" s="141" t="s">
        <v>119</v>
      </c>
      <c r="O112" s="146"/>
      <c r="P112" s="43"/>
      <c r="Q112" s="43"/>
      <c r="R112" s="44" t="s">
        <v>272</v>
      </c>
    </row>
    <row r="113" spans="1:39" ht="35.25" customHeight="1">
      <c r="A113" s="15">
        <f t="shared" si="1"/>
        <v>103</v>
      </c>
      <c r="B113" s="141" t="s">
        <v>295</v>
      </c>
      <c r="C113" s="64" t="s">
        <v>294</v>
      </c>
      <c r="D113" s="19"/>
      <c r="E113" s="19"/>
      <c r="F113" s="19"/>
      <c r="G113" s="11" t="s">
        <v>294</v>
      </c>
      <c r="H113" s="141"/>
      <c r="I113" s="13" t="s">
        <v>18</v>
      </c>
      <c r="J113" s="13">
        <v>1</v>
      </c>
      <c r="K113" s="11" t="s">
        <v>730</v>
      </c>
      <c r="L113" s="141" t="s">
        <v>17</v>
      </c>
      <c r="M113" s="11"/>
      <c r="N113" s="141" t="s">
        <v>119</v>
      </c>
      <c r="O113" s="146"/>
      <c r="P113" s="43"/>
      <c r="Q113" s="43"/>
      <c r="R113" s="44" t="s">
        <v>272</v>
      </c>
    </row>
    <row r="114" spans="1:39" ht="35.25" customHeight="1">
      <c r="A114" s="15">
        <f t="shared" si="1"/>
        <v>104</v>
      </c>
      <c r="B114" s="141" t="s">
        <v>293</v>
      </c>
      <c r="C114" s="64" t="s">
        <v>292</v>
      </c>
      <c r="D114" s="19"/>
      <c r="E114" s="19"/>
      <c r="F114" s="19"/>
      <c r="G114" s="64" t="s">
        <v>292</v>
      </c>
      <c r="H114" s="141"/>
      <c r="I114" s="13" t="s">
        <v>18</v>
      </c>
      <c r="J114" s="13">
        <v>1</v>
      </c>
      <c r="K114" s="11" t="s">
        <v>730</v>
      </c>
      <c r="L114" s="141" t="s">
        <v>17</v>
      </c>
      <c r="M114" s="11"/>
      <c r="N114" s="141" t="s">
        <v>119</v>
      </c>
      <c r="O114" s="146"/>
      <c r="P114" s="43"/>
      <c r="Q114" s="43"/>
      <c r="R114" s="44" t="s">
        <v>272</v>
      </c>
    </row>
    <row r="115" spans="1:39" ht="35.25" customHeight="1">
      <c r="A115" s="15">
        <f t="shared" si="1"/>
        <v>105</v>
      </c>
      <c r="B115" s="141" t="s">
        <v>289</v>
      </c>
      <c r="C115" s="64" t="s">
        <v>288</v>
      </c>
      <c r="D115" s="19"/>
      <c r="E115" s="19"/>
      <c r="F115" s="19"/>
      <c r="G115" s="64" t="s">
        <v>288</v>
      </c>
      <c r="H115" s="141"/>
      <c r="I115" s="13" t="s">
        <v>18</v>
      </c>
      <c r="J115" s="13">
        <v>1</v>
      </c>
      <c r="K115" s="11" t="s">
        <v>730</v>
      </c>
      <c r="L115" s="141" t="s">
        <v>17</v>
      </c>
      <c r="M115" s="11"/>
      <c r="N115" s="141" t="s">
        <v>2523</v>
      </c>
      <c r="O115" s="146"/>
      <c r="P115" s="141"/>
      <c r="Q115" s="43"/>
      <c r="R115" s="141" t="s">
        <v>88</v>
      </c>
    </row>
    <row r="116" spans="1:39" ht="35.25" customHeight="1">
      <c r="A116" s="15">
        <f t="shared" si="1"/>
        <v>106</v>
      </c>
      <c r="B116" s="141" t="s">
        <v>287</v>
      </c>
      <c r="C116" s="64" t="s">
        <v>286</v>
      </c>
      <c r="D116" s="19"/>
      <c r="E116" s="19"/>
      <c r="F116" s="19"/>
      <c r="G116" s="64" t="s">
        <v>286</v>
      </c>
      <c r="H116" s="141"/>
      <c r="I116" s="13" t="s">
        <v>18</v>
      </c>
      <c r="J116" s="13">
        <v>1</v>
      </c>
      <c r="K116" s="11" t="s">
        <v>730</v>
      </c>
      <c r="L116" s="141" t="s">
        <v>17</v>
      </c>
      <c r="M116" s="11"/>
      <c r="N116" s="141" t="s">
        <v>2523</v>
      </c>
      <c r="O116" s="146"/>
      <c r="P116" s="141"/>
      <c r="Q116" s="43"/>
      <c r="R116" s="141" t="s">
        <v>80</v>
      </c>
    </row>
    <row r="117" spans="1:39" ht="35.25" customHeight="1">
      <c r="A117" s="15">
        <f t="shared" si="1"/>
        <v>107</v>
      </c>
      <c r="B117" s="141" t="s">
        <v>285</v>
      </c>
      <c r="C117" s="64" t="s">
        <v>284</v>
      </c>
      <c r="D117" s="19"/>
      <c r="E117" s="19"/>
      <c r="F117" s="19"/>
      <c r="G117" s="64" t="s">
        <v>284</v>
      </c>
      <c r="H117" s="141"/>
      <c r="I117" s="13" t="s">
        <v>18</v>
      </c>
      <c r="J117" s="13">
        <v>1</v>
      </c>
      <c r="K117" s="11" t="s">
        <v>730</v>
      </c>
      <c r="L117" s="141" t="s">
        <v>17</v>
      </c>
      <c r="M117" s="11"/>
      <c r="N117" s="141" t="s">
        <v>119</v>
      </c>
      <c r="O117" s="146"/>
      <c r="P117" s="43"/>
      <c r="Q117" s="43"/>
      <c r="R117" s="44" t="s">
        <v>272</v>
      </c>
    </row>
    <row r="118" spans="1:39" ht="35.25" customHeight="1">
      <c r="A118" s="15">
        <f t="shared" si="1"/>
        <v>108</v>
      </c>
      <c r="B118" s="141" t="s">
        <v>283</v>
      </c>
      <c r="C118" s="64" t="s">
        <v>282</v>
      </c>
      <c r="D118" s="19"/>
      <c r="E118" s="19"/>
      <c r="F118" s="19"/>
      <c r="G118" s="64" t="s">
        <v>282</v>
      </c>
      <c r="H118" s="141"/>
      <c r="I118" s="13" t="s">
        <v>18</v>
      </c>
      <c r="J118" s="13">
        <v>1</v>
      </c>
      <c r="K118" s="11" t="s">
        <v>730</v>
      </c>
      <c r="L118" s="141" t="s">
        <v>17</v>
      </c>
      <c r="M118" s="11"/>
      <c r="N118" s="141" t="s">
        <v>119</v>
      </c>
      <c r="O118" s="146"/>
      <c r="P118" s="43"/>
      <c r="Q118" s="43"/>
      <c r="R118" s="44" t="s">
        <v>272</v>
      </c>
    </row>
    <row r="119" spans="1:39" ht="35.25" customHeight="1">
      <c r="A119" s="15">
        <f t="shared" si="1"/>
        <v>109</v>
      </c>
      <c r="B119" s="141" t="s">
        <v>281</v>
      </c>
      <c r="C119" s="64" t="s">
        <v>278</v>
      </c>
      <c r="D119" s="19"/>
      <c r="E119" s="19"/>
      <c r="F119" s="19"/>
      <c r="G119" s="64" t="s">
        <v>278</v>
      </c>
      <c r="H119" s="141"/>
      <c r="I119" s="13" t="s">
        <v>18</v>
      </c>
      <c r="J119" s="13">
        <v>1</v>
      </c>
      <c r="K119" s="11" t="s">
        <v>730</v>
      </c>
      <c r="L119" s="141" t="s">
        <v>17</v>
      </c>
      <c r="M119" s="11"/>
      <c r="N119" s="141" t="s">
        <v>119</v>
      </c>
      <c r="O119" s="146"/>
      <c r="P119" s="43"/>
      <c r="Q119" s="43"/>
      <c r="R119" s="44" t="s">
        <v>272</v>
      </c>
    </row>
    <row r="120" spans="1:39" ht="35.25" customHeight="1">
      <c r="A120" s="15">
        <f t="shared" si="1"/>
        <v>110</v>
      </c>
      <c r="B120" s="141" t="s">
        <v>280</v>
      </c>
      <c r="C120" s="64" t="s">
        <v>278</v>
      </c>
      <c r="D120" s="19"/>
      <c r="E120" s="19"/>
      <c r="F120" s="19"/>
      <c r="G120" s="64" t="s">
        <v>278</v>
      </c>
      <c r="H120" s="141"/>
      <c r="I120" s="13" t="s">
        <v>18</v>
      </c>
      <c r="J120" s="13">
        <v>1</v>
      </c>
      <c r="K120" s="11" t="s">
        <v>730</v>
      </c>
      <c r="L120" s="141" t="s">
        <v>17</v>
      </c>
      <c r="M120" s="11"/>
      <c r="N120" s="141" t="s">
        <v>119</v>
      </c>
      <c r="O120" s="146"/>
      <c r="P120" s="43"/>
      <c r="Q120" s="43"/>
      <c r="R120" s="44" t="s">
        <v>272</v>
      </c>
    </row>
    <row r="121" spans="1:39" ht="35.25" customHeight="1">
      <c r="A121" s="15">
        <f t="shared" si="1"/>
        <v>111</v>
      </c>
      <c r="B121" s="141" t="s">
        <v>279</v>
      </c>
      <c r="C121" s="64" t="s">
        <v>278</v>
      </c>
      <c r="D121" s="19"/>
      <c r="E121" s="19"/>
      <c r="F121" s="19"/>
      <c r="G121" s="64" t="s">
        <v>278</v>
      </c>
      <c r="H121" s="141"/>
      <c r="I121" s="13" t="s">
        <v>18</v>
      </c>
      <c r="J121" s="13">
        <v>1</v>
      </c>
      <c r="K121" s="11" t="s">
        <v>730</v>
      </c>
      <c r="L121" s="141" t="s">
        <v>17</v>
      </c>
      <c r="M121" s="11"/>
      <c r="N121" s="141" t="s">
        <v>119</v>
      </c>
      <c r="O121" s="146"/>
      <c r="P121" s="43"/>
      <c r="Q121" s="43"/>
      <c r="R121" s="44" t="s">
        <v>272</v>
      </c>
    </row>
    <row r="122" spans="1:39" ht="35.25" customHeight="1">
      <c r="A122" s="15">
        <f t="shared" si="1"/>
        <v>112</v>
      </c>
      <c r="B122" s="141" t="s">
        <v>277</v>
      </c>
      <c r="C122" s="64" t="s">
        <v>276</v>
      </c>
      <c r="D122" s="19"/>
      <c r="E122" s="19"/>
      <c r="F122" s="19"/>
      <c r="G122" s="64" t="s">
        <v>276</v>
      </c>
      <c r="H122" s="141"/>
      <c r="I122" s="13" t="s">
        <v>18</v>
      </c>
      <c r="J122" s="13">
        <v>1</v>
      </c>
      <c r="K122" s="11" t="s">
        <v>730</v>
      </c>
      <c r="L122" s="141" t="s">
        <v>17</v>
      </c>
      <c r="M122" s="11"/>
      <c r="N122" s="141" t="s">
        <v>119</v>
      </c>
      <c r="O122" s="146"/>
      <c r="P122" s="43"/>
      <c r="Q122" s="43"/>
      <c r="R122" s="44" t="s">
        <v>272</v>
      </c>
    </row>
    <row r="123" spans="1:39" ht="35.25" customHeight="1">
      <c r="A123" s="15">
        <f t="shared" si="1"/>
        <v>113</v>
      </c>
      <c r="B123" s="141" t="s">
        <v>275</v>
      </c>
      <c r="C123" s="64" t="s">
        <v>273</v>
      </c>
      <c r="D123" s="19"/>
      <c r="E123" s="19"/>
      <c r="F123" s="19"/>
      <c r="G123" s="64" t="s">
        <v>273</v>
      </c>
      <c r="H123" s="141"/>
      <c r="I123" s="13" t="s">
        <v>18</v>
      </c>
      <c r="J123" s="13">
        <v>1</v>
      </c>
      <c r="K123" s="11" t="s">
        <v>730</v>
      </c>
      <c r="L123" s="141" t="s">
        <v>17</v>
      </c>
      <c r="M123" s="11"/>
      <c r="N123" s="141" t="s">
        <v>119</v>
      </c>
      <c r="O123" s="146"/>
      <c r="P123" s="43"/>
      <c r="Q123" s="43"/>
      <c r="R123" s="44" t="s">
        <v>272</v>
      </c>
    </row>
    <row r="124" spans="1:39" ht="35.25" customHeight="1">
      <c r="A124" s="15">
        <f t="shared" si="1"/>
        <v>114</v>
      </c>
      <c r="B124" s="141" t="s">
        <v>274</v>
      </c>
      <c r="C124" s="64" t="s">
        <v>273</v>
      </c>
      <c r="D124" s="19"/>
      <c r="E124" s="19"/>
      <c r="F124" s="19"/>
      <c r="G124" s="64" t="s">
        <v>273</v>
      </c>
      <c r="H124" s="141"/>
      <c r="I124" s="13" t="s">
        <v>18</v>
      </c>
      <c r="J124" s="13">
        <v>1</v>
      </c>
      <c r="K124" s="11" t="s">
        <v>730</v>
      </c>
      <c r="L124" s="141" t="s">
        <v>17</v>
      </c>
      <c r="M124" s="11"/>
      <c r="N124" s="141" t="s">
        <v>119</v>
      </c>
      <c r="O124" s="146"/>
      <c r="P124" s="43"/>
      <c r="Q124" s="43"/>
      <c r="R124" s="44" t="s">
        <v>272</v>
      </c>
    </row>
    <row r="125" spans="1:39" s="236" customFormat="1" ht="35.25" customHeight="1">
      <c r="A125" s="15">
        <f t="shared" si="1"/>
        <v>115</v>
      </c>
      <c r="B125" s="147" t="s">
        <v>271</v>
      </c>
      <c r="C125" s="200" t="s">
        <v>270</v>
      </c>
      <c r="D125" s="50"/>
      <c r="E125" s="50"/>
      <c r="F125" s="50"/>
      <c r="G125" s="200" t="s">
        <v>270</v>
      </c>
      <c r="H125" s="147"/>
      <c r="I125" s="51" t="s">
        <v>18</v>
      </c>
      <c r="J125" s="51">
        <v>1</v>
      </c>
      <c r="K125" s="50" t="s">
        <v>3219</v>
      </c>
      <c r="L125" s="147" t="s">
        <v>17</v>
      </c>
      <c r="M125" s="50"/>
      <c r="N125" s="147" t="s">
        <v>176</v>
      </c>
      <c r="O125" s="248"/>
      <c r="P125" s="147"/>
      <c r="Q125" s="147"/>
      <c r="R125" s="54" t="s">
        <v>2639</v>
      </c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 ht="35.25" customHeight="1">
      <c r="A126" s="15">
        <f t="shared" si="1"/>
        <v>116</v>
      </c>
      <c r="B126" s="141" t="s">
        <v>268</v>
      </c>
      <c r="C126" s="146" t="s">
        <v>267</v>
      </c>
      <c r="D126" s="19"/>
      <c r="E126" s="19"/>
      <c r="F126" s="19"/>
      <c r="G126" s="46"/>
      <c r="H126" s="141"/>
      <c r="I126" s="13" t="s">
        <v>18</v>
      </c>
      <c r="J126" s="13">
        <v>1</v>
      </c>
      <c r="K126" s="11" t="s">
        <v>730</v>
      </c>
      <c r="L126" s="141" t="s">
        <v>17</v>
      </c>
      <c r="M126" s="11"/>
      <c r="N126" s="141" t="s">
        <v>119</v>
      </c>
      <c r="O126" s="146"/>
      <c r="P126" s="253"/>
      <c r="Q126" s="253"/>
      <c r="R126" s="44" t="s">
        <v>272</v>
      </c>
    </row>
    <row r="127" spans="1:39" ht="35.25" customHeight="1">
      <c r="A127" s="15">
        <f t="shared" si="1"/>
        <v>117</v>
      </c>
      <c r="B127" s="146" t="s">
        <v>266</v>
      </c>
      <c r="C127" s="146" t="s">
        <v>265</v>
      </c>
      <c r="D127" s="19"/>
      <c r="E127" s="19"/>
      <c r="F127" s="19"/>
      <c r="G127" s="141" t="s">
        <v>253</v>
      </c>
      <c r="H127" s="141"/>
      <c r="I127" s="13" t="s">
        <v>18</v>
      </c>
      <c r="J127" s="13">
        <v>1</v>
      </c>
      <c r="K127" s="11" t="s">
        <v>730</v>
      </c>
      <c r="L127" s="141" t="s">
        <v>17</v>
      </c>
      <c r="M127" s="11"/>
      <c r="N127" s="141" t="s">
        <v>2523</v>
      </c>
      <c r="O127" s="146"/>
      <c r="P127" s="253"/>
      <c r="Q127" s="253"/>
      <c r="R127" s="44"/>
    </row>
    <row r="128" spans="1:39" ht="35.25" customHeight="1">
      <c r="A128" s="15">
        <f t="shared" si="1"/>
        <v>118</v>
      </c>
      <c r="B128" s="146" t="s">
        <v>264</v>
      </c>
      <c r="C128" s="146" t="s">
        <v>261</v>
      </c>
      <c r="D128" s="19"/>
      <c r="E128" s="19"/>
      <c r="F128" s="19"/>
      <c r="G128" s="141" t="s">
        <v>253</v>
      </c>
      <c r="H128" s="141"/>
      <c r="I128" s="13" t="s">
        <v>18</v>
      </c>
      <c r="J128" s="13">
        <v>1</v>
      </c>
      <c r="K128" s="11" t="s">
        <v>730</v>
      </c>
      <c r="L128" s="141" t="s">
        <v>17</v>
      </c>
      <c r="M128" s="11"/>
      <c r="N128" s="141" t="s">
        <v>2523</v>
      </c>
      <c r="O128" s="146"/>
      <c r="P128" s="253"/>
      <c r="Q128" s="253"/>
      <c r="R128" s="44"/>
    </row>
    <row r="129" spans="1:18" ht="35.25" customHeight="1">
      <c r="A129" s="15">
        <f t="shared" si="1"/>
        <v>119</v>
      </c>
      <c r="B129" s="146" t="s">
        <v>263</v>
      </c>
      <c r="C129" s="146" t="s">
        <v>261</v>
      </c>
      <c r="D129" s="19"/>
      <c r="E129" s="19"/>
      <c r="F129" s="19"/>
      <c r="G129" s="141" t="s">
        <v>253</v>
      </c>
      <c r="H129" s="141"/>
      <c r="I129" s="13" t="s">
        <v>18</v>
      </c>
      <c r="J129" s="13">
        <v>1</v>
      </c>
      <c r="K129" s="11" t="s">
        <v>730</v>
      </c>
      <c r="L129" s="141" t="s">
        <v>17</v>
      </c>
      <c r="M129" s="11"/>
      <c r="N129" s="141" t="s">
        <v>2523</v>
      </c>
      <c r="O129" s="146"/>
      <c r="P129" s="253"/>
      <c r="Q129" s="253"/>
      <c r="R129" s="44"/>
    </row>
    <row r="130" spans="1:18" ht="35.25" customHeight="1">
      <c r="A130" s="15">
        <f t="shared" si="1"/>
        <v>120</v>
      </c>
      <c r="B130" s="146" t="s">
        <v>262</v>
      </c>
      <c r="C130" s="146" t="s">
        <v>261</v>
      </c>
      <c r="D130" s="19"/>
      <c r="E130" s="19"/>
      <c r="F130" s="19"/>
      <c r="G130" s="141" t="s">
        <v>253</v>
      </c>
      <c r="H130" s="141"/>
      <c r="I130" s="13" t="s">
        <v>18</v>
      </c>
      <c r="J130" s="13">
        <v>1</v>
      </c>
      <c r="K130" s="11" t="s">
        <v>730</v>
      </c>
      <c r="L130" s="141" t="s">
        <v>17</v>
      </c>
      <c r="M130" s="11"/>
      <c r="N130" s="141" t="s">
        <v>2523</v>
      </c>
      <c r="O130" s="146"/>
      <c r="P130" s="253"/>
      <c r="Q130" s="253"/>
      <c r="R130" s="44"/>
    </row>
    <row r="131" spans="1:18" ht="35.25" customHeight="1">
      <c r="A131" s="15">
        <f t="shared" si="1"/>
        <v>121</v>
      </c>
      <c r="B131" s="146" t="s">
        <v>260</v>
      </c>
      <c r="C131" s="146" t="s">
        <v>259</v>
      </c>
      <c r="D131" s="19"/>
      <c r="E131" s="19"/>
      <c r="F131" s="19"/>
      <c r="G131" s="141" t="s">
        <v>253</v>
      </c>
      <c r="H131" s="141"/>
      <c r="I131" s="13" t="s">
        <v>18</v>
      </c>
      <c r="J131" s="13">
        <v>1</v>
      </c>
      <c r="K131" s="11" t="s">
        <v>730</v>
      </c>
      <c r="L131" s="141" t="s">
        <v>17</v>
      </c>
      <c r="M131" s="11"/>
      <c r="N131" s="141" t="s">
        <v>2523</v>
      </c>
      <c r="O131" s="146"/>
      <c r="P131" s="253"/>
      <c r="Q131" s="253"/>
      <c r="R131" s="44"/>
    </row>
    <row r="132" spans="1:18" ht="35.25" customHeight="1">
      <c r="A132" s="15">
        <f t="shared" si="1"/>
        <v>122</v>
      </c>
      <c r="B132" s="146" t="s">
        <v>258</v>
      </c>
      <c r="C132" s="146" t="s">
        <v>257</v>
      </c>
      <c r="D132" s="19"/>
      <c r="E132" s="19"/>
      <c r="F132" s="19"/>
      <c r="G132" s="141" t="s">
        <v>253</v>
      </c>
      <c r="H132" s="141"/>
      <c r="I132" s="13" t="s">
        <v>18</v>
      </c>
      <c r="J132" s="13">
        <v>1</v>
      </c>
      <c r="K132" s="11" t="s">
        <v>730</v>
      </c>
      <c r="L132" s="141" t="s">
        <v>17</v>
      </c>
      <c r="M132" s="11"/>
      <c r="N132" s="141" t="s">
        <v>2523</v>
      </c>
      <c r="O132" s="146"/>
      <c r="P132" s="253"/>
      <c r="Q132" s="253"/>
      <c r="R132" s="44"/>
    </row>
    <row r="133" spans="1:18" ht="35.25" customHeight="1">
      <c r="A133" s="15">
        <f t="shared" si="1"/>
        <v>123</v>
      </c>
      <c r="B133" s="146" t="s">
        <v>256</v>
      </c>
      <c r="C133" s="146" t="s">
        <v>254</v>
      </c>
      <c r="D133" s="19"/>
      <c r="E133" s="19"/>
      <c r="F133" s="19"/>
      <c r="G133" s="141" t="s">
        <v>253</v>
      </c>
      <c r="H133" s="141"/>
      <c r="I133" s="13" t="s">
        <v>18</v>
      </c>
      <c r="J133" s="13">
        <v>1</v>
      </c>
      <c r="K133" s="11" t="s">
        <v>730</v>
      </c>
      <c r="L133" s="141" t="s">
        <v>17</v>
      </c>
      <c r="M133" s="11"/>
      <c r="N133" s="141" t="s">
        <v>2523</v>
      </c>
      <c r="O133" s="146"/>
      <c r="P133" s="253"/>
      <c r="Q133" s="253"/>
      <c r="R133" s="44"/>
    </row>
    <row r="134" spans="1:18" ht="35.25" customHeight="1">
      <c r="A134" s="15">
        <f t="shared" si="1"/>
        <v>124</v>
      </c>
      <c r="B134" s="146" t="s">
        <v>255</v>
      </c>
      <c r="C134" s="146" t="s">
        <v>254</v>
      </c>
      <c r="D134" s="19"/>
      <c r="E134" s="19"/>
      <c r="F134" s="19"/>
      <c r="G134" s="141" t="s">
        <v>253</v>
      </c>
      <c r="H134" s="141"/>
      <c r="I134" s="13" t="s">
        <v>18</v>
      </c>
      <c r="J134" s="13">
        <v>1</v>
      </c>
      <c r="K134" s="11" t="s">
        <v>730</v>
      </c>
      <c r="L134" s="141" t="s">
        <v>17</v>
      </c>
      <c r="M134" s="11"/>
      <c r="N134" s="141" t="s">
        <v>2523</v>
      </c>
      <c r="O134" s="146"/>
      <c r="P134" s="253"/>
      <c r="Q134" s="253"/>
      <c r="R134" s="44"/>
    </row>
    <row r="135" spans="1:18" ht="35.25" customHeight="1">
      <c r="A135" s="15">
        <f t="shared" si="1"/>
        <v>125</v>
      </c>
      <c r="B135" s="146" t="s">
        <v>249</v>
      </c>
      <c r="C135" s="64" t="s">
        <v>248</v>
      </c>
      <c r="D135" s="19"/>
      <c r="E135" s="19"/>
      <c r="F135" s="19"/>
      <c r="G135" s="11" t="s">
        <v>248</v>
      </c>
      <c r="H135" s="141"/>
      <c r="I135" s="13" t="s">
        <v>18</v>
      </c>
      <c r="J135" s="13">
        <v>1</v>
      </c>
      <c r="K135" s="11" t="s">
        <v>730</v>
      </c>
      <c r="L135" s="141" t="s">
        <v>17</v>
      </c>
      <c r="M135" s="11"/>
      <c r="N135" s="141" t="s">
        <v>2523</v>
      </c>
      <c r="O135" s="146"/>
      <c r="P135" s="253"/>
      <c r="Q135" s="253"/>
      <c r="R135" s="44"/>
    </row>
    <row r="136" spans="1:18" ht="35.25" customHeight="1">
      <c r="A136" s="15">
        <f t="shared" si="1"/>
        <v>126</v>
      </c>
      <c r="B136" s="146" t="s">
        <v>247</v>
      </c>
      <c r="C136" s="64" t="s">
        <v>246</v>
      </c>
      <c r="D136" s="19"/>
      <c r="E136" s="19"/>
      <c r="F136" s="19"/>
      <c r="G136" s="11" t="s">
        <v>246</v>
      </c>
      <c r="H136" s="141"/>
      <c r="I136" s="13" t="s">
        <v>18</v>
      </c>
      <c r="J136" s="13">
        <v>1</v>
      </c>
      <c r="K136" s="11" t="s">
        <v>730</v>
      </c>
      <c r="L136" s="141" t="s">
        <v>17</v>
      </c>
      <c r="M136" s="11"/>
      <c r="N136" s="141" t="s">
        <v>2523</v>
      </c>
      <c r="O136" s="146"/>
      <c r="P136" s="253"/>
      <c r="Q136" s="253"/>
      <c r="R136" s="44" t="s">
        <v>80</v>
      </c>
    </row>
    <row r="137" spans="1:18" ht="35.25" customHeight="1">
      <c r="A137" s="15">
        <f t="shared" si="1"/>
        <v>127</v>
      </c>
      <c r="B137" s="146" t="s">
        <v>245</v>
      </c>
      <c r="C137" s="64" t="s">
        <v>244</v>
      </c>
      <c r="D137" s="19"/>
      <c r="E137" s="19"/>
      <c r="F137" s="19"/>
      <c r="G137" s="64" t="s">
        <v>244</v>
      </c>
      <c r="H137" s="141"/>
      <c r="I137" s="13" t="s">
        <v>18</v>
      </c>
      <c r="J137" s="13">
        <v>1</v>
      </c>
      <c r="K137" s="11" t="s">
        <v>730</v>
      </c>
      <c r="L137" s="141" t="s">
        <v>17</v>
      </c>
      <c r="M137" s="11"/>
      <c r="N137" s="141" t="s">
        <v>2523</v>
      </c>
      <c r="O137" s="146"/>
      <c r="P137" s="43"/>
      <c r="Q137" s="43"/>
      <c r="R137" s="44" t="s">
        <v>88</v>
      </c>
    </row>
    <row r="138" spans="1:18" ht="35.25" customHeight="1">
      <c r="A138" s="15">
        <f t="shared" si="1"/>
        <v>128</v>
      </c>
      <c r="B138" s="146" t="s">
        <v>243</v>
      </c>
      <c r="C138" s="64" t="s">
        <v>242</v>
      </c>
      <c r="D138" s="19"/>
      <c r="E138" s="19"/>
      <c r="F138" s="19"/>
      <c r="G138" s="64" t="s">
        <v>242</v>
      </c>
      <c r="H138" s="141"/>
      <c r="I138" s="13" t="s">
        <v>18</v>
      </c>
      <c r="J138" s="13">
        <v>1</v>
      </c>
      <c r="K138" s="11" t="s">
        <v>730</v>
      </c>
      <c r="L138" s="141" t="s">
        <v>17</v>
      </c>
      <c r="M138" s="11"/>
      <c r="N138" s="141" t="s">
        <v>2523</v>
      </c>
      <c r="O138" s="146"/>
      <c r="P138" s="43"/>
      <c r="Q138" s="43"/>
      <c r="R138" s="44"/>
    </row>
    <row r="139" spans="1:18" ht="35.25" customHeight="1">
      <c r="A139" s="15">
        <f t="shared" si="1"/>
        <v>129</v>
      </c>
      <c r="B139" s="146" t="s">
        <v>241</v>
      </c>
      <c r="C139" s="64" t="s">
        <v>240</v>
      </c>
      <c r="D139" s="19"/>
      <c r="E139" s="19"/>
      <c r="F139" s="19"/>
      <c r="G139" s="64" t="s">
        <v>240</v>
      </c>
      <c r="H139" s="141"/>
      <c r="I139" s="13" t="s">
        <v>18</v>
      </c>
      <c r="J139" s="13">
        <v>1</v>
      </c>
      <c r="K139" s="11" t="s">
        <v>730</v>
      </c>
      <c r="L139" s="141" t="s">
        <v>17</v>
      </c>
      <c r="M139" s="11"/>
      <c r="N139" s="141" t="s">
        <v>2523</v>
      </c>
      <c r="O139" s="146"/>
      <c r="P139" s="43"/>
      <c r="Q139" s="43"/>
      <c r="R139" s="44" t="s">
        <v>80</v>
      </c>
    </row>
    <row r="140" spans="1:18" ht="35.25" customHeight="1">
      <c r="A140" s="15">
        <f t="shared" si="1"/>
        <v>130</v>
      </c>
      <c r="B140" s="146" t="s">
        <v>855</v>
      </c>
      <c r="C140" s="64" t="s">
        <v>856</v>
      </c>
      <c r="D140" s="19"/>
      <c r="E140" s="19"/>
      <c r="F140" s="19"/>
      <c r="G140" s="64" t="s">
        <v>856</v>
      </c>
      <c r="H140" s="141"/>
      <c r="I140" s="13" t="s">
        <v>18</v>
      </c>
      <c r="J140" s="13">
        <v>1</v>
      </c>
      <c r="K140" s="11" t="s">
        <v>730</v>
      </c>
      <c r="L140" s="141" t="s">
        <v>17</v>
      </c>
      <c r="M140" s="11"/>
      <c r="N140" s="141" t="s">
        <v>2523</v>
      </c>
      <c r="O140" s="260">
        <v>44967</v>
      </c>
      <c r="P140" s="43"/>
      <c r="Q140" s="43"/>
      <c r="R140" s="44" t="s">
        <v>80</v>
      </c>
    </row>
    <row r="141" spans="1:18" ht="35.25" customHeight="1">
      <c r="A141" s="15">
        <f t="shared" ref="A141:A204" si="2">A140+1</f>
        <v>131</v>
      </c>
      <c r="B141" s="146" t="s">
        <v>232</v>
      </c>
      <c r="C141" s="64" t="s">
        <v>231</v>
      </c>
      <c r="D141" s="19"/>
      <c r="E141" s="19"/>
      <c r="F141" s="19"/>
      <c r="G141" s="64" t="s">
        <v>231</v>
      </c>
      <c r="H141" s="141"/>
      <c r="I141" s="13" t="s">
        <v>18</v>
      </c>
      <c r="J141" s="13">
        <v>1</v>
      </c>
      <c r="K141" s="11" t="s">
        <v>730</v>
      </c>
      <c r="L141" s="141" t="s">
        <v>17</v>
      </c>
      <c r="M141" s="11"/>
      <c r="N141" s="141" t="s">
        <v>2523</v>
      </c>
      <c r="O141" s="146"/>
      <c r="P141" s="43"/>
      <c r="Q141" s="43"/>
      <c r="R141" s="44" t="s">
        <v>2640</v>
      </c>
    </row>
    <row r="142" spans="1:18" ht="35.25" customHeight="1">
      <c r="A142" s="15">
        <f t="shared" si="2"/>
        <v>132</v>
      </c>
      <c r="B142" s="141" t="s">
        <v>226</v>
      </c>
      <c r="C142" s="146" t="s">
        <v>46</v>
      </c>
      <c r="D142" s="19"/>
      <c r="E142" s="19"/>
      <c r="F142" s="19"/>
      <c r="G142" s="141" t="s">
        <v>46</v>
      </c>
      <c r="H142" s="141"/>
      <c r="I142" s="13" t="s">
        <v>169</v>
      </c>
      <c r="J142" s="13">
        <v>1</v>
      </c>
      <c r="K142" s="11" t="s">
        <v>730</v>
      </c>
      <c r="L142" s="141" t="s">
        <v>17</v>
      </c>
      <c r="M142" s="11"/>
      <c r="N142" s="141" t="s">
        <v>119</v>
      </c>
      <c r="O142" s="146"/>
      <c r="P142" s="43"/>
      <c r="Q142" s="43"/>
      <c r="R142" s="44" t="s">
        <v>272</v>
      </c>
    </row>
    <row r="143" spans="1:18" ht="35.25" customHeight="1">
      <c r="A143" s="15">
        <f t="shared" si="2"/>
        <v>133</v>
      </c>
      <c r="B143" s="141" t="s">
        <v>225</v>
      </c>
      <c r="C143" s="146" t="s">
        <v>46</v>
      </c>
      <c r="D143" s="19"/>
      <c r="E143" s="19"/>
      <c r="F143" s="19"/>
      <c r="G143" s="141" t="s">
        <v>46</v>
      </c>
      <c r="H143" s="141"/>
      <c r="I143" s="13" t="s">
        <v>169</v>
      </c>
      <c r="J143" s="13">
        <v>1</v>
      </c>
      <c r="K143" s="11" t="s">
        <v>730</v>
      </c>
      <c r="L143" s="141" t="s">
        <v>17</v>
      </c>
      <c r="M143" s="11"/>
      <c r="N143" s="141" t="s">
        <v>119</v>
      </c>
      <c r="O143" s="146"/>
      <c r="P143" s="43"/>
      <c r="Q143" s="43"/>
      <c r="R143" s="44" t="s">
        <v>272</v>
      </c>
    </row>
    <row r="144" spans="1:18" ht="35.25" customHeight="1">
      <c r="A144" s="15">
        <f t="shared" si="2"/>
        <v>134</v>
      </c>
      <c r="B144" s="141" t="s">
        <v>224</v>
      </c>
      <c r="C144" s="64" t="s">
        <v>46</v>
      </c>
      <c r="D144" s="19"/>
      <c r="E144" s="19"/>
      <c r="F144" s="19"/>
      <c r="G144" s="64" t="s">
        <v>46</v>
      </c>
      <c r="H144" s="141"/>
      <c r="I144" s="13" t="s">
        <v>169</v>
      </c>
      <c r="J144" s="13">
        <v>1</v>
      </c>
      <c r="K144" s="11" t="s">
        <v>730</v>
      </c>
      <c r="L144" s="141" t="s">
        <v>17</v>
      </c>
      <c r="M144" s="276" t="s">
        <v>3280</v>
      </c>
      <c r="N144" s="141" t="s">
        <v>222</v>
      </c>
      <c r="O144" s="146"/>
      <c r="P144" s="43"/>
      <c r="Q144" s="43"/>
      <c r="R144" s="44"/>
    </row>
    <row r="145" spans="1:18" ht="35.25" customHeight="1">
      <c r="A145" s="15">
        <f t="shared" si="2"/>
        <v>135</v>
      </c>
      <c r="B145" s="141" t="s">
        <v>223</v>
      </c>
      <c r="C145" s="64" t="s">
        <v>46</v>
      </c>
      <c r="D145" s="19"/>
      <c r="E145" s="19"/>
      <c r="F145" s="19"/>
      <c r="G145" s="64" t="s">
        <v>46</v>
      </c>
      <c r="H145" s="141"/>
      <c r="I145" s="13" t="s">
        <v>169</v>
      </c>
      <c r="J145" s="13">
        <v>1</v>
      </c>
      <c r="K145" s="11" t="s">
        <v>730</v>
      </c>
      <c r="L145" s="141" t="s">
        <v>17</v>
      </c>
      <c r="M145" s="276" t="s">
        <v>3280</v>
      </c>
      <c r="N145" s="141" t="s">
        <v>222</v>
      </c>
      <c r="O145" s="146"/>
      <c r="P145" s="43"/>
      <c r="Q145" s="43"/>
      <c r="R145" s="44"/>
    </row>
    <row r="146" spans="1:18" ht="35.25" customHeight="1">
      <c r="A146" s="15">
        <f t="shared" si="2"/>
        <v>136</v>
      </c>
      <c r="B146" s="141" t="s">
        <v>221</v>
      </c>
      <c r="C146" s="64" t="s">
        <v>218</v>
      </c>
      <c r="D146" s="19"/>
      <c r="E146" s="19"/>
      <c r="F146" s="19"/>
      <c r="G146" s="64" t="s">
        <v>218</v>
      </c>
      <c r="H146" s="141"/>
      <c r="I146" s="13" t="s">
        <v>18</v>
      </c>
      <c r="J146" s="13">
        <v>1</v>
      </c>
      <c r="K146" s="11" t="s">
        <v>730</v>
      </c>
      <c r="L146" s="141" t="s">
        <v>17</v>
      </c>
      <c r="M146" s="11"/>
      <c r="N146" s="141" t="s">
        <v>220</v>
      </c>
      <c r="O146" s="146"/>
      <c r="P146" s="43"/>
      <c r="Q146" s="43"/>
      <c r="R146" s="44"/>
    </row>
    <row r="147" spans="1:18" ht="35.25" customHeight="1">
      <c r="A147" s="15">
        <f t="shared" si="2"/>
        <v>137</v>
      </c>
      <c r="B147" s="141" t="s">
        <v>219</v>
      </c>
      <c r="C147" s="64" t="s">
        <v>218</v>
      </c>
      <c r="D147" s="19"/>
      <c r="E147" s="19"/>
      <c r="F147" s="19"/>
      <c r="G147" s="64" t="s">
        <v>218</v>
      </c>
      <c r="H147" s="141"/>
      <c r="I147" s="13" t="s">
        <v>18</v>
      </c>
      <c r="J147" s="13">
        <v>1</v>
      </c>
      <c r="K147" s="11" t="s">
        <v>730</v>
      </c>
      <c r="L147" s="141" t="s">
        <v>17</v>
      </c>
      <c r="M147" s="276" t="s">
        <v>3283</v>
      </c>
      <c r="N147" s="141" t="s">
        <v>217</v>
      </c>
      <c r="O147" s="146"/>
      <c r="P147" s="43"/>
      <c r="Q147" s="43"/>
      <c r="R147" s="44"/>
    </row>
    <row r="148" spans="1:18" ht="35.25" customHeight="1">
      <c r="A148" s="15">
        <f t="shared" si="2"/>
        <v>138</v>
      </c>
      <c r="B148" s="141" t="s">
        <v>216</v>
      </c>
      <c r="C148" s="146" t="s">
        <v>215</v>
      </c>
      <c r="D148" s="19"/>
      <c r="E148" s="19"/>
      <c r="F148" s="19"/>
      <c r="G148" s="146" t="s">
        <v>214</v>
      </c>
      <c r="H148" s="141"/>
      <c r="I148" s="13" t="s">
        <v>18</v>
      </c>
      <c r="J148" s="13">
        <v>1</v>
      </c>
      <c r="K148" s="11" t="s">
        <v>730</v>
      </c>
      <c r="L148" s="141" t="s">
        <v>17</v>
      </c>
      <c r="M148" s="11"/>
      <c r="N148" s="141" t="s">
        <v>213</v>
      </c>
      <c r="O148" s="146"/>
      <c r="P148" s="43"/>
      <c r="Q148" s="43"/>
      <c r="R148" s="44"/>
    </row>
    <row r="149" spans="1:18" ht="35.25" customHeight="1">
      <c r="A149" s="15">
        <f t="shared" si="2"/>
        <v>139</v>
      </c>
      <c r="B149" s="141" t="s">
        <v>212</v>
      </c>
      <c r="C149" s="64" t="s">
        <v>154</v>
      </c>
      <c r="D149" s="19"/>
      <c r="E149" s="19"/>
      <c r="F149" s="19"/>
      <c r="G149" s="11" t="s">
        <v>154</v>
      </c>
      <c r="H149" s="141"/>
      <c r="I149" s="13" t="s">
        <v>18</v>
      </c>
      <c r="J149" s="13">
        <v>1</v>
      </c>
      <c r="K149" s="11" t="s">
        <v>730</v>
      </c>
      <c r="L149" s="141" t="s">
        <v>17</v>
      </c>
      <c r="M149" s="11"/>
      <c r="N149" s="141" t="s">
        <v>119</v>
      </c>
      <c r="O149" s="146"/>
      <c r="P149" s="43"/>
      <c r="Q149" s="43"/>
      <c r="R149" s="44"/>
    </row>
    <row r="150" spans="1:18" ht="35.25" customHeight="1">
      <c r="A150" s="15">
        <f t="shared" si="2"/>
        <v>140</v>
      </c>
      <c r="B150" s="141" t="s">
        <v>211</v>
      </c>
      <c r="C150" s="64" t="s">
        <v>154</v>
      </c>
      <c r="D150" s="19"/>
      <c r="E150" s="19"/>
      <c r="F150" s="19"/>
      <c r="G150" s="11" t="s">
        <v>154</v>
      </c>
      <c r="H150" s="141"/>
      <c r="I150" s="13" t="s">
        <v>18</v>
      </c>
      <c r="J150" s="13">
        <v>1</v>
      </c>
      <c r="K150" s="11" t="s">
        <v>730</v>
      </c>
      <c r="L150" s="141" t="s">
        <v>17</v>
      </c>
      <c r="M150" s="11"/>
      <c r="N150" s="141" t="s">
        <v>119</v>
      </c>
      <c r="O150" s="146"/>
      <c r="P150" s="43"/>
      <c r="Q150" s="43"/>
      <c r="R150" s="44"/>
    </row>
    <row r="151" spans="1:18" ht="35.25" customHeight="1">
      <c r="A151" s="15">
        <f t="shared" si="2"/>
        <v>141</v>
      </c>
      <c r="B151" s="141" t="s">
        <v>210</v>
      </c>
      <c r="C151" s="64" t="s">
        <v>154</v>
      </c>
      <c r="D151" s="19"/>
      <c r="E151" s="19"/>
      <c r="F151" s="19"/>
      <c r="G151" s="11" t="s">
        <v>154</v>
      </c>
      <c r="H151" s="141"/>
      <c r="I151" s="13" t="s">
        <v>18</v>
      </c>
      <c r="J151" s="13">
        <v>1</v>
      </c>
      <c r="K151" s="11" t="s">
        <v>730</v>
      </c>
      <c r="L151" s="141" t="s">
        <v>17</v>
      </c>
      <c r="M151" s="11"/>
      <c r="N151" s="141" t="s">
        <v>119</v>
      </c>
      <c r="O151" s="146"/>
      <c r="P151" s="43"/>
      <c r="Q151" s="43"/>
      <c r="R151" s="44"/>
    </row>
    <row r="152" spans="1:18" ht="35.25" customHeight="1">
      <c r="A152" s="15">
        <f t="shared" si="2"/>
        <v>142</v>
      </c>
      <c r="B152" s="141" t="s">
        <v>207</v>
      </c>
      <c r="C152" s="64" t="s">
        <v>205</v>
      </c>
      <c r="D152" s="19"/>
      <c r="E152" s="19"/>
      <c r="F152" s="19"/>
      <c r="G152" s="64" t="s">
        <v>205</v>
      </c>
      <c r="H152" s="141"/>
      <c r="I152" s="13" t="s">
        <v>18</v>
      </c>
      <c r="J152" s="13">
        <v>1</v>
      </c>
      <c r="K152" s="11" t="s">
        <v>730</v>
      </c>
      <c r="L152" s="141" t="s">
        <v>17</v>
      </c>
      <c r="M152" s="276" t="s">
        <v>3281</v>
      </c>
      <c r="N152" s="141" t="s">
        <v>117</v>
      </c>
      <c r="O152" s="146"/>
      <c r="P152" s="43"/>
      <c r="Q152" s="43"/>
      <c r="R152" s="35"/>
    </row>
    <row r="153" spans="1:18" ht="35.25" customHeight="1">
      <c r="A153" s="15">
        <f t="shared" si="2"/>
        <v>143</v>
      </c>
      <c r="B153" s="141" t="s">
        <v>206</v>
      </c>
      <c r="C153" s="64" t="s">
        <v>205</v>
      </c>
      <c r="D153" s="19"/>
      <c r="E153" s="19"/>
      <c r="F153" s="19"/>
      <c r="G153" s="64" t="s">
        <v>205</v>
      </c>
      <c r="H153" s="141"/>
      <c r="I153" s="13" t="s">
        <v>18</v>
      </c>
      <c r="J153" s="13">
        <v>1</v>
      </c>
      <c r="K153" s="11" t="s">
        <v>730</v>
      </c>
      <c r="L153" s="141" t="s">
        <v>17</v>
      </c>
      <c r="M153" s="276" t="s">
        <v>3281</v>
      </c>
      <c r="N153" s="141" t="s">
        <v>117</v>
      </c>
      <c r="O153" s="146"/>
      <c r="P153" s="43"/>
      <c r="Q153" s="43"/>
      <c r="R153" s="35"/>
    </row>
    <row r="154" spans="1:18" ht="35.25" customHeight="1">
      <c r="A154" s="15">
        <f t="shared" si="2"/>
        <v>144</v>
      </c>
      <c r="B154" s="141" t="s">
        <v>204</v>
      </c>
      <c r="C154" s="64" t="s">
        <v>93</v>
      </c>
      <c r="D154" s="19"/>
      <c r="E154" s="19"/>
      <c r="F154" s="19"/>
      <c r="G154" s="64" t="s">
        <v>93</v>
      </c>
      <c r="H154" s="141"/>
      <c r="I154" s="13" t="s">
        <v>18</v>
      </c>
      <c r="J154" s="13">
        <v>1</v>
      </c>
      <c r="K154" s="11" t="s">
        <v>730</v>
      </c>
      <c r="L154" s="141" t="s">
        <v>17</v>
      </c>
      <c r="M154" s="276" t="s">
        <v>3281</v>
      </c>
      <c r="N154" s="141" t="s">
        <v>117</v>
      </c>
      <c r="O154" s="146"/>
      <c r="P154" s="43"/>
      <c r="Q154" s="43"/>
      <c r="R154" s="35"/>
    </row>
    <row r="155" spans="1:18" ht="35.25" customHeight="1">
      <c r="A155" s="15">
        <f t="shared" si="2"/>
        <v>145</v>
      </c>
      <c r="B155" s="141" t="s">
        <v>200</v>
      </c>
      <c r="C155" s="64" t="s">
        <v>199</v>
      </c>
      <c r="D155" s="169"/>
      <c r="E155" s="169"/>
      <c r="F155" s="169"/>
      <c r="G155" s="64" t="s">
        <v>199</v>
      </c>
      <c r="H155" s="141"/>
      <c r="I155" s="13" t="s">
        <v>18</v>
      </c>
      <c r="J155" s="13">
        <v>1</v>
      </c>
      <c r="K155" s="11" t="s">
        <v>730</v>
      </c>
      <c r="L155" s="141" t="s">
        <v>17</v>
      </c>
      <c r="M155" s="11"/>
      <c r="N155" s="141" t="s">
        <v>119</v>
      </c>
      <c r="O155" s="146"/>
      <c r="P155" s="43"/>
      <c r="Q155" s="43"/>
      <c r="R155" s="35" t="s">
        <v>272</v>
      </c>
    </row>
    <row r="156" spans="1:18" ht="35.25" customHeight="1">
      <c r="A156" s="15">
        <f t="shared" si="2"/>
        <v>146</v>
      </c>
      <c r="B156" s="141" t="s">
        <v>198</v>
      </c>
      <c r="C156" s="64" t="s">
        <v>197</v>
      </c>
      <c r="D156" s="169"/>
      <c r="E156" s="169"/>
      <c r="F156" s="169"/>
      <c r="G156" s="64" t="s">
        <v>197</v>
      </c>
      <c r="H156" s="141"/>
      <c r="I156" s="13" t="s">
        <v>18</v>
      </c>
      <c r="J156" s="13">
        <v>1</v>
      </c>
      <c r="K156" s="11" t="s">
        <v>730</v>
      </c>
      <c r="L156" s="141" t="s">
        <v>17</v>
      </c>
      <c r="M156" s="11"/>
      <c r="N156" s="141" t="s">
        <v>119</v>
      </c>
      <c r="O156" s="146"/>
      <c r="P156" s="43"/>
      <c r="Q156" s="43"/>
      <c r="R156" s="35" t="s">
        <v>272</v>
      </c>
    </row>
    <row r="157" spans="1:18" ht="35.25" customHeight="1">
      <c r="A157" s="15">
        <f t="shared" si="2"/>
        <v>147</v>
      </c>
      <c r="B157" s="141" t="s">
        <v>196</v>
      </c>
      <c r="C157" s="64" t="s">
        <v>195</v>
      </c>
      <c r="D157" s="169"/>
      <c r="E157" s="169"/>
      <c r="F157" s="169"/>
      <c r="G157" s="64" t="s">
        <v>195</v>
      </c>
      <c r="H157" s="141"/>
      <c r="I157" s="13" t="s">
        <v>18</v>
      </c>
      <c r="J157" s="13">
        <v>1</v>
      </c>
      <c r="K157" s="11" t="s">
        <v>730</v>
      </c>
      <c r="L157" s="141" t="s">
        <v>17</v>
      </c>
      <c r="M157" s="11"/>
      <c r="N157" s="141" t="s">
        <v>119</v>
      </c>
      <c r="O157" s="146"/>
      <c r="P157" s="43"/>
      <c r="Q157" s="43"/>
      <c r="R157" s="35" t="s">
        <v>272</v>
      </c>
    </row>
    <row r="158" spans="1:18" ht="35.25" customHeight="1">
      <c r="A158" s="15">
        <f t="shared" si="2"/>
        <v>148</v>
      </c>
      <c r="B158" s="141" t="s">
        <v>194</v>
      </c>
      <c r="C158" s="64" t="s">
        <v>192</v>
      </c>
      <c r="D158" s="169"/>
      <c r="E158" s="169"/>
      <c r="F158" s="169"/>
      <c r="G158" s="64" t="s">
        <v>192</v>
      </c>
      <c r="H158" s="141"/>
      <c r="I158" s="13" t="s">
        <v>18</v>
      </c>
      <c r="J158" s="13">
        <v>1</v>
      </c>
      <c r="K158" s="11" t="s">
        <v>730</v>
      </c>
      <c r="L158" s="141" t="s">
        <v>17</v>
      </c>
      <c r="M158" s="11"/>
      <c r="N158" s="141" t="s">
        <v>119</v>
      </c>
      <c r="O158" s="146"/>
      <c r="P158" s="43"/>
      <c r="Q158" s="43"/>
      <c r="R158" s="35" t="s">
        <v>272</v>
      </c>
    </row>
    <row r="159" spans="1:18" ht="35.25" customHeight="1">
      <c r="A159" s="15">
        <f t="shared" si="2"/>
        <v>149</v>
      </c>
      <c r="B159" s="141" t="s">
        <v>190</v>
      </c>
      <c r="C159" s="64" t="s">
        <v>187</v>
      </c>
      <c r="D159" s="169"/>
      <c r="E159" s="169"/>
      <c r="F159" s="169"/>
      <c r="G159" s="64" t="s">
        <v>186</v>
      </c>
      <c r="H159" s="141"/>
      <c r="I159" s="13" t="s">
        <v>76</v>
      </c>
      <c r="J159" s="13">
        <v>1</v>
      </c>
      <c r="K159" s="11" t="s">
        <v>730</v>
      </c>
      <c r="L159" s="141" t="s">
        <v>17</v>
      </c>
      <c r="M159" s="11"/>
      <c r="N159" s="141" t="s">
        <v>119</v>
      </c>
      <c r="O159" s="146"/>
      <c r="P159" s="43"/>
      <c r="Q159" s="43"/>
      <c r="R159" s="35" t="s">
        <v>272</v>
      </c>
    </row>
    <row r="160" spans="1:18" ht="35.25" customHeight="1">
      <c r="A160" s="15">
        <f t="shared" si="2"/>
        <v>150</v>
      </c>
      <c r="B160" s="141" t="s">
        <v>189</v>
      </c>
      <c r="C160" s="64" t="s">
        <v>187</v>
      </c>
      <c r="D160" s="145"/>
      <c r="E160" s="145"/>
      <c r="F160" s="145"/>
      <c r="G160" s="64" t="s">
        <v>186</v>
      </c>
      <c r="H160" s="141"/>
      <c r="I160" s="13" t="s">
        <v>76</v>
      </c>
      <c r="J160" s="13">
        <v>1</v>
      </c>
      <c r="K160" s="11" t="s">
        <v>730</v>
      </c>
      <c r="L160" s="141" t="s">
        <v>17</v>
      </c>
      <c r="M160" s="11"/>
      <c r="N160" s="141" t="s">
        <v>119</v>
      </c>
      <c r="O160" s="146"/>
      <c r="P160" s="43"/>
      <c r="Q160" s="43"/>
      <c r="R160" s="35" t="s">
        <v>272</v>
      </c>
    </row>
    <row r="161" spans="1:39" ht="35.25" customHeight="1">
      <c r="A161" s="15">
        <f t="shared" si="2"/>
        <v>151</v>
      </c>
      <c r="B161" s="141" t="s">
        <v>188</v>
      </c>
      <c r="C161" s="64" t="s">
        <v>187</v>
      </c>
      <c r="D161" s="145"/>
      <c r="E161" s="145"/>
      <c r="F161" s="145"/>
      <c r="G161" s="64" t="s">
        <v>186</v>
      </c>
      <c r="H161" s="141"/>
      <c r="I161" s="13" t="s">
        <v>76</v>
      </c>
      <c r="J161" s="13">
        <v>1</v>
      </c>
      <c r="K161" s="11" t="s">
        <v>730</v>
      </c>
      <c r="L161" s="141" t="s">
        <v>17</v>
      </c>
      <c r="M161" s="11"/>
      <c r="N161" s="141" t="s">
        <v>119</v>
      </c>
      <c r="O161" s="146"/>
      <c r="P161" s="43"/>
      <c r="Q161" s="43"/>
      <c r="R161" s="35" t="s">
        <v>272</v>
      </c>
    </row>
    <row r="162" spans="1:39" ht="35.25" customHeight="1">
      <c r="A162" s="15">
        <f t="shared" si="2"/>
        <v>152</v>
      </c>
      <c r="B162" s="141" t="s">
        <v>185</v>
      </c>
      <c r="C162" s="64" t="s">
        <v>184</v>
      </c>
      <c r="D162" s="145"/>
      <c r="E162" s="145"/>
      <c r="F162" s="145"/>
      <c r="G162" s="64" t="s">
        <v>184</v>
      </c>
      <c r="H162" s="141"/>
      <c r="I162" s="13" t="s">
        <v>18</v>
      </c>
      <c r="J162" s="13">
        <v>2</v>
      </c>
      <c r="K162" s="11" t="s">
        <v>730</v>
      </c>
      <c r="L162" s="141" t="s">
        <v>17</v>
      </c>
      <c r="M162" s="11"/>
      <c r="N162" s="141" t="s">
        <v>119</v>
      </c>
      <c r="O162" s="146"/>
      <c r="P162" s="43"/>
      <c r="Q162" s="43"/>
      <c r="R162" s="35" t="s">
        <v>272</v>
      </c>
    </row>
    <row r="163" spans="1:39" s="236" customFormat="1" ht="35.25" customHeight="1">
      <c r="A163" s="15">
        <f t="shared" si="2"/>
        <v>153</v>
      </c>
      <c r="B163" s="147" t="s">
        <v>183</v>
      </c>
      <c r="C163" s="200" t="s">
        <v>182</v>
      </c>
      <c r="D163" s="165"/>
      <c r="E163" s="165"/>
      <c r="F163" s="165"/>
      <c r="G163" s="200" t="s">
        <v>182</v>
      </c>
      <c r="H163" s="147"/>
      <c r="I163" s="51" t="s">
        <v>181</v>
      </c>
      <c r="J163" s="51">
        <v>1</v>
      </c>
      <c r="K163" s="50" t="s">
        <v>3219</v>
      </c>
      <c r="L163" s="147" t="s">
        <v>17</v>
      </c>
      <c r="M163" s="50"/>
      <c r="N163" s="54" t="s">
        <v>176</v>
      </c>
      <c r="O163" s="248"/>
      <c r="P163" s="147"/>
      <c r="Q163" s="147"/>
      <c r="R163" s="54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 s="236" customFormat="1" ht="35.25" customHeight="1">
      <c r="A164" s="15">
        <f t="shared" si="2"/>
        <v>154</v>
      </c>
      <c r="B164" s="147" t="s">
        <v>180</v>
      </c>
      <c r="C164" s="200" t="s">
        <v>179</v>
      </c>
      <c r="D164" s="50"/>
      <c r="E164" s="50"/>
      <c r="F164" s="50"/>
      <c r="G164" s="50" t="s">
        <v>179</v>
      </c>
      <c r="H164" s="147"/>
      <c r="I164" s="51" t="s">
        <v>18</v>
      </c>
      <c r="J164" s="51">
        <v>1</v>
      </c>
      <c r="K164" s="50" t="s">
        <v>3219</v>
      </c>
      <c r="L164" s="147" t="s">
        <v>17</v>
      </c>
      <c r="M164" s="50"/>
      <c r="N164" s="54" t="s">
        <v>176</v>
      </c>
      <c r="O164" s="248"/>
      <c r="P164" s="147"/>
      <c r="Q164" s="147"/>
      <c r="R164" s="5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 s="236" customFormat="1" ht="35.25" customHeight="1">
      <c r="A165" s="15">
        <f t="shared" si="2"/>
        <v>155</v>
      </c>
      <c r="B165" s="164" t="s">
        <v>178</v>
      </c>
      <c r="C165" s="170" t="s">
        <v>177</v>
      </c>
      <c r="D165" s="50"/>
      <c r="E165" s="50"/>
      <c r="F165" s="50"/>
      <c r="G165" s="170"/>
      <c r="H165" s="147"/>
      <c r="I165" s="51" t="s">
        <v>18</v>
      </c>
      <c r="J165" s="51">
        <v>1</v>
      </c>
      <c r="K165" s="50" t="s">
        <v>3219</v>
      </c>
      <c r="L165" s="147" t="s">
        <v>17</v>
      </c>
      <c r="M165" s="50"/>
      <c r="N165" s="54" t="s">
        <v>176</v>
      </c>
      <c r="O165" s="248"/>
      <c r="P165" s="147"/>
      <c r="Q165" s="147"/>
      <c r="R165" s="54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 ht="35.25" customHeight="1">
      <c r="A166" s="15">
        <f t="shared" si="2"/>
        <v>156</v>
      </c>
      <c r="B166" s="141" t="s">
        <v>175</v>
      </c>
      <c r="C166" s="146" t="s">
        <v>174</v>
      </c>
      <c r="D166" s="169"/>
      <c r="E166" s="169"/>
      <c r="F166" s="169"/>
      <c r="G166" s="141" t="s">
        <v>174</v>
      </c>
      <c r="H166" s="141"/>
      <c r="I166" s="13" t="s">
        <v>18</v>
      </c>
      <c r="J166" s="13">
        <v>1</v>
      </c>
      <c r="K166" s="11" t="s">
        <v>730</v>
      </c>
      <c r="L166" s="141" t="s">
        <v>17</v>
      </c>
      <c r="M166" s="11"/>
      <c r="N166" s="141" t="s">
        <v>2523</v>
      </c>
      <c r="O166" s="146"/>
      <c r="P166" s="43"/>
      <c r="Q166" s="43"/>
      <c r="R166" s="35"/>
    </row>
    <row r="167" spans="1:39" ht="35.25" customHeight="1">
      <c r="A167" s="15">
        <f t="shared" si="2"/>
        <v>157</v>
      </c>
      <c r="B167" s="141" t="s">
        <v>168</v>
      </c>
      <c r="C167" s="146" t="s">
        <v>167</v>
      </c>
      <c r="D167" s="169"/>
      <c r="E167" s="169"/>
      <c r="F167" s="169"/>
      <c r="G167" s="146" t="s">
        <v>167</v>
      </c>
      <c r="H167" s="141"/>
      <c r="I167" s="13" t="s">
        <v>18</v>
      </c>
      <c r="J167" s="13">
        <v>1</v>
      </c>
      <c r="K167" s="11" t="s">
        <v>730</v>
      </c>
      <c r="L167" s="141" t="s">
        <v>17</v>
      </c>
      <c r="M167" s="11"/>
      <c r="N167" s="141" t="s">
        <v>119</v>
      </c>
      <c r="O167" s="146"/>
      <c r="P167" s="43"/>
      <c r="Q167" s="43"/>
      <c r="R167" s="35" t="s">
        <v>272</v>
      </c>
    </row>
    <row r="168" spans="1:39" ht="35.25" customHeight="1">
      <c r="A168" s="15">
        <f t="shared" si="2"/>
        <v>158</v>
      </c>
      <c r="B168" s="141" t="s">
        <v>166</v>
      </c>
      <c r="C168" s="146" t="s">
        <v>165</v>
      </c>
      <c r="D168" s="169"/>
      <c r="E168" s="169"/>
      <c r="F168" s="169"/>
      <c r="G168" s="146" t="s">
        <v>164</v>
      </c>
      <c r="H168" s="141"/>
      <c r="I168" s="13" t="s">
        <v>18</v>
      </c>
      <c r="J168" s="13">
        <v>1</v>
      </c>
      <c r="K168" s="11" t="s">
        <v>730</v>
      </c>
      <c r="L168" s="141" t="s">
        <v>17</v>
      </c>
      <c r="M168" s="11"/>
      <c r="N168" s="141" t="s">
        <v>119</v>
      </c>
      <c r="O168" s="146"/>
      <c r="P168" s="43"/>
      <c r="Q168" s="43"/>
      <c r="R168" s="35" t="s">
        <v>272</v>
      </c>
    </row>
    <row r="169" spans="1:39" ht="35.25" customHeight="1">
      <c r="A169" s="15">
        <f t="shared" si="2"/>
        <v>159</v>
      </c>
      <c r="B169" s="141" t="s">
        <v>163</v>
      </c>
      <c r="C169" s="146" t="s">
        <v>162</v>
      </c>
      <c r="D169" s="169"/>
      <c r="E169" s="169"/>
      <c r="F169" s="169"/>
      <c r="G169" s="146" t="s">
        <v>162</v>
      </c>
      <c r="H169" s="141"/>
      <c r="I169" s="13" t="s">
        <v>18</v>
      </c>
      <c r="J169" s="13">
        <v>1</v>
      </c>
      <c r="K169" s="11" t="s">
        <v>730</v>
      </c>
      <c r="L169" s="141" t="s">
        <v>17</v>
      </c>
      <c r="M169" s="11"/>
      <c r="N169" s="141" t="s">
        <v>119</v>
      </c>
      <c r="O169" s="146"/>
      <c r="P169" s="43"/>
      <c r="Q169" s="43"/>
      <c r="R169" s="35" t="s">
        <v>272</v>
      </c>
    </row>
    <row r="170" spans="1:39" ht="35.25" customHeight="1">
      <c r="A170" s="15">
        <f t="shared" si="2"/>
        <v>160</v>
      </c>
      <c r="B170" s="141" t="s">
        <v>161</v>
      </c>
      <c r="C170" s="146" t="s">
        <v>160</v>
      </c>
      <c r="D170" s="169"/>
      <c r="E170" s="169"/>
      <c r="F170" s="169"/>
      <c r="G170" s="146" t="s">
        <v>160</v>
      </c>
      <c r="H170" s="141"/>
      <c r="I170" s="13" t="s">
        <v>18</v>
      </c>
      <c r="J170" s="13">
        <v>1</v>
      </c>
      <c r="K170" s="11" t="s">
        <v>730</v>
      </c>
      <c r="L170" s="141" t="s">
        <v>17</v>
      </c>
      <c r="M170" s="11"/>
      <c r="N170" s="141" t="s">
        <v>119</v>
      </c>
      <c r="O170" s="146"/>
      <c r="P170" s="43"/>
      <c r="Q170" s="43"/>
      <c r="R170" s="35" t="s">
        <v>272</v>
      </c>
    </row>
    <row r="171" spans="1:39" ht="35.25" customHeight="1">
      <c r="A171" s="15">
        <f t="shared" si="2"/>
        <v>161</v>
      </c>
      <c r="B171" s="141" t="s">
        <v>159</v>
      </c>
      <c r="C171" s="146" t="s">
        <v>158</v>
      </c>
      <c r="D171" s="169"/>
      <c r="E171" s="169"/>
      <c r="F171" s="169"/>
      <c r="G171" s="146" t="s">
        <v>158</v>
      </c>
      <c r="H171" s="141"/>
      <c r="I171" s="13" t="s">
        <v>18</v>
      </c>
      <c r="J171" s="13">
        <v>1</v>
      </c>
      <c r="K171" s="11" t="s">
        <v>730</v>
      </c>
      <c r="L171" s="141" t="s">
        <v>17</v>
      </c>
      <c r="M171" s="11"/>
      <c r="N171" s="141" t="s">
        <v>119</v>
      </c>
      <c r="O171" s="146"/>
      <c r="P171" s="43"/>
      <c r="Q171" s="43"/>
      <c r="R171" s="35" t="s">
        <v>272</v>
      </c>
    </row>
    <row r="172" spans="1:39" ht="35.25" customHeight="1">
      <c r="A172" s="15">
        <f t="shared" si="2"/>
        <v>162</v>
      </c>
      <c r="B172" s="141" t="s">
        <v>157</v>
      </c>
      <c r="C172" s="64" t="s">
        <v>156</v>
      </c>
      <c r="D172" s="169"/>
      <c r="E172" s="169"/>
      <c r="F172" s="169"/>
      <c r="G172" s="11" t="s">
        <v>156</v>
      </c>
      <c r="H172" s="141"/>
      <c r="I172" s="13" t="s">
        <v>18</v>
      </c>
      <c r="J172" s="13">
        <v>1</v>
      </c>
      <c r="K172" s="11" t="s">
        <v>730</v>
      </c>
      <c r="L172" s="141" t="s">
        <v>17</v>
      </c>
      <c r="M172" s="19"/>
      <c r="N172" s="141" t="s">
        <v>119</v>
      </c>
      <c r="O172" s="146"/>
      <c r="P172" s="43"/>
      <c r="Q172" s="43"/>
      <c r="R172" s="35" t="s">
        <v>272</v>
      </c>
    </row>
    <row r="173" spans="1:39" ht="35.25" customHeight="1">
      <c r="A173" s="15">
        <f t="shared" si="2"/>
        <v>163</v>
      </c>
      <c r="B173" s="141" t="s">
        <v>155</v>
      </c>
      <c r="C173" s="64" t="s">
        <v>154</v>
      </c>
      <c r="D173" s="169"/>
      <c r="E173" s="169"/>
      <c r="F173" s="169"/>
      <c r="G173" s="11" t="s">
        <v>154</v>
      </c>
      <c r="H173" s="141"/>
      <c r="I173" s="13" t="s">
        <v>18</v>
      </c>
      <c r="J173" s="13">
        <v>1</v>
      </c>
      <c r="K173" s="11" t="s">
        <v>730</v>
      </c>
      <c r="L173" s="141" t="s">
        <v>17</v>
      </c>
      <c r="M173" s="19"/>
      <c r="N173" s="141" t="s">
        <v>119</v>
      </c>
      <c r="O173" s="146"/>
      <c r="P173" s="43"/>
      <c r="Q173" s="43"/>
      <c r="R173" s="35" t="s">
        <v>272</v>
      </c>
    </row>
    <row r="174" spans="1:39" ht="35.25" customHeight="1">
      <c r="A174" s="15">
        <f t="shared" si="2"/>
        <v>164</v>
      </c>
      <c r="B174" s="141" t="s">
        <v>153</v>
      </c>
      <c r="C174" s="64" t="s">
        <v>152</v>
      </c>
      <c r="D174" s="169"/>
      <c r="E174" s="169"/>
      <c r="F174" s="169"/>
      <c r="G174" s="11"/>
      <c r="H174" s="141"/>
      <c r="I174" s="13" t="s">
        <v>18</v>
      </c>
      <c r="J174" s="13">
        <v>1</v>
      </c>
      <c r="K174" s="11" t="s">
        <v>730</v>
      </c>
      <c r="L174" s="141" t="s">
        <v>17</v>
      </c>
      <c r="M174" s="19"/>
      <c r="N174" s="141" t="s">
        <v>151</v>
      </c>
      <c r="O174" s="146"/>
      <c r="P174" s="43"/>
      <c r="Q174" s="43"/>
      <c r="R174" s="35"/>
    </row>
    <row r="175" spans="1:39" ht="35.25" customHeight="1">
      <c r="A175" s="15">
        <f t="shared" si="2"/>
        <v>165</v>
      </c>
      <c r="B175" s="141" t="s">
        <v>150</v>
      </c>
      <c r="C175" s="46" t="s">
        <v>147</v>
      </c>
      <c r="D175" s="169"/>
      <c r="E175" s="169"/>
      <c r="F175" s="169"/>
      <c r="G175" s="11"/>
      <c r="H175" s="141"/>
      <c r="I175" s="13" t="s">
        <v>18</v>
      </c>
      <c r="J175" s="15">
        <v>1</v>
      </c>
      <c r="K175" s="11" t="s">
        <v>730</v>
      </c>
      <c r="L175" s="141" t="s">
        <v>17</v>
      </c>
      <c r="M175" s="19"/>
      <c r="N175" s="141" t="s">
        <v>106</v>
      </c>
      <c r="O175" s="146"/>
      <c r="P175" s="43"/>
      <c r="Q175" s="43"/>
      <c r="R175" s="35"/>
    </row>
    <row r="176" spans="1:39" ht="35.25" customHeight="1">
      <c r="A176" s="15">
        <f t="shared" si="2"/>
        <v>166</v>
      </c>
      <c r="B176" s="141" t="s">
        <v>149</v>
      </c>
      <c r="C176" s="46" t="s">
        <v>147</v>
      </c>
      <c r="D176" s="169"/>
      <c r="E176" s="169"/>
      <c r="F176" s="169"/>
      <c r="G176" s="11"/>
      <c r="H176" s="141"/>
      <c r="I176" s="13" t="s">
        <v>18</v>
      </c>
      <c r="J176" s="15">
        <v>1</v>
      </c>
      <c r="K176" s="11" t="s">
        <v>730</v>
      </c>
      <c r="L176" s="141" t="s">
        <v>17</v>
      </c>
      <c r="M176" s="19"/>
      <c r="N176" s="141" t="s">
        <v>2523</v>
      </c>
      <c r="O176" s="146"/>
      <c r="P176" s="43"/>
      <c r="Q176" s="43"/>
      <c r="R176" s="35"/>
    </row>
    <row r="177" spans="1:18" ht="35.25" customHeight="1">
      <c r="A177" s="15">
        <f t="shared" si="2"/>
        <v>167</v>
      </c>
      <c r="B177" s="141" t="s">
        <v>148</v>
      </c>
      <c r="C177" s="46" t="s">
        <v>147</v>
      </c>
      <c r="D177" s="169"/>
      <c r="E177" s="169"/>
      <c r="F177" s="169"/>
      <c r="G177" s="11"/>
      <c r="H177" s="141"/>
      <c r="I177" s="13" t="s">
        <v>18</v>
      </c>
      <c r="J177" s="15">
        <v>1</v>
      </c>
      <c r="K177" s="11" t="s">
        <v>730</v>
      </c>
      <c r="L177" s="141" t="s">
        <v>17</v>
      </c>
      <c r="M177" s="19"/>
      <c r="N177" s="141" t="s">
        <v>119</v>
      </c>
      <c r="O177" s="146"/>
      <c r="P177" s="43"/>
      <c r="Q177" s="43"/>
      <c r="R177" s="35"/>
    </row>
    <row r="178" spans="1:18" ht="35.25" customHeight="1">
      <c r="A178" s="15">
        <f t="shared" si="2"/>
        <v>168</v>
      </c>
      <c r="B178" s="141" t="s">
        <v>146</v>
      </c>
      <c r="C178" s="46" t="s">
        <v>143</v>
      </c>
      <c r="D178" s="169"/>
      <c r="E178" s="169"/>
      <c r="F178" s="169"/>
      <c r="G178" s="11"/>
      <c r="H178" s="141"/>
      <c r="I178" s="13" t="s">
        <v>18</v>
      </c>
      <c r="J178" s="15">
        <v>1</v>
      </c>
      <c r="K178" s="11" t="s">
        <v>730</v>
      </c>
      <c r="L178" s="141" t="s">
        <v>17</v>
      </c>
      <c r="M178" s="19"/>
      <c r="N178" s="141" t="s">
        <v>106</v>
      </c>
      <c r="O178" s="146"/>
      <c r="P178" s="43"/>
      <c r="Q178" s="43"/>
      <c r="R178" s="35"/>
    </row>
    <row r="179" spans="1:18" ht="35.25" customHeight="1">
      <c r="A179" s="15">
        <f t="shared" si="2"/>
        <v>169</v>
      </c>
      <c r="B179" s="141" t="s">
        <v>145</v>
      </c>
      <c r="C179" s="46" t="s">
        <v>143</v>
      </c>
      <c r="D179" s="169"/>
      <c r="E179" s="169"/>
      <c r="F179" s="169"/>
      <c r="G179" s="11"/>
      <c r="H179" s="141"/>
      <c r="I179" s="13" t="s">
        <v>18</v>
      </c>
      <c r="J179" s="15">
        <v>1</v>
      </c>
      <c r="K179" s="11" t="s">
        <v>730</v>
      </c>
      <c r="L179" s="141" t="s">
        <v>17</v>
      </c>
      <c r="M179" s="19"/>
      <c r="N179" s="141" t="s">
        <v>2523</v>
      </c>
      <c r="O179" s="146"/>
      <c r="P179" s="43"/>
      <c r="Q179" s="43"/>
      <c r="R179" s="35"/>
    </row>
    <row r="180" spans="1:18" ht="35.25" customHeight="1">
      <c r="A180" s="15">
        <f t="shared" si="2"/>
        <v>170</v>
      </c>
      <c r="B180" s="141" t="s">
        <v>144</v>
      </c>
      <c r="C180" s="46" t="s">
        <v>143</v>
      </c>
      <c r="D180" s="169"/>
      <c r="E180" s="169"/>
      <c r="F180" s="169"/>
      <c r="G180" s="11"/>
      <c r="H180" s="141"/>
      <c r="I180" s="13" t="s">
        <v>18</v>
      </c>
      <c r="J180" s="15">
        <v>1</v>
      </c>
      <c r="K180" s="11" t="s">
        <v>730</v>
      </c>
      <c r="L180" s="141" t="s">
        <v>17</v>
      </c>
      <c r="M180" s="19"/>
      <c r="N180" s="141" t="s">
        <v>119</v>
      </c>
      <c r="O180" s="146"/>
      <c r="P180" s="43"/>
      <c r="Q180" s="43"/>
      <c r="R180" s="35"/>
    </row>
    <row r="181" spans="1:18" ht="35.25" customHeight="1">
      <c r="A181" s="15">
        <f t="shared" si="2"/>
        <v>171</v>
      </c>
      <c r="B181" s="141" t="s">
        <v>142</v>
      </c>
      <c r="C181" s="64" t="s">
        <v>139</v>
      </c>
      <c r="D181" s="156"/>
      <c r="E181" s="156"/>
      <c r="F181" s="156"/>
      <c r="G181" s="11" t="s">
        <v>141</v>
      </c>
      <c r="H181" s="141"/>
      <c r="I181" s="13" t="s">
        <v>18</v>
      </c>
      <c r="J181" s="15">
        <v>1</v>
      </c>
      <c r="K181" s="11" t="s">
        <v>730</v>
      </c>
      <c r="L181" s="141" t="s">
        <v>17</v>
      </c>
      <c r="M181" s="19"/>
      <c r="N181" s="141" t="s">
        <v>119</v>
      </c>
      <c r="O181" s="146"/>
      <c r="P181" s="43"/>
      <c r="Q181" s="43"/>
      <c r="R181" s="35" t="s">
        <v>272</v>
      </c>
    </row>
    <row r="182" spans="1:18" ht="35.25" customHeight="1">
      <c r="A182" s="15">
        <f t="shared" si="2"/>
        <v>172</v>
      </c>
      <c r="B182" s="141" t="s">
        <v>140</v>
      </c>
      <c r="C182" s="64" t="s">
        <v>139</v>
      </c>
      <c r="D182" s="156"/>
      <c r="E182" s="156"/>
      <c r="F182" s="156"/>
      <c r="G182" s="11" t="s">
        <v>138</v>
      </c>
      <c r="H182" s="141"/>
      <c r="I182" s="13" t="s">
        <v>18</v>
      </c>
      <c r="J182" s="15">
        <v>1</v>
      </c>
      <c r="K182" s="11" t="s">
        <v>730</v>
      </c>
      <c r="L182" s="141" t="s">
        <v>17</v>
      </c>
      <c r="M182" s="19"/>
      <c r="N182" s="141" t="s">
        <v>119</v>
      </c>
      <c r="O182" s="146"/>
      <c r="P182" s="43"/>
      <c r="Q182" s="43"/>
      <c r="R182" s="35" t="s">
        <v>272</v>
      </c>
    </row>
    <row r="183" spans="1:18" ht="35.25" customHeight="1">
      <c r="A183" s="15">
        <f t="shared" si="2"/>
        <v>173</v>
      </c>
      <c r="B183" s="141" t="s">
        <v>690</v>
      </c>
      <c r="C183" s="64" t="s">
        <v>32</v>
      </c>
      <c r="D183" s="156"/>
      <c r="E183" s="156"/>
      <c r="F183" s="156"/>
      <c r="G183" s="11"/>
      <c r="H183" s="141"/>
      <c r="I183" s="13" t="s">
        <v>18</v>
      </c>
      <c r="J183" s="15">
        <v>1</v>
      </c>
      <c r="K183" s="11" t="s">
        <v>730</v>
      </c>
      <c r="L183" s="141" t="s">
        <v>17</v>
      </c>
      <c r="M183" s="276" t="s">
        <v>3281</v>
      </c>
      <c r="N183" s="141" t="s">
        <v>117</v>
      </c>
      <c r="O183" s="146"/>
      <c r="P183" s="43"/>
      <c r="Q183" s="43"/>
      <c r="R183" s="35"/>
    </row>
    <row r="184" spans="1:18" ht="35.25" customHeight="1">
      <c r="A184" s="15">
        <f t="shared" si="2"/>
        <v>174</v>
      </c>
      <c r="B184" s="141" t="s">
        <v>137</v>
      </c>
      <c r="C184" s="64" t="s">
        <v>32</v>
      </c>
      <c r="D184" s="156"/>
      <c r="E184" s="156"/>
      <c r="F184" s="156"/>
      <c r="G184" s="11"/>
      <c r="H184" s="141"/>
      <c r="I184" s="13" t="s">
        <v>18</v>
      </c>
      <c r="J184" s="15">
        <v>1</v>
      </c>
      <c r="K184" s="11" t="s">
        <v>730</v>
      </c>
      <c r="L184" s="141" t="s">
        <v>17</v>
      </c>
      <c r="M184" s="19"/>
      <c r="N184" s="141" t="s">
        <v>106</v>
      </c>
      <c r="O184" s="146"/>
      <c r="P184" s="43"/>
      <c r="Q184" s="43"/>
      <c r="R184" s="35"/>
    </row>
    <row r="185" spans="1:18" ht="35.25" customHeight="1">
      <c r="A185" s="15">
        <f t="shared" si="2"/>
        <v>175</v>
      </c>
      <c r="B185" s="141" t="s">
        <v>136</v>
      </c>
      <c r="C185" s="64" t="s">
        <v>32</v>
      </c>
      <c r="D185" s="156"/>
      <c r="E185" s="156"/>
      <c r="F185" s="156"/>
      <c r="G185" s="11"/>
      <c r="H185" s="141"/>
      <c r="I185" s="13" t="s">
        <v>18</v>
      </c>
      <c r="J185" s="15">
        <v>1</v>
      </c>
      <c r="K185" s="11" t="s">
        <v>730</v>
      </c>
      <c r="L185" s="141" t="s">
        <v>17</v>
      </c>
      <c r="M185" s="19"/>
      <c r="N185" s="141" t="s">
        <v>2523</v>
      </c>
      <c r="O185" s="146"/>
      <c r="P185" s="43"/>
      <c r="Q185" s="43"/>
      <c r="R185" s="35"/>
    </row>
    <row r="186" spans="1:18" ht="35.25" customHeight="1">
      <c r="A186" s="15">
        <f t="shared" si="2"/>
        <v>176</v>
      </c>
      <c r="B186" s="141" t="s">
        <v>134</v>
      </c>
      <c r="C186" s="64" t="s">
        <v>32</v>
      </c>
      <c r="D186" s="156"/>
      <c r="E186" s="156"/>
      <c r="F186" s="156"/>
      <c r="G186" s="11"/>
      <c r="H186" s="141"/>
      <c r="I186" s="13" t="s">
        <v>18</v>
      </c>
      <c r="J186" s="15">
        <v>1</v>
      </c>
      <c r="K186" s="11" t="s">
        <v>730</v>
      </c>
      <c r="L186" s="141" t="s">
        <v>17</v>
      </c>
      <c r="M186" s="19"/>
      <c r="N186" s="141" t="s">
        <v>119</v>
      </c>
      <c r="O186" s="146"/>
      <c r="P186" s="43"/>
      <c r="Q186" s="43"/>
      <c r="R186" s="35"/>
    </row>
    <row r="187" spans="1:18" ht="35.25" customHeight="1">
      <c r="A187" s="15">
        <f t="shared" si="2"/>
        <v>177</v>
      </c>
      <c r="B187" s="141" t="s">
        <v>133</v>
      </c>
      <c r="C187" s="64" t="s">
        <v>132</v>
      </c>
      <c r="D187" s="156"/>
      <c r="E187" s="156"/>
      <c r="F187" s="156"/>
      <c r="G187" s="11" t="s">
        <v>131</v>
      </c>
      <c r="H187" s="141"/>
      <c r="I187" s="13" t="s">
        <v>18</v>
      </c>
      <c r="J187" s="15">
        <v>1</v>
      </c>
      <c r="K187" s="11" t="s">
        <v>730</v>
      </c>
      <c r="L187" s="141" t="s">
        <v>17</v>
      </c>
      <c r="M187" s="19"/>
      <c r="N187" s="141" t="s">
        <v>2523</v>
      </c>
      <c r="O187" s="146"/>
      <c r="P187" s="145"/>
      <c r="Q187" s="145"/>
      <c r="R187" s="35"/>
    </row>
    <row r="188" spans="1:18" ht="35.25" customHeight="1">
      <c r="A188" s="15">
        <f t="shared" si="2"/>
        <v>178</v>
      </c>
      <c r="B188" s="141" t="s">
        <v>130</v>
      </c>
      <c r="C188" s="64" t="s">
        <v>129</v>
      </c>
      <c r="D188" s="156"/>
      <c r="E188" s="156"/>
      <c r="F188" s="156"/>
      <c r="G188" s="11" t="s">
        <v>128</v>
      </c>
      <c r="H188" s="141"/>
      <c r="I188" s="13" t="s">
        <v>18</v>
      </c>
      <c r="J188" s="15">
        <v>1</v>
      </c>
      <c r="K188" s="11" t="s">
        <v>730</v>
      </c>
      <c r="L188" s="141" t="s">
        <v>17</v>
      </c>
      <c r="M188" s="19"/>
      <c r="N188" s="141" t="s">
        <v>106</v>
      </c>
      <c r="O188" s="146"/>
      <c r="P188" s="145"/>
      <c r="Q188" s="145"/>
      <c r="R188" s="35"/>
    </row>
    <row r="189" spans="1:18" ht="35.25" customHeight="1">
      <c r="A189" s="15">
        <f t="shared" si="2"/>
        <v>179</v>
      </c>
      <c r="B189" s="141" t="s">
        <v>127</v>
      </c>
      <c r="C189" s="64" t="s">
        <v>126</v>
      </c>
      <c r="D189" s="156"/>
      <c r="E189" s="156"/>
      <c r="F189" s="156"/>
      <c r="G189" s="11" t="s">
        <v>125</v>
      </c>
      <c r="H189" s="141"/>
      <c r="I189" s="13" t="s">
        <v>18</v>
      </c>
      <c r="J189" s="15">
        <v>1</v>
      </c>
      <c r="K189" s="11" t="s">
        <v>730</v>
      </c>
      <c r="L189" s="141" t="s">
        <v>17</v>
      </c>
      <c r="M189" s="19"/>
      <c r="N189" s="141" t="s">
        <v>119</v>
      </c>
      <c r="O189" s="146"/>
      <c r="P189" s="156"/>
      <c r="Q189" s="156"/>
      <c r="R189" s="35"/>
    </row>
    <row r="190" spans="1:18" ht="35.25" customHeight="1">
      <c r="A190" s="15">
        <f t="shared" si="2"/>
        <v>180</v>
      </c>
      <c r="B190" s="141" t="s">
        <v>124</v>
      </c>
      <c r="C190" s="64" t="s">
        <v>120</v>
      </c>
      <c r="D190" s="156"/>
      <c r="E190" s="156"/>
      <c r="F190" s="156"/>
      <c r="G190" s="11"/>
      <c r="H190" s="141"/>
      <c r="I190" s="13" t="s">
        <v>18</v>
      </c>
      <c r="J190" s="15">
        <v>1</v>
      </c>
      <c r="K190" s="11" t="s">
        <v>730</v>
      </c>
      <c r="L190" s="141" t="s">
        <v>17</v>
      </c>
      <c r="M190" s="276" t="s">
        <v>3281</v>
      </c>
      <c r="N190" s="141" t="s">
        <v>117</v>
      </c>
      <c r="O190" s="146"/>
      <c r="P190" s="156"/>
      <c r="Q190" s="156"/>
      <c r="R190" s="35"/>
    </row>
    <row r="191" spans="1:18" ht="35.25" customHeight="1">
      <c r="A191" s="15">
        <f t="shared" si="2"/>
        <v>181</v>
      </c>
      <c r="B191" s="141" t="s">
        <v>123</v>
      </c>
      <c r="C191" s="64" t="s">
        <v>120</v>
      </c>
      <c r="D191" s="156"/>
      <c r="E191" s="156"/>
      <c r="F191" s="156"/>
      <c r="G191" s="11"/>
      <c r="H191" s="141"/>
      <c r="I191" s="13" t="s">
        <v>18</v>
      </c>
      <c r="J191" s="15">
        <v>1</v>
      </c>
      <c r="K191" s="11" t="s">
        <v>730</v>
      </c>
      <c r="L191" s="141" t="s">
        <v>17</v>
      </c>
      <c r="M191" s="19"/>
      <c r="N191" s="141" t="s">
        <v>2523</v>
      </c>
      <c r="O191" s="146"/>
      <c r="P191" s="156"/>
      <c r="Q191" s="156"/>
      <c r="R191" s="35"/>
    </row>
    <row r="192" spans="1:18" ht="35.25" customHeight="1">
      <c r="A192" s="15">
        <f t="shared" si="2"/>
        <v>182</v>
      </c>
      <c r="B192" s="141" t="s">
        <v>122</v>
      </c>
      <c r="C192" s="64" t="s">
        <v>120</v>
      </c>
      <c r="D192" s="156"/>
      <c r="E192" s="156"/>
      <c r="F192" s="156"/>
      <c r="G192" s="11"/>
      <c r="H192" s="141"/>
      <c r="I192" s="13" t="s">
        <v>18</v>
      </c>
      <c r="J192" s="15">
        <v>1</v>
      </c>
      <c r="K192" s="11" t="s">
        <v>730</v>
      </c>
      <c r="L192" s="141" t="s">
        <v>17</v>
      </c>
      <c r="M192" s="19"/>
      <c r="N192" s="141" t="s">
        <v>106</v>
      </c>
      <c r="O192" s="146"/>
      <c r="P192" s="156"/>
      <c r="Q192" s="156"/>
      <c r="R192" s="35"/>
    </row>
    <row r="193" spans="1:18" ht="35.25" customHeight="1">
      <c r="A193" s="15">
        <f t="shared" si="2"/>
        <v>183</v>
      </c>
      <c r="B193" s="141" t="s">
        <v>121</v>
      </c>
      <c r="C193" s="64" t="s">
        <v>120</v>
      </c>
      <c r="D193" s="156"/>
      <c r="E193" s="156"/>
      <c r="F193" s="156"/>
      <c r="G193" s="11"/>
      <c r="H193" s="141"/>
      <c r="I193" s="13" t="s">
        <v>18</v>
      </c>
      <c r="J193" s="15">
        <v>1</v>
      </c>
      <c r="K193" s="11" t="s">
        <v>730</v>
      </c>
      <c r="L193" s="141" t="s">
        <v>17</v>
      </c>
      <c r="M193" s="19"/>
      <c r="N193" s="141" t="s">
        <v>119</v>
      </c>
      <c r="O193" s="146"/>
      <c r="P193" s="156"/>
      <c r="Q193" s="156"/>
      <c r="R193" s="35"/>
    </row>
    <row r="194" spans="1:18" ht="35.25" customHeight="1">
      <c r="A194" s="15">
        <f t="shared" si="2"/>
        <v>184</v>
      </c>
      <c r="B194" s="141" t="s">
        <v>118</v>
      </c>
      <c r="C194" s="64" t="s">
        <v>115</v>
      </c>
      <c r="D194" s="156"/>
      <c r="E194" s="156"/>
      <c r="F194" s="156"/>
      <c r="G194" s="11"/>
      <c r="H194" s="141"/>
      <c r="I194" s="13" t="s">
        <v>18</v>
      </c>
      <c r="J194" s="15">
        <v>1</v>
      </c>
      <c r="K194" s="11" t="s">
        <v>730</v>
      </c>
      <c r="L194" s="141" t="s">
        <v>17</v>
      </c>
      <c r="M194" s="276" t="s">
        <v>3281</v>
      </c>
      <c r="N194" s="141" t="s">
        <v>117</v>
      </c>
      <c r="O194" s="146"/>
      <c r="P194" s="156"/>
      <c r="Q194" s="156"/>
      <c r="R194" s="35"/>
    </row>
    <row r="195" spans="1:18" ht="35.25" customHeight="1">
      <c r="A195" s="15">
        <f t="shared" si="2"/>
        <v>185</v>
      </c>
      <c r="B195" s="141" t="s">
        <v>857</v>
      </c>
      <c r="C195" s="64" t="s">
        <v>858</v>
      </c>
      <c r="D195" s="43"/>
      <c r="E195" s="43"/>
      <c r="F195" s="43"/>
      <c r="G195" s="11"/>
      <c r="H195" s="141"/>
      <c r="I195" s="13" t="s">
        <v>18</v>
      </c>
      <c r="J195" s="15">
        <v>1</v>
      </c>
      <c r="K195" s="11" t="s">
        <v>730</v>
      </c>
      <c r="L195" s="141" t="s">
        <v>17</v>
      </c>
      <c r="M195" s="276" t="s">
        <v>3281</v>
      </c>
      <c r="N195" s="141" t="s">
        <v>117</v>
      </c>
      <c r="O195" s="146"/>
      <c r="P195" s="156"/>
      <c r="Q195" s="156"/>
      <c r="R195" s="35"/>
    </row>
    <row r="196" spans="1:18" ht="35.25" customHeight="1">
      <c r="A196" s="15">
        <f t="shared" si="2"/>
        <v>186</v>
      </c>
      <c r="B196" s="141" t="s">
        <v>116</v>
      </c>
      <c r="C196" s="64" t="s">
        <v>115</v>
      </c>
      <c r="D196" s="46"/>
      <c r="E196" s="46"/>
      <c r="F196" s="46"/>
      <c r="G196" s="11"/>
      <c r="H196" s="141"/>
      <c r="I196" s="13" t="s">
        <v>18</v>
      </c>
      <c r="J196" s="15">
        <v>1</v>
      </c>
      <c r="K196" s="11" t="s">
        <v>730</v>
      </c>
      <c r="L196" s="141" t="s">
        <v>17</v>
      </c>
      <c r="M196" s="19"/>
      <c r="N196" s="141" t="s">
        <v>2523</v>
      </c>
      <c r="O196" s="146"/>
      <c r="P196" s="156"/>
      <c r="Q196" s="156"/>
      <c r="R196" s="35"/>
    </row>
    <row r="197" spans="1:18" ht="35.25" customHeight="1">
      <c r="A197" s="15">
        <f t="shared" si="2"/>
        <v>187</v>
      </c>
      <c r="B197" s="141" t="s">
        <v>113</v>
      </c>
      <c r="C197" s="64" t="s">
        <v>112</v>
      </c>
      <c r="D197" s="46"/>
      <c r="E197" s="46"/>
      <c r="F197" s="46"/>
      <c r="G197" s="11"/>
      <c r="H197" s="141"/>
      <c r="I197" s="13" t="s">
        <v>18</v>
      </c>
      <c r="J197" s="15">
        <v>1</v>
      </c>
      <c r="K197" s="11" t="s">
        <v>730</v>
      </c>
      <c r="L197" s="141" t="s">
        <v>17</v>
      </c>
      <c r="M197" s="19"/>
      <c r="N197" s="141" t="s">
        <v>106</v>
      </c>
      <c r="O197" s="146"/>
      <c r="P197" s="156"/>
      <c r="Q197" s="156"/>
      <c r="R197" s="35"/>
    </row>
    <row r="198" spans="1:18" ht="35.25" customHeight="1">
      <c r="A198" s="15">
        <f t="shared" si="2"/>
        <v>188</v>
      </c>
      <c r="B198" s="141" t="s">
        <v>111</v>
      </c>
      <c r="C198" s="64" t="s">
        <v>110</v>
      </c>
      <c r="D198" s="46"/>
      <c r="E198" s="46"/>
      <c r="F198" s="46"/>
      <c r="G198" s="11"/>
      <c r="H198" s="141"/>
      <c r="I198" s="13" t="s">
        <v>18</v>
      </c>
      <c r="J198" s="15">
        <v>1</v>
      </c>
      <c r="K198" s="11" t="s">
        <v>730</v>
      </c>
      <c r="L198" s="141" t="s">
        <v>17</v>
      </c>
      <c r="M198" s="19"/>
      <c r="N198" s="141" t="s">
        <v>106</v>
      </c>
      <c r="O198" s="146"/>
      <c r="P198" s="156"/>
      <c r="Q198" s="156"/>
      <c r="R198" s="35"/>
    </row>
    <row r="199" spans="1:18" ht="35.25" customHeight="1">
      <c r="A199" s="15">
        <f t="shared" si="2"/>
        <v>189</v>
      </c>
      <c r="B199" s="141" t="s">
        <v>109</v>
      </c>
      <c r="C199" s="64" t="s">
        <v>108</v>
      </c>
      <c r="D199" s="156"/>
      <c r="E199" s="156"/>
      <c r="F199" s="156"/>
      <c r="G199" s="11" t="s">
        <v>107</v>
      </c>
      <c r="H199" s="141"/>
      <c r="I199" s="13" t="s">
        <v>18</v>
      </c>
      <c r="J199" s="15">
        <v>1</v>
      </c>
      <c r="K199" s="11" t="s">
        <v>730</v>
      </c>
      <c r="L199" s="141" t="s">
        <v>17</v>
      </c>
      <c r="M199" s="19"/>
      <c r="N199" s="141" t="s">
        <v>106</v>
      </c>
      <c r="O199" s="146"/>
      <c r="P199" s="156"/>
      <c r="Q199" s="156"/>
      <c r="R199" s="35"/>
    </row>
    <row r="200" spans="1:18" ht="35.25" customHeight="1">
      <c r="A200" s="15">
        <f t="shared" si="2"/>
        <v>190</v>
      </c>
      <c r="B200" s="141" t="s">
        <v>105</v>
      </c>
      <c r="C200" s="64" t="s">
        <v>104</v>
      </c>
      <c r="D200" s="156"/>
      <c r="E200" s="156"/>
      <c r="F200" s="156"/>
      <c r="G200" s="11"/>
      <c r="H200" s="141"/>
      <c r="I200" s="13" t="s">
        <v>76</v>
      </c>
      <c r="J200" s="15">
        <v>1</v>
      </c>
      <c r="K200" s="11" t="s">
        <v>730</v>
      </c>
      <c r="L200" s="141" t="s">
        <v>17</v>
      </c>
      <c r="M200" s="19"/>
      <c r="N200" s="201" t="s">
        <v>119</v>
      </c>
      <c r="O200" s="261"/>
      <c r="P200" s="156"/>
      <c r="Q200" s="156"/>
      <c r="R200" s="35" t="s">
        <v>103</v>
      </c>
    </row>
    <row r="201" spans="1:18" ht="35.25" customHeight="1">
      <c r="A201" s="15">
        <f t="shared" si="2"/>
        <v>191</v>
      </c>
      <c r="B201" s="141" t="s">
        <v>102</v>
      </c>
      <c r="C201" s="64" t="s">
        <v>101</v>
      </c>
      <c r="D201" s="156"/>
      <c r="E201" s="156"/>
      <c r="F201" s="156"/>
      <c r="G201" s="11"/>
      <c r="H201" s="141"/>
      <c r="I201" s="13" t="s">
        <v>76</v>
      </c>
      <c r="J201" s="15">
        <v>1</v>
      </c>
      <c r="K201" s="11" t="s">
        <v>730</v>
      </c>
      <c r="L201" s="141" t="s">
        <v>17</v>
      </c>
      <c r="M201" s="19"/>
      <c r="N201" s="201" t="s">
        <v>119</v>
      </c>
      <c r="O201" s="261"/>
      <c r="P201" s="156"/>
      <c r="Q201" s="156"/>
      <c r="R201" s="35" t="s">
        <v>100</v>
      </c>
    </row>
    <row r="202" spans="1:18" ht="35.25" customHeight="1">
      <c r="A202" s="15">
        <f t="shared" si="2"/>
        <v>192</v>
      </c>
      <c r="B202" s="141" t="s">
        <v>99</v>
      </c>
      <c r="C202" s="64" t="s">
        <v>98</v>
      </c>
      <c r="D202" s="156"/>
      <c r="E202" s="156"/>
      <c r="F202" s="156"/>
      <c r="G202" s="11"/>
      <c r="H202" s="141"/>
      <c r="I202" s="13" t="s">
        <v>76</v>
      </c>
      <c r="J202" s="15">
        <v>1</v>
      </c>
      <c r="K202" s="11" t="s">
        <v>730</v>
      </c>
      <c r="L202" s="141" t="s">
        <v>17</v>
      </c>
      <c r="M202" s="19"/>
      <c r="N202" s="201" t="s">
        <v>119</v>
      </c>
      <c r="O202" s="261"/>
      <c r="P202" s="156"/>
      <c r="Q202" s="156"/>
      <c r="R202" s="35" t="s">
        <v>97</v>
      </c>
    </row>
    <row r="203" spans="1:18" ht="35.25" customHeight="1">
      <c r="A203" s="15">
        <f t="shared" si="2"/>
        <v>193</v>
      </c>
      <c r="B203" s="141" t="s">
        <v>96</v>
      </c>
      <c r="C203" s="64" t="s">
        <v>859</v>
      </c>
      <c r="D203" s="156"/>
      <c r="E203" s="156"/>
      <c r="F203" s="156"/>
      <c r="G203" s="11" t="s">
        <v>90</v>
      </c>
      <c r="H203" s="141"/>
      <c r="I203" s="13" t="s">
        <v>89</v>
      </c>
      <c r="J203" s="15">
        <v>1</v>
      </c>
      <c r="K203" s="11" t="s">
        <v>730</v>
      </c>
      <c r="L203" s="141" t="s">
        <v>17</v>
      </c>
      <c r="M203" s="19"/>
      <c r="N203" s="201" t="s">
        <v>119</v>
      </c>
      <c r="O203" s="261"/>
      <c r="P203" s="156"/>
      <c r="Q203" s="156"/>
      <c r="R203" s="35" t="s">
        <v>80</v>
      </c>
    </row>
    <row r="204" spans="1:18" ht="35.25" customHeight="1">
      <c r="A204" s="15">
        <f t="shared" si="2"/>
        <v>194</v>
      </c>
      <c r="B204" s="141" t="s">
        <v>95</v>
      </c>
      <c r="C204" s="64" t="s">
        <v>859</v>
      </c>
      <c r="D204" s="156"/>
      <c r="E204" s="156"/>
      <c r="F204" s="156"/>
      <c r="G204" s="11" t="s">
        <v>90</v>
      </c>
      <c r="H204" s="141"/>
      <c r="I204" s="13" t="s">
        <v>89</v>
      </c>
      <c r="J204" s="15">
        <v>1</v>
      </c>
      <c r="K204" s="11" t="s">
        <v>730</v>
      </c>
      <c r="L204" s="141" t="s">
        <v>17</v>
      </c>
      <c r="M204" s="19"/>
      <c r="N204" s="201" t="s">
        <v>119</v>
      </c>
      <c r="O204" s="261"/>
      <c r="P204" s="156"/>
      <c r="Q204" s="156"/>
      <c r="R204" s="35" t="s">
        <v>80</v>
      </c>
    </row>
    <row r="205" spans="1:18" ht="35.25" customHeight="1">
      <c r="A205" s="15">
        <f t="shared" ref="A205:A268" si="3">A204+1</f>
        <v>195</v>
      </c>
      <c r="B205" s="141" t="s">
        <v>94</v>
      </c>
      <c r="C205" s="64" t="s">
        <v>859</v>
      </c>
      <c r="D205" s="156"/>
      <c r="E205" s="156"/>
      <c r="F205" s="156"/>
      <c r="G205" s="11" t="s">
        <v>90</v>
      </c>
      <c r="H205" s="141"/>
      <c r="I205" s="13" t="s">
        <v>89</v>
      </c>
      <c r="J205" s="15">
        <v>1</v>
      </c>
      <c r="K205" s="11" t="s">
        <v>730</v>
      </c>
      <c r="L205" s="141" t="s">
        <v>17</v>
      </c>
      <c r="M205" s="19"/>
      <c r="N205" s="201" t="s">
        <v>119</v>
      </c>
      <c r="O205" s="261"/>
      <c r="P205" s="156"/>
      <c r="Q205" s="156"/>
      <c r="R205" s="35" t="s">
        <v>93</v>
      </c>
    </row>
    <row r="206" spans="1:18" ht="35.25" customHeight="1">
      <c r="A206" s="15">
        <f t="shared" si="3"/>
        <v>196</v>
      </c>
      <c r="B206" s="141" t="s">
        <v>92</v>
      </c>
      <c r="C206" s="64" t="s">
        <v>859</v>
      </c>
      <c r="D206" s="156"/>
      <c r="E206" s="156"/>
      <c r="F206" s="156"/>
      <c r="G206" s="11" t="s">
        <v>90</v>
      </c>
      <c r="H206" s="141"/>
      <c r="I206" s="13" t="s">
        <v>89</v>
      </c>
      <c r="J206" s="15">
        <v>1</v>
      </c>
      <c r="K206" s="11" t="s">
        <v>730</v>
      </c>
      <c r="L206" s="141" t="s">
        <v>17</v>
      </c>
      <c r="M206" s="19"/>
      <c r="N206" s="201" t="s">
        <v>119</v>
      </c>
      <c r="O206" s="261"/>
      <c r="P206" s="156"/>
      <c r="Q206" s="156"/>
      <c r="R206" s="35" t="s">
        <v>88</v>
      </c>
    </row>
    <row r="207" spans="1:18" ht="35.25" customHeight="1">
      <c r="A207" s="15">
        <f t="shared" si="3"/>
        <v>197</v>
      </c>
      <c r="B207" s="141" t="s">
        <v>860</v>
      </c>
      <c r="C207" s="64" t="s">
        <v>859</v>
      </c>
      <c r="D207" s="156"/>
      <c r="E207" s="156"/>
      <c r="F207" s="156"/>
      <c r="G207" s="11" t="s">
        <v>90</v>
      </c>
      <c r="H207" s="141"/>
      <c r="I207" s="13" t="s">
        <v>89</v>
      </c>
      <c r="J207" s="15">
        <v>1</v>
      </c>
      <c r="K207" s="11" t="s">
        <v>730</v>
      </c>
      <c r="L207" s="141" t="s">
        <v>17</v>
      </c>
      <c r="M207" s="19"/>
      <c r="N207" s="201" t="s">
        <v>119</v>
      </c>
      <c r="O207" s="261"/>
      <c r="P207" s="156"/>
      <c r="Q207" s="156"/>
      <c r="R207" s="35" t="s">
        <v>2641</v>
      </c>
    </row>
    <row r="208" spans="1:18" ht="35.25" customHeight="1">
      <c r="A208" s="15">
        <f t="shared" si="3"/>
        <v>198</v>
      </c>
      <c r="B208" s="141" t="s">
        <v>861</v>
      </c>
      <c r="C208" s="64" t="s">
        <v>859</v>
      </c>
      <c r="D208" s="176"/>
      <c r="E208" s="176"/>
      <c r="F208" s="176"/>
      <c r="G208" s="11" t="s">
        <v>90</v>
      </c>
      <c r="H208" s="141"/>
      <c r="I208" s="13" t="s">
        <v>89</v>
      </c>
      <c r="J208" s="15">
        <v>1</v>
      </c>
      <c r="K208" s="11" t="s">
        <v>730</v>
      </c>
      <c r="L208" s="141" t="s">
        <v>17</v>
      </c>
      <c r="M208" s="19"/>
      <c r="N208" s="201" t="s">
        <v>119</v>
      </c>
      <c r="O208" s="261"/>
      <c r="P208" s="156"/>
      <c r="Q208" s="156"/>
      <c r="R208" s="35" t="s">
        <v>2642</v>
      </c>
    </row>
    <row r="209" spans="1:18" ht="35.25" customHeight="1">
      <c r="A209" s="15">
        <f t="shared" si="3"/>
        <v>199</v>
      </c>
      <c r="B209" s="141" t="s">
        <v>87</v>
      </c>
      <c r="C209" s="64" t="s">
        <v>86</v>
      </c>
      <c r="D209" s="43"/>
      <c r="E209" s="43"/>
      <c r="F209" s="43"/>
      <c r="G209" s="11" t="s">
        <v>85</v>
      </c>
      <c r="H209" s="141"/>
      <c r="I209" s="13" t="s">
        <v>18</v>
      </c>
      <c r="J209" s="15">
        <v>1</v>
      </c>
      <c r="K209" s="11" t="s">
        <v>730</v>
      </c>
      <c r="L209" s="141" t="s">
        <v>17</v>
      </c>
      <c r="M209" s="19"/>
      <c r="N209" s="201" t="s">
        <v>119</v>
      </c>
      <c r="O209" s="261"/>
      <c r="P209" s="156"/>
      <c r="Q209" s="156"/>
      <c r="R209" s="35" t="s">
        <v>272</v>
      </c>
    </row>
    <row r="210" spans="1:18" ht="35.25" customHeight="1">
      <c r="A210" s="15">
        <f t="shared" si="3"/>
        <v>200</v>
      </c>
      <c r="B210" s="141" t="s">
        <v>84</v>
      </c>
      <c r="C210" s="64" t="s">
        <v>83</v>
      </c>
      <c r="D210" s="156"/>
      <c r="E210" s="156"/>
      <c r="F210" s="156"/>
      <c r="G210" s="11"/>
      <c r="H210" s="141"/>
      <c r="I210" s="13" t="s">
        <v>18</v>
      </c>
      <c r="J210" s="15">
        <v>1</v>
      </c>
      <c r="K210" s="11" t="s">
        <v>730</v>
      </c>
      <c r="L210" s="141" t="s">
        <v>17</v>
      </c>
      <c r="M210" s="19"/>
      <c r="N210" s="201" t="s">
        <v>119</v>
      </c>
      <c r="O210" s="261"/>
      <c r="P210" s="145"/>
      <c r="Q210" s="145"/>
      <c r="R210" s="35" t="s">
        <v>272</v>
      </c>
    </row>
    <row r="211" spans="1:18" ht="35.25" customHeight="1">
      <c r="A211" s="15">
        <f t="shared" si="3"/>
        <v>201</v>
      </c>
      <c r="B211" s="141" t="s">
        <v>82</v>
      </c>
      <c r="C211" s="64" t="s">
        <v>81</v>
      </c>
      <c r="D211" s="19"/>
      <c r="E211" s="19"/>
      <c r="F211" s="19"/>
      <c r="G211" s="11"/>
      <c r="H211" s="141"/>
      <c r="I211" s="13" t="s">
        <v>18</v>
      </c>
      <c r="J211" s="15">
        <v>1</v>
      </c>
      <c r="K211" s="11" t="s">
        <v>730</v>
      </c>
      <c r="L211" s="141" t="s">
        <v>17</v>
      </c>
      <c r="M211" s="19"/>
      <c r="N211" s="201" t="s">
        <v>119</v>
      </c>
      <c r="O211" s="261"/>
      <c r="P211" s="43"/>
      <c r="Q211" s="43"/>
      <c r="R211" s="35" t="s">
        <v>80</v>
      </c>
    </row>
    <row r="212" spans="1:18" ht="35.25" customHeight="1">
      <c r="A212" s="15">
        <f t="shared" si="3"/>
        <v>202</v>
      </c>
      <c r="B212" s="141" t="s">
        <v>79</v>
      </c>
      <c r="C212" s="64" t="s">
        <v>77</v>
      </c>
      <c r="D212" s="19"/>
      <c r="E212" s="19"/>
      <c r="F212" s="19"/>
      <c r="G212" s="11"/>
      <c r="H212" s="141"/>
      <c r="I212" s="13" t="s">
        <v>76</v>
      </c>
      <c r="J212" s="15">
        <v>1</v>
      </c>
      <c r="K212" s="11" t="s">
        <v>730</v>
      </c>
      <c r="L212" s="141" t="s">
        <v>17</v>
      </c>
      <c r="M212" s="19"/>
      <c r="N212" s="201" t="s">
        <v>119</v>
      </c>
      <c r="O212" s="261"/>
      <c r="P212" s="43"/>
      <c r="Q212" s="43"/>
      <c r="R212" s="35" t="s">
        <v>75</v>
      </c>
    </row>
    <row r="213" spans="1:18" ht="35.25" customHeight="1">
      <c r="A213" s="15">
        <f t="shared" si="3"/>
        <v>203</v>
      </c>
      <c r="B213" s="141" t="s">
        <v>78</v>
      </c>
      <c r="C213" s="64" t="s">
        <v>77</v>
      </c>
      <c r="D213" s="19"/>
      <c r="E213" s="19"/>
      <c r="F213" s="19"/>
      <c r="G213" s="11"/>
      <c r="H213" s="141"/>
      <c r="I213" s="13" t="s">
        <v>76</v>
      </c>
      <c r="J213" s="15">
        <v>1</v>
      </c>
      <c r="K213" s="11" t="s">
        <v>730</v>
      </c>
      <c r="L213" s="141" t="s">
        <v>17</v>
      </c>
      <c r="M213" s="19"/>
      <c r="N213" s="201" t="s">
        <v>119</v>
      </c>
      <c r="O213" s="261"/>
      <c r="P213" s="43"/>
      <c r="Q213" s="43"/>
      <c r="R213" s="35" t="s">
        <v>75</v>
      </c>
    </row>
    <row r="214" spans="1:18" ht="35.25" customHeight="1">
      <c r="A214" s="15">
        <f t="shared" si="3"/>
        <v>204</v>
      </c>
      <c r="B214" s="141" t="s">
        <v>74</v>
      </c>
      <c r="C214" s="64" t="s">
        <v>28</v>
      </c>
      <c r="D214" s="19"/>
      <c r="E214" s="19"/>
      <c r="F214" s="19"/>
      <c r="G214" s="11"/>
      <c r="H214" s="141"/>
      <c r="I214" s="13" t="s">
        <v>18</v>
      </c>
      <c r="J214" s="15">
        <v>1</v>
      </c>
      <c r="K214" s="11" t="s">
        <v>730</v>
      </c>
      <c r="L214" s="141" t="s">
        <v>17</v>
      </c>
      <c r="M214" s="19"/>
      <c r="N214" s="201" t="s">
        <v>119</v>
      </c>
      <c r="O214" s="146"/>
      <c r="P214" s="43"/>
      <c r="Q214" s="43"/>
      <c r="R214" s="35" t="s">
        <v>272</v>
      </c>
    </row>
    <row r="215" spans="1:18" ht="35.25" customHeight="1">
      <c r="A215" s="15">
        <f t="shared" si="3"/>
        <v>205</v>
      </c>
      <c r="B215" s="141" t="s">
        <v>73</v>
      </c>
      <c r="C215" s="64" t="s">
        <v>72</v>
      </c>
      <c r="D215" s="19"/>
      <c r="E215" s="19"/>
      <c r="F215" s="19"/>
      <c r="G215" s="11"/>
      <c r="H215" s="141"/>
      <c r="I215" s="13" t="s">
        <v>18</v>
      </c>
      <c r="J215" s="15">
        <v>1</v>
      </c>
      <c r="K215" s="11" t="s">
        <v>730</v>
      </c>
      <c r="L215" s="141" t="s">
        <v>17</v>
      </c>
      <c r="M215" s="19"/>
      <c r="N215" s="201" t="s">
        <v>119</v>
      </c>
      <c r="O215" s="146"/>
      <c r="P215" s="43"/>
      <c r="Q215" s="43"/>
      <c r="R215" s="35" t="s">
        <v>272</v>
      </c>
    </row>
    <row r="216" spans="1:18" ht="35.25" customHeight="1">
      <c r="A216" s="15">
        <f t="shared" si="3"/>
        <v>206</v>
      </c>
      <c r="B216" s="141" t="s">
        <v>71</v>
      </c>
      <c r="C216" s="64" t="s">
        <v>70</v>
      </c>
      <c r="D216" s="19"/>
      <c r="E216" s="19"/>
      <c r="F216" s="19"/>
      <c r="G216" s="11"/>
      <c r="H216" s="141"/>
      <c r="I216" s="13" t="s">
        <v>18</v>
      </c>
      <c r="J216" s="15">
        <v>1</v>
      </c>
      <c r="K216" s="11" t="s">
        <v>730</v>
      </c>
      <c r="L216" s="141" t="s">
        <v>17</v>
      </c>
      <c r="M216" s="19"/>
      <c r="N216" s="201" t="s">
        <v>119</v>
      </c>
      <c r="O216" s="146"/>
      <c r="P216" s="43"/>
      <c r="Q216" s="43"/>
      <c r="R216" s="35" t="s">
        <v>272</v>
      </c>
    </row>
    <row r="217" spans="1:18" ht="35.25" customHeight="1">
      <c r="A217" s="15">
        <f t="shared" si="3"/>
        <v>207</v>
      </c>
      <c r="B217" s="141" t="s">
        <v>69</v>
      </c>
      <c r="C217" s="64" t="s">
        <v>68</v>
      </c>
      <c r="D217" s="19"/>
      <c r="E217" s="19"/>
      <c r="F217" s="19"/>
      <c r="G217" s="11"/>
      <c r="H217" s="141"/>
      <c r="I217" s="13" t="s">
        <v>18</v>
      </c>
      <c r="J217" s="15">
        <v>1</v>
      </c>
      <c r="K217" s="11" t="s">
        <v>730</v>
      </c>
      <c r="L217" s="141" t="s">
        <v>17</v>
      </c>
      <c r="M217" s="19"/>
      <c r="N217" s="201" t="s">
        <v>119</v>
      </c>
      <c r="O217" s="146"/>
      <c r="P217" s="43"/>
      <c r="Q217" s="43"/>
      <c r="R217" s="35" t="s">
        <v>272</v>
      </c>
    </row>
    <row r="218" spans="1:18" ht="35.25" customHeight="1">
      <c r="A218" s="15">
        <f t="shared" si="3"/>
        <v>208</v>
      </c>
      <c r="B218" s="141" t="s">
        <v>67</v>
      </c>
      <c r="C218" s="64" t="s">
        <v>66</v>
      </c>
      <c r="D218" s="19"/>
      <c r="E218" s="19"/>
      <c r="F218" s="19"/>
      <c r="G218" s="11" t="s">
        <v>65</v>
      </c>
      <c r="H218" s="141"/>
      <c r="I218" s="13" t="s">
        <v>18</v>
      </c>
      <c r="J218" s="15">
        <v>1</v>
      </c>
      <c r="K218" s="11" t="s">
        <v>730</v>
      </c>
      <c r="L218" s="141" t="s">
        <v>17</v>
      </c>
      <c r="M218" s="19"/>
      <c r="N218" s="201" t="s">
        <v>119</v>
      </c>
      <c r="O218" s="146"/>
      <c r="P218" s="43"/>
      <c r="Q218" s="43"/>
      <c r="R218" s="35" t="s">
        <v>272</v>
      </c>
    </row>
    <row r="219" spans="1:18" ht="35.25" customHeight="1">
      <c r="A219" s="15">
        <f t="shared" si="3"/>
        <v>209</v>
      </c>
      <c r="B219" s="141" t="s">
        <v>64</v>
      </c>
      <c r="C219" s="64" t="s">
        <v>61</v>
      </c>
      <c r="D219" s="19"/>
      <c r="E219" s="19"/>
      <c r="F219" s="19"/>
      <c r="G219" s="11" t="s">
        <v>63</v>
      </c>
      <c r="H219" s="141"/>
      <c r="I219" s="13" t="s">
        <v>18</v>
      </c>
      <c r="J219" s="15">
        <v>1</v>
      </c>
      <c r="K219" s="11" t="s">
        <v>730</v>
      </c>
      <c r="L219" s="141" t="s">
        <v>17</v>
      </c>
      <c r="M219" s="19"/>
      <c r="N219" s="201" t="s">
        <v>119</v>
      </c>
      <c r="O219" s="146"/>
      <c r="P219" s="43"/>
      <c r="Q219" s="43"/>
      <c r="R219" s="35" t="s">
        <v>272</v>
      </c>
    </row>
    <row r="220" spans="1:18" ht="35.25" customHeight="1">
      <c r="A220" s="15">
        <f t="shared" si="3"/>
        <v>210</v>
      </c>
      <c r="B220" s="141" t="s">
        <v>62</v>
      </c>
      <c r="C220" s="64" t="s">
        <v>61</v>
      </c>
      <c r="D220" s="19"/>
      <c r="E220" s="19"/>
      <c r="F220" s="19"/>
      <c r="G220" s="11" t="s">
        <v>60</v>
      </c>
      <c r="H220" s="141"/>
      <c r="I220" s="13" t="s">
        <v>18</v>
      </c>
      <c r="J220" s="15">
        <v>1</v>
      </c>
      <c r="K220" s="11" t="s">
        <v>730</v>
      </c>
      <c r="L220" s="141" t="s">
        <v>17</v>
      </c>
      <c r="M220" s="19"/>
      <c r="N220" s="201" t="s">
        <v>119</v>
      </c>
      <c r="O220" s="146"/>
      <c r="P220" s="43"/>
      <c r="Q220" s="43"/>
      <c r="R220" s="35" t="s">
        <v>272</v>
      </c>
    </row>
    <row r="221" spans="1:18" ht="35.25" customHeight="1">
      <c r="A221" s="15">
        <f t="shared" si="3"/>
        <v>211</v>
      </c>
      <c r="B221" s="141" t="s">
        <v>59</v>
      </c>
      <c r="C221" s="64" t="s">
        <v>58</v>
      </c>
      <c r="D221" s="19"/>
      <c r="E221" s="19"/>
      <c r="F221" s="19"/>
      <c r="G221" s="11" t="s">
        <v>57</v>
      </c>
      <c r="H221" s="141"/>
      <c r="I221" s="13" t="s">
        <v>18</v>
      </c>
      <c r="J221" s="15">
        <v>1</v>
      </c>
      <c r="K221" s="11" t="s">
        <v>730</v>
      </c>
      <c r="L221" s="141" t="s">
        <v>17</v>
      </c>
      <c r="M221" s="19"/>
      <c r="N221" s="201" t="s">
        <v>119</v>
      </c>
      <c r="O221" s="146"/>
      <c r="P221" s="43"/>
      <c r="Q221" s="43"/>
      <c r="R221" s="35" t="s">
        <v>272</v>
      </c>
    </row>
    <row r="222" spans="1:18" ht="35.25" customHeight="1">
      <c r="A222" s="15">
        <f t="shared" si="3"/>
        <v>212</v>
      </c>
      <c r="B222" s="141" t="s">
        <v>56</v>
      </c>
      <c r="C222" s="64" t="s">
        <v>862</v>
      </c>
      <c r="D222" s="19"/>
      <c r="E222" s="19"/>
      <c r="F222" s="19"/>
      <c r="G222" s="11"/>
      <c r="H222" s="141"/>
      <c r="I222" s="13" t="s">
        <v>18</v>
      </c>
      <c r="J222" s="15">
        <v>1</v>
      </c>
      <c r="K222" s="11" t="s">
        <v>730</v>
      </c>
      <c r="L222" s="141" t="s">
        <v>17</v>
      </c>
      <c r="M222" s="19"/>
      <c r="N222" s="201" t="s">
        <v>119</v>
      </c>
      <c r="O222" s="146"/>
      <c r="P222" s="43"/>
      <c r="Q222" s="43"/>
      <c r="R222" s="35" t="s">
        <v>272</v>
      </c>
    </row>
    <row r="223" spans="1:18" ht="35.25" customHeight="1">
      <c r="A223" s="15">
        <f t="shared" si="3"/>
        <v>213</v>
      </c>
      <c r="B223" s="141" t="s">
        <v>54</v>
      </c>
      <c r="C223" s="64" t="s">
        <v>53</v>
      </c>
      <c r="D223" s="19"/>
      <c r="E223" s="19"/>
      <c r="F223" s="19"/>
      <c r="G223" s="11"/>
      <c r="H223" s="141"/>
      <c r="I223" s="13" t="s">
        <v>18</v>
      </c>
      <c r="J223" s="15">
        <v>1</v>
      </c>
      <c r="K223" s="11" t="s">
        <v>730</v>
      </c>
      <c r="L223" s="141" t="s">
        <v>17</v>
      </c>
      <c r="M223" s="19"/>
      <c r="N223" s="201" t="s">
        <v>119</v>
      </c>
      <c r="O223" s="146"/>
      <c r="P223" s="43"/>
      <c r="Q223" s="43"/>
      <c r="R223" s="35" t="s">
        <v>272</v>
      </c>
    </row>
    <row r="224" spans="1:18" ht="35.25" customHeight="1">
      <c r="A224" s="15">
        <f t="shared" si="3"/>
        <v>214</v>
      </c>
      <c r="B224" s="141" t="s">
        <v>52</v>
      </c>
      <c r="C224" s="64" t="s">
        <v>51</v>
      </c>
      <c r="D224" s="19"/>
      <c r="E224" s="19"/>
      <c r="F224" s="19"/>
      <c r="G224" s="11"/>
      <c r="H224" s="141"/>
      <c r="I224" s="13" t="s">
        <v>18</v>
      </c>
      <c r="J224" s="15">
        <v>1</v>
      </c>
      <c r="K224" s="11" t="s">
        <v>730</v>
      </c>
      <c r="L224" s="141" t="s">
        <v>17</v>
      </c>
      <c r="M224" s="19"/>
      <c r="N224" s="201" t="s">
        <v>119</v>
      </c>
      <c r="O224" s="146"/>
      <c r="P224" s="43"/>
      <c r="Q224" s="43"/>
      <c r="R224" s="35" t="s">
        <v>272</v>
      </c>
    </row>
    <row r="225" spans="1:18" ht="35.25" customHeight="1">
      <c r="A225" s="15">
        <f t="shared" si="3"/>
        <v>215</v>
      </c>
      <c r="B225" s="141" t="s">
        <v>50</v>
      </c>
      <c r="C225" s="64" t="s">
        <v>49</v>
      </c>
      <c r="D225" s="19"/>
      <c r="E225" s="19"/>
      <c r="F225" s="19"/>
      <c r="G225" s="11" t="s">
        <v>48</v>
      </c>
      <c r="H225" s="141"/>
      <c r="I225" s="13" t="s">
        <v>18</v>
      </c>
      <c r="J225" s="15">
        <v>1</v>
      </c>
      <c r="K225" s="11" t="s">
        <v>730</v>
      </c>
      <c r="L225" s="141" t="s">
        <v>17</v>
      </c>
      <c r="M225" s="19"/>
      <c r="N225" s="201" t="s">
        <v>119</v>
      </c>
      <c r="O225" s="146"/>
      <c r="P225" s="43"/>
      <c r="Q225" s="43"/>
      <c r="R225" s="35" t="s">
        <v>272</v>
      </c>
    </row>
    <row r="226" spans="1:18" ht="35.25" customHeight="1">
      <c r="A226" s="15">
        <f t="shared" si="3"/>
        <v>216</v>
      </c>
      <c r="B226" s="141" t="s">
        <v>47</v>
      </c>
      <c r="C226" s="64" t="s">
        <v>46</v>
      </c>
      <c r="D226" s="19"/>
      <c r="E226" s="19"/>
      <c r="F226" s="19"/>
      <c r="G226" s="11" t="s">
        <v>45</v>
      </c>
      <c r="H226" s="141"/>
      <c r="I226" s="13" t="s">
        <v>18</v>
      </c>
      <c r="J226" s="15">
        <v>18</v>
      </c>
      <c r="K226" s="11" t="s">
        <v>730</v>
      </c>
      <c r="L226" s="141" t="s">
        <v>17</v>
      </c>
      <c r="M226" s="19"/>
      <c r="N226" s="201" t="s">
        <v>119</v>
      </c>
      <c r="O226" s="146"/>
      <c r="P226" s="43"/>
      <c r="Q226" s="43"/>
      <c r="R226" s="35" t="s">
        <v>44</v>
      </c>
    </row>
    <row r="227" spans="1:18" ht="35.25" customHeight="1">
      <c r="A227" s="15">
        <f t="shared" si="3"/>
        <v>217</v>
      </c>
      <c r="B227" s="141" t="s">
        <v>43</v>
      </c>
      <c r="C227" s="64" t="s">
        <v>42</v>
      </c>
      <c r="D227" s="19"/>
      <c r="E227" s="19"/>
      <c r="F227" s="19"/>
      <c r="G227" s="11"/>
      <c r="H227" s="141"/>
      <c r="I227" s="13" t="s">
        <v>18</v>
      </c>
      <c r="J227" s="15">
        <v>1</v>
      </c>
      <c r="K227" s="11" t="s">
        <v>730</v>
      </c>
      <c r="L227" s="141" t="s">
        <v>17</v>
      </c>
      <c r="M227" s="19"/>
      <c r="N227" s="201" t="s">
        <v>119</v>
      </c>
      <c r="O227" s="146"/>
      <c r="P227" s="43"/>
      <c r="Q227" s="43"/>
      <c r="R227" s="64" t="s">
        <v>37</v>
      </c>
    </row>
    <row r="228" spans="1:18" ht="35.25" customHeight="1">
      <c r="A228" s="15">
        <f t="shared" si="3"/>
        <v>218</v>
      </c>
      <c r="B228" s="141" t="s">
        <v>41</v>
      </c>
      <c r="C228" s="64" t="s">
        <v>40</v>
      </c>
      <c r="D228" s="19"/>
      <c r="E228" s="19"/>
      <c r="F228" s="19"/>
      <c r="G228" s="11"/>
      <c r="H228" s="141"/>
      <c r="I228" s="13" t="s">
        <v>18</v>
      </c>
      <c r="J228" s="15">
        <v>1</v>
      </c>
      <c r="K228" s="11" t="s">
        <v>730</v>
      </c>
      <c r="L228" s="141" t="s">
        <v>17</v>
      </c>
      <c r="M228" s="19"/>
      <c r="N228" s="201" t="s">
        <v>119</v>
      </c>
      <c r="O228" s="146"/>
      <c r="P228" s="43"/>
      <c r="Q228" s="43"/>
      <c r="R228" s="64" t="s">
        <v>39</v>
      </c>
    </row>
    <row r="229" spans="1:18" ht="35.25" customHeight="1">
      <c r="A229" s="15">
        <f t="shared" si="3"/>
        <v>219</v>
      </c>
      <c r="B229" s="141" t="s">
        <v>863</v>
      </c>
      <c r="C229" s="64" t="s">
        <v>35</v>
      </c>
      <c r="D229" s="19"/>
      <c r="E229" s="19"/>
      <c r="F229" s="19"/>
      <c r="G229" s="11"/>
      <c r="H229" s="141"/>
      <c r="I229" s="13" t="s">
        <v>18</v>
      </c>
      <c r="J229" s="15">
        <v>1</v>
      </c>
      <c r="K229" s="11" t="s">
        <v>730</v>
      </c>
      <c r="L229" s="141" t="s">
        <v>17</v>
      </c>
      <c r="M229" s="19"/>
      <c r="N229" s="201" t="s">
        <v>119</v>
      </c>
      <c r="O229" s="146"/>
      <c r="P229" s="43"/>
      <c r="Q229" s="43"/>
      <c r="R229" s="64" t="s">
        <v>37</v>
      </c>
    </row>
    <row r="230" spans="1:18" ht="35.25" customHeight="1">
      <c r="A230" s="15">
        <f t="shared" si="3"/>
        <v>220</v>
      </c>
      <c r="B230" s="141" t="s">
        <v>864</v>
      </c>
      <c r="C230" s="64" t="s">
        <v>35</v>
      </c>
      <c r="D230" s="19"/>
      <c r="E230" s="19"/>
      <c r="F230" s="19"/>
      <c r="G230" s="11"/>
      <c r="H230" s="141"/>
      <c r="I230" s="13" t="s">
        <v>18</v>
      </c>
      <c r="J230" s="15">
        <v>1</v>
      </c>
      <c r="K230" s="11" t="s">
        <v>730</v>
      </c>
      <c r="L230" s="141" t="s">
        <v>17</v>
      </c>
      <c r="M230" s="19"/>
      <c r="N230" s="201" t="s">
        <v>119</v>
      </c>
      <c r="O230" s="146"/>
      <c r="P230" s="43"/>
      <c r="Q230" s="43"/>
      <c r="R230" s="64" t="s">
        <v>37</v>
      </c>
    </row>
    <row r="231" spans="1:18" ht="35.25" customHeight="1">
      <c r="A231" s="15">
        <f t="shared" si="3"/>
        <v>221</v>
      </c>
      <c r="B231" s="141" t="s">
        <v>865</v>
      </c>
      <c r="C231" s="64" t="s">
        <v>35</v>
      </c>
      <c r="D231" s="19"/>
      <c r="E231" s="19"/>
      <c r="F231" s="19"/>
      <c r="G231" s="11"/>
      <c r="H231" s="141"/>
      <c r="I231" s="13" t="s">
        <v>18</v>
      </c>
      <c r="J231" s="15">
        <v>1</v>
      </c>
      <c r="K231" s="11" t="s">
        <v>730</v>
      </c>
      <c r="L231" s="141" t="s">
        <v>17</v>
      </c>
      <c r="M231" s="19"/>
      <c r="N231" s="201" t="s">
        <v>119</v>
      </c>
      <c r="O231" s="146"/>
      <c r="P231" s="43"/>
      <c r="Q231" s="43"/>
      <c r="R231" s="64" t="s">
        <v>37</v>
      </c>
    </row>
    <row r="232" spans="1:18" ht="35.25" customHeight="1">
      <c r="A232" s="15">
        <f t="shared" si="3"/>
        <v>222</v>
      </c>
      <c r="B232" s="141" t="s">
        <v>866</v>
      </c>
      <c r="C232" s="64" t="s">
        <v>35</v>
      </c>
      <c r="D232" s="19"/>
      <c r="E232" s="19"/>
      <c r="F232" s="19"/>
      <c r="G232" s="11"/>
      <c r="H232" s="141"/>
      <c r="I232" s="13" t="s">
        <v>18</v>
      </c>
      <c r="J232" s="15">
        <v>1</v>
      </c>
      <c r="K232" s="11" t="s">
        <v>730</v>
      </c>
      <c r="L232" s="141" t="s">
        <v>17</v>
      </c>
      <c r="M232" s="19"/>
      <c r="N232" s="201" t="s">
        <v>119</v>
      </c>
      <c r="O232" s="146"/>
      <c r="P232" s="43"/>
      <c r="Q232" s="43"/>
      <c r="R232" s="64" t="s">
        <v>37</v>
      </c>
    </row>
    <row r="233" spans="1:18" ht="35.25" customHeight="1">
      <c r="A233" s="15">
        <f t="shared" si="3"/>
        <v>223</v>
      </c>
      <c r="B233" s="141" t="s">
        <v>867</v>
      </c>
      <c r="C233" s="64" t="s">
        <v>35</v>
      </c>
      <c r="D233" s="19"/>
      <c r="E233" s="19"/>
      <c r="F233" s="19"/>
      <c r="G233" s="11"/>
      <c r="H233" s="141"/>
      <c r="I233" s="13" t="s">
        <v>18</v>
      </c>
      <c r="J233" s="15">
        <v>1</v>
      </c>
      <c r="K233" s="11" t="s">
        <v>730</v>
      </c>
      <c r="L233" s="141" t="s">
        <v>17</v>
      </c>
      <c r="M233" s="19"/>
      <c r="N233" s="201" t="s">
        <v>119</v>
      </c>
      <c r="O233" s="146"/>
      <c r="P233" s="43"/>
      <c r="Q233" s="43"/>
      <c r="R233" s="64" t="s">
        <v>37</v>
      </c>
    </row>
    <row r="234" spans="1:18" ht="35.25" customHeight="1">
      <c r="A234" s="15">
        <f t="shared" si="3"/>
        <v>224</v>
      </c>
      <c r="B234" s="141" t="s">
        <v>868</v>
      </c>
      <c r="C234" s="64" t="s">
        <v>35</v>
      </c>
      <c r="D234" s="46"/>
      <c r="E234" s="46"/>
      <c r="F234" s="46"/>
      <c r="G234" s="11"/>
      <c r="H234" s="141"/>
      <c r="I234" s="13" t="s">
        <v>18</v>
      </c>
      <c r="J234" s="15">
        <v>1</v>
      </c>
      <c r="K234" s="11" t="s">
        <v>730</v>
      </c>
      <c r="L234" s="141" t="s">
        <v>17</v>
      </c>
      <c r="M234" s="19"/>
      <c r="N234" s="201" t="s">
        <v>119</v>
      </c>
      <c r="O234" s="146"/>
      <c r="P234" s="43"/>
      <c r="Q234" s="43"/>
      <c r="R234" s="64" t="s">
        <v>37</v>
      </c>
    </row>
    <row r="235" spans="1:18" ht="35.25" customHeight="1">
      <c r="A235" s="15">
        <f t="shared" si="3"/>
        <v>225</v>
      </c>
      <c r="B235" s="141" t="s">
        <v>869</v>
      </c>
      <c r="C235" s="64" t="s">
        <v>35</v>
      </c>
      <c r="D235" s="19"/>
      <c r="E235" s="19"/>
      <c r="F235" s="19"/>
      <c r="G235" s="11"/>
      <c r="H235" s="141"/>
      <c r="I235" s="13" t="s">
        <v>18</v>
      </c>
      <c r="J235" s="15">
        <v>1</v>
      </c>
      <c r="K235" s="11" t="s">
        <v>730</v>
      </c>
      <c r="L235" s="141" t="s">
        <v>17</v>
      </c>
      <c r="M235" s="19"/>
      <c r="N235" s="201" t="s">
        <v>119</v>
      </c>
      <c r="O235" s="146"/>
      <c r="P235" s="43"/>
      <c r="Q235" s="43"/>
      <c r="R235" s="64" t="s">
        <v>37</v>
      </c>
    </row>
    <row r="236" spans="1:18" ht="35.25" customHeight="1">
      <c r="A236" s="15">
        <f t="shared" si="3"/>
        <v>226</v>
      </c>
      <c r="B236" s="141" t="s">
        <v>870</v>
      </c>
      <c r="C236" s="64" t="s">
        <v>35</v>
      </c>
      <c r="D236" s="46"/>
      <c r="E236" s="46"/>
      <c r="F236" s="46"/>
      <c r="G236" s="11"/>
      <c r="H236" s="141"/>
      <c r="I236" s="13" t="s">
        <v>18</v>
      </c>
      <c r="J236" s="15">
        <v>1</v>
      </c>
      <c r="K236" s="11" t="s">
        <v>730</v>
      </c>
      <c r="L236" s="141" t="s">
        <v>17</v>
      </c>
      <c r="M236" s="19"/>
      <c r="N236" s="201" t="s">
        <v>119</v>
      </c>
      <c r="O236" s="146"/>
      <c r="P236" s="43"/>
      <c r="Q236" s="43"/>
      <c r="R236" s="64" t="s">
        <v>37</v>
      </c>
    </row>
    <row r="237" spans="1:18" ht="35.25" customHeight="1">
      <c r="A237" s="15">
        <f t="shared" si="3"/>
        <v>227</v>
      </c>
      <c r="B237" s="141" t="s">
        <v>871</v>
      </c>
      <c r="C237" s="64" t="s">
        <v>35</v>
      </c>
      <c r="D237" s="46"/>
      <c r="E237" s="46"/>
      <c r="F237" s="46"/>
      <c r="G237" s="11"/>
      <c r="H237" s="141"/>
      <c r="I237" s="13" t="s">
        <v>18</v>
      </c>
      <c r="J237" s="15">
        <v>1</v>
      </c>
      <c r="K237" s="11" t="s">
        <v>730</v>
      </c>
      <c r="L237" s="141" t="s">
        <v>17</v>
      </c>
      <c r="M237" s="19"/>
      <c r="N237" s="201" t="s">
        <v>119</v>
      </c>
      <c r="O237" s="146"/>
      <c r="P237" s="43"/>
      <c r="Q237" s="43"/>
      <c r="R237" s="64" t="s">
        <v>37</v>
      </c>
    </row>
    <row r="238" spans="1:18" ht="35.25" customHeight="1">
      <c r="A238" s="15">
        <f t="shared" si="3"/>
        <v>228</v>
      </c>
      <c r="B238" s="141" t="s">
        <v>872</v>
      </c>
      <c r="C238" s="64" t="s">
        <v>35</v>
      </c>
      <c r="D238" s="46"/>
      <c r="E238" s="46"/>
      <c r="F238" s="46"/>
      <c r="G238" s="11"/>
      <c r="H238" s="141"/>
      <c r="I238" s="13" t="s">
        <v>18</v>
      </c>
      <c r="J238" s="15">
        <v>1</v>
      </c>
      <c r="K238" s="11" t="s">
        <v>730</v>
      </c>
      <c r="L238" s="141" t="s">
        <v>17</v>
      </c>
      <c r="M238" s="19"/>
      <c r="N238" s="201" t="s">
        <v>119</v>
      </c>
      <c r="O238" s="146"/>
      <c r="P238" s="43"/>
      <c r="Q238" s="43"/>
      <c r="R238" s="64" t="s">
        <v>37</v>
      </c>
    </row>
    <row r="239" spans="1:18" ht="35.25" customHeight="1">
      <c r="A239" s="15">
        <f t="shared" si="3"/>
        <v>229</v>
      </c>
      <c r="B239" s="141" t="s">
        <v>873</v>
      </c>
      <c r="C239" s="64" t="s">
        <v>35</v>
      </c>
      <c r="D239" s="46"/>
      <c r="E239" s="46"/>
      <c r="F239" s="46"/>
      <c r="G239" s="11"/>
      <c r="H239" s="141"/>
      <c r="I239" s="13" t="s">
        <v>18</v>
      </c>
      <c r="J239" s="15">
        <v>1</v>
      </c>
      <c r="K239" s="11" t="s">
        <v>730</v>
      </c>
      <c r="L239" s="141" t="s">
        <v>17</v>
      </c>
      <c r="M239" s="19"/>
      <c r="N239" s="201" t="s">
        <v>119</v>
      </c>
      <c r="O239" s="146"/>
      <c r="P239" s="43"/>
      <c r="Q239" s="43"/>
      <c r="R239" s="64" t="s">
        <v>37</v>
      </c>
    </row>
    <row r="240" spans="1:18" ht="35.25" customHeight="1">
      <c r="A240" s="15">
        <f t="shared" si="3"/>
        <v>230</v>
      </c>
      <c r="B240" s="141" t="s">
        <v>874</v>
      </c>
      <c r="C240" s="64" t="s">
        <v>35</v>
      </c>
      <c r="D240" s="19"/>
      <c r="E240" s="19"/>
      <c r="F240" s="19"/>
      <c r="G240" s="11"/>
      <c r="H240" s="141"/>
      <c r="I240" s="13" t="s">
        <v>18</v>
      </c>
      <c r="J240" s="15">
        <v>1</v>
      </c>
      <c r="K240" s="11" t="s">
        <v>730</v>
      </c>
      <c r="L240" s="141" t="s">
        <v>17</v>
      </c>
      <c r="M240" s="19"/>
      <c r="N240" s="201" t="s">
        <v>119</v>
      </c>
      <c r="O240" s="146"/>
      <c r="P240" s="43"/>
      <c r="Q240" s="43"/>
      <c r="R240" s="64" t="s">
        <v>37</v>
      </c>
    </row>
    <row r="241" spans="1:18" ht="35.25" customHeight="1">
      <c r="A241" s="15">
        <f t="shared" si="3"/>
        <v>231</v>
      </c>
      <c r="B241" s="141" t="s">
        <v>875</v>
      </c>
      <c r="C241" s="64" t="s">
        <v>35</v>
      </c>
      <c r="D241" s="19"/>
      <c r="E241" s="19"/>
      <c r="F241" s="19"/>
      <c r="G241" s="11"/>
      <c r="H241" s="141"/>
      <c r="I241" s="13" t="s">
        <v>18</v>
      </c>
      <c r="J241" s="15">
        <v>1</v>
      </c>
      <c r="K241" s="11" t="s">
        <v>730</v>
      </c>
      <c r="L241" s="141" t="s">
        <v>17</v>
      </c>
      <c r="M241" s="19"/>
      <c r="N241" s="201" t="s">
        <v>119</v>
      </c>
      <c r="O241" s="146"/>
      <c r="P241" s="43"/>
      <c r="Q241" s="43"/>
      <c r="R241" s="64" t="s">
        <v>37</v>
      </c>
    </row>
    <row r="242" spans="1:18" ht="35.25" customHeight="1">
      <c r="A242" s="15">
        <f t="shared" si="3"/>
        <v>232</v>
      </c>
      <c r="B242" s="141" t="s">
        <v>876</v>
      </c>
      <c r="C242" s="64" t="s">
        <v>35</v>
      </c>
      <c r="D242" s="19"/>
      <c r="E242" s="19"/>
      <c r="F242" s="19"/>
      <c r="G242" s="11"/>
      <c r="H242" s="141"/>
      <c r="I242" s="13" t="s">
        <v>18</v>
      </c>
      <c r="J242" s="15">
        <v>1</v>
      </c>
      <c r="K242" s="11" t="s">
        <v>730</v>
      </c>
      <c r="L242" s="141" t="s">
        <v>17</v>
      </c>
      <c r="M242" s="19"/>
      <c r="N242" s="201" t="s">
        <v>119</v>
      </c>
      <c r="O242" s="146"/>
      <c r="P242" s="43"/>
      <c r="Q242" s="43"/>
      <c r="R242" s="64" t="s">
        <v>37</v>
      </c>
    </row>
    <row r="243" spans="1:18" ht="35.25" customHeight="1">
      <c r="A243" s="15">
        <f t="shared" si="3"/>
        <v>233</v>
      </c>
      <c r="B243" s="141" t="s">
        <v>877</v>
      </c>
      <c r="C243" s="64" t="s">
        <v>35</v>
      </c>
      <c r="D243" s="19"/>
      <c r="E243" s="19"/>
      <c r="F243" s="19"/>
      <c r="G243" s="11"/>
      <c r="H243" s="141"/>
      <c r="I243" s="13" t="s">
        <v>18</v>
      </c>
      <c r="J243" s="15">
        <v>1</v>
      </c>
      <c r="K243" s="11" t="s">
        <v>730</v>
      </c>
      <c r="L243" s="141" t="s">
        <v>17</v>
      </c>
      <c r="M243" s="19"/>
      <c r="N243" s="201" t="s">
        <v>119</v>
      </c>
      <c r="O243" s="146"/>
      <c r="P243" s="43"/>
      <c r="Q243" s="43"/>
      <c r="R243" s="64" t="s">
        <v>37</v>
      </c>
    </row>
    <row r="244" spans="1:18" ht="35.25" customHeight="1">
      <c r="A244" s="15">
        <f t="shared" si="3"/>
        <v>234</v>
      </c>
      <c r="B244" s="141" t="s">
        <v>878</v>
      </c>
      <c r="C244" s="64" t="s">
        <v>35</v>
      </c>
      <c r="D244" s="19"/>
      <c r="E244" s="19"/>
      <c r="F244" s="19"/>
      <c r="G244" s="11"/>
      <c r="H244" s="141"/>
      <c r="I244" s="13" t="s">
        <v>18</v>
      </c>
      <c r="J244" s="15">
        <v>1</v>
      </c>
      <c r="K244" s="11" t="s">
        <v>730</v>
      </c>
      <c r="L244" s="141" t="s">
        <v>17</v>
      </c>
      <c r="M244" s="19"/>
      <c r="N244" s="201" t="s">
        <v>119</v>
      </c>
      <c r="O244" s="146"/>
      <c r="P244" s="43"/>
      <c r="Q244" s="43"/>
      <c r="R244" s="64" t="s">
        <v>37</v>
      </c>
    </row>
    <row r="245" spans="1:18" ht="35.25" customHeight="1">
      <c r="A245" s="15">
        <f t="shared" si="3"/>
        <v>235</v>
      </c>
      <c r="B245" s="141" t="s">
        <v>879</v>
      </c>
      <c r="C245" s="64" t="s">
        <v>35</v>
      </c>
      <c r="D245" s="19"/>
      <c r="E245" s="19"/>
      <c r="F245" s="19"/>
      <c r="G245" s="11"/>
      <c r="H245" s="141"/>
      <c r="I245" s="13" t="s">
        <v>18</v>
      </c>
      <c r="J245" s="15">
        <v>1</v>
      </c>
      <c r="K245" s="11" t="s">
        <v>730</v>
      </c>
      <c r="L245" s="141" t="s">
        <v>17</v>
      </c>
      <c r="M245" s="19"/>
      <c r="N245" s="201" t="s">
        <v>119</v>
      </c>
      <c r="O245" s="146"/>
      <c r="P245" s="43"/>
      <c r="Q245" s="43"/>
      <c r="R245" s="64" t="s">
        <v>37</v>
      </c>
    </row>
    <row r="246" spans="1:18" ht="35.25" customHeight="1">
      <c r="A246" s="15">
        <f t="shared" si="3"/>
        <v>236</v>
      </c>
      <c r="B246" s="141" t="s">
        <v>880</v>
      </c>
      <c r="C246" s="64" t="s">
        <v>35</v>
      </c>
      <c r="D246" s="46"/>
      <c r="E246" s="46"/>
      <c r="F246" s="46"/>
      <c r="G246" s="11"/>
      <c r="H246" s="141"/>
      <c r="I246" s="13" t="s">
        <v>18</v>
      </c>
      <c r="J246" s="15">
        <v>1</v>
      </c>
      <c r="K246" s="11" t="s">
        <v>730</v>
      </c>
      <c r="L246" s="141" t="s">
        <v>17</v>
      </c>
      <c r="M246" s="19"/>
      <c r="N246" s="201" t="s">
        <v>119</v>
      </c>
      <c r="O246" s="146"/>
      <c r="P246" s="43"/>
      <c r="Q246" s="43"/>
      <c r="R246" s="64" t="s">
        <v>37</v>
      </c>
    </row>
    <row r="247" spans="1:18" ht="35.25" customHeight="1">
      <c r="A247" s="15">
        <f t="shared" si="3"/>
        <v>237</v>
      </c>
      <c r="B247" s="141" t="s">
        <v>881</v>
      </c>
      <c r="C247" s="64" t="s">
        <v>35</v>
      </c>
      <c r="D247" s="46"/>
      <c r="E247" s="46"/>
      <c r="F247" s="46"/>
      <c r="G247" s="11"/>
      <c r="H247" s="141"/>
      <c r="I247" s="13" t="s">
        <v>18</v>
      </c>
      <c r="J247" s="15">
        <v>1</v>
      </c>
      <c r="K247" s="11" t="s">
        <v>730</v>
      </c>
      <c r="L247" s="141" t="s">
        <v>17</v>
      </c>
      <c r="M247" s="19"/>
      <c r="N247" s="201" t="s">
        <v>119</v>
      </c>
      <c r="O247" s="146"/>
      <c r="P247" s="43"/>
      <c r="Q247" s="43"/>
      <c r="R247" s="64" t="s">
        <v>39</v>
      </c>
    </row>
    <row r="248" spans="1:18" ht="35.25" customHeight="1">
      <c r="A248" s="15">
        <f t="shared" si="3"/>
        <v>238</v>
      </c>
      <c r="B248" s="141" t="s">
        <v>882</v>
      </c>
      <c r="C248" s="64" t="s">
        <v>35</v>
      </c>
      <c r="D248" s="46"/>
      <c r="E248" s="46"/>
      <c r="F248" s="46"/>
      <c r="G248" s="11"/>
      <c r="H248" s="141"/>
      <c r="I248" s="13" t="s">
        <v>18</v>
      </c>
      <c r="J248" s="15">
        <v>1</v>
      </c>
      <c r="K248" s="11" t="s">
        <v>730</v>
      </c>
      <c r="L248" s="141" t="s">
        <v>17</v>
      </c>
      <c r="M248" s="19"/>
      <c r="N248" s="201" t="s">
        <v>119</v>
      </c>
      <c r="O248" s="146"/>
      <c r="P248" s="43"/>
      <c r="Q248" s="43"/>
      <c r="R248" s="64" t="s">
        <v>39</v>
      </c>
    </row>
    <row r="249" spans="1:18" ht="35.25" customHeight="1">
      <c r="A249" s="15">
        <f t="shared" si="3"/>
        <v>239</v>
      </c>
      <c r="B249" s="141" t="s">
        <v>883</v>
      </c>
      <c r="C249" s="64" t="s">
        <v>35</v>
      </c>
      <c r="D249" s="19"/>
      <c r="E249" s="19"/>
      <c r="F249" s="19"/>
      <c r="G249" s="11"/>
      <c r="H249" s="141"/>
      <c r="I249" s="13" t="s">
        <v>18</v>
      </c>
      <c r="J249" s="15">
        <v>1</v>
      </c>
      <c r="K249" s="11" t="s">
        <v>730</v>
      </c>
      <c r="L249" s="141" t="s">
        <v>17</v>
      </c>
      <c r="M249" s="19"/>
      <c r="N249" s="201" t="s">
        <v>119</v>
      </c>
      <c r="O249" s="146"/>
      <c r="P249" s="43"/>
      <c r="Q249" s="43"/>
      <c r="R249" s="64" t="s">
        <v>39</v>
      </c>
    </row>
    <row r="250" spans="1:18" ht="35.25" customHeight="1">
      <c r="A250" s="15">
        <f t="shared" si="3"/>
        <v>240</v>
      </c>
      <c r="B250" s="141" t="s">
        <v>884</v>
      </c>
      <c r="C250" s="64" t="s">
        <v>35</v>
      </c>
      <c r="D250" s="19"/>
      <c r="E250" s="19"/>
      <c r="F250" s="19"/>
      <c r="G250" s="11"/>
      <c r="H250" s="141"/>
      <c r="I250" s="13" t="s">
        <v>18</v>
      </c>
      <c r="J250" s="15">
        <v>1</v>
      </c>
      <c r="K250" s="11" t="s">
        <v>730</v>
      </c>
      <c r="L250" s="141" t="s">
        <v>17</v>
      </c>
      <c r="M250" s="19"/>
      <c r="N250" s="201" t="s">
        <v>119</v>
      </c>
      <c r="O250" s="146"/>
      <c r="P250" s="43"/>
      <c r="Q250" s="43"/>
      <c r="R250" s="64" t="s">
        <v>39</v>
      </c>
    </row>
    <row r="251" spans="1:18" ht="35.25" customHeight="1">
      <c r="A251" s="15">
        <f t="shared" si="3"/>
        <v>241</v>
      </c>
      <c r="B251" s="141" t="s">
        <v>885</v>
      </c>
      <c r="C251" s="64" t="s">
        <v>35</v>
      </c>
      <c r="D251" s="19"/>
      <c r="E251" s="19"/>
      <c r="F251" s="19"/>
      <c r="G251" s="11"/>
      <c r="H251" s="141"/>
      <c r="I251" s="13" t="s">
        <v>18</v>
      </c>
      <c r="J251" s="15">
        <v>1</v>
      </c>
      <c r="K251" s="11" t="s">
        <v>730</v>
      </c>
      <c r="L251" s="141" t="s">
        <v>17</v>
      </c>
      <c r="M251" s="19"/>
      <c r="N251" s="201" t="s">
        <v>119</v>
      </c>
      <c r="O251" s="146"/>
      <c r="P251" s="43"/>
      <c r="Q251" s="43"/>
      <c r="R251" s="64" t="s">
        <v>39</v>
      </c>
    </row>
    <row r="252" spans="1:18" ht="35.25" customHeight="1">
      <c r="A252" s="15">
        <f t="shared" si="3"/>
        <v>242</v>
      </c>
      <c r="B252" s="141" t="s">
        <v>886</v>
      </c>
      <c r="C252" s="64" t="s">
        <v>32</v>
      </c>
      <c r="D252" s="19"/>
      <c r="E252" s="19"/>
      <c r="F252" s="19"/>
      <c r="G252" s="11"/>
      <c r="H252" s="141"/>
      <c r="I252" s="13" t="s">
        <v>18</v>
      </c>
      <c r="J252" s="15">
        <v>1</v>
      </c>
      <c r="K252" s="11" t="s">
        <v>730</v>
      </c>
      <c r="L252" s="141" t="s">
        <v>2514</v>
      </c>
      <c r="M252" s="19"/>
      <c r="N252" s="141" t="s">
        <v>2526</v>
      </c>
      <c r="O252" s="146"/>
      <c r="P252" s="43"/>
      <c r="Q252" s="43"/>
      <c r="R252" s="64" t="s">
        <v>25</v>
      </c>
    </row>
    <row r="253" spans="1:18" ht="35.25" customHeight="1">
      <c r="A253" s="15">
        <f t="shared" si="3"/>
        <v>243</v>
      </c>
      <c r="B253" s="141" t="s">
        <v>887</v>
      </c>
      <c r="C253" s="64" t="s">
        <v>32</v>
      </c>
      <c r="D253" s="19"/>
      <c r="E253" s="19"/>
      <c r="F253" s="19"/>
      <c r="G253" s="11"/>
      <c r="H253" s="141"/>
      <c r="I253" s="13" t="s">
        <v>18</v>
      </c>
      <c r="J253" s="15">
        <v>1</v>
      </c>
      <c r="K253" s="11" t="s">
        <v>730</v>
      </c>
      <c r="L253" s="141" t="s">
        <v>2514</v>
      </c>
      <c r="M253" s="19"/>
      <c r="N253" s="141" t="s">
        <v>2656</v>
      </c>
      <c r="O253" s="146"/>
      <c r="P253" s="19"/>
      <c r="Q253" s="19"/>
      <c r="R253" s="64" t="s">
        <v>25</v>
      </c>
    </row>
    <row r="254" spans="1:18" ht="35.25" customHeight="1">
      <c r="A254" s="15">
        <f t="shared" si="3"/>
        <v>244</v>
      </c>
      <c r="B254" s="141" t="s">
        <v>888</v>
      </c>
      <c r="C254" s="64" t="s">
        <v>32</v>
      </c>
      <c r="D254" s="19"/>
      <c r="E254" s="19"/>
      <c r="F254" s="19"/>
      <c r="G254" s="11"/>
      <c r="H254" s="141"/>
      <c r="I254" s="13" t="s">
        <v>18</v>
      </c>
      <c r="J254" s="15">
        <v>1</v>
      </c>
      <c r="K254" s="11" t="s">
        <v>730</v>
      </c>
      <c r="L254" s="141" t="s">
        <v>2514</v>
      </c>
      <c r="M254" s="276" t="s">
        <v>3261</v>
      </c>
      <c r="N254" s="141" t="s">
        <v>2527</v>
      </c>
      <c r="O254" s="146"/>
      <c r="P254" s="19"/>
      <c r="Q254" s="19"/>
      <c r="R254" s="64" t="s">
        <v>25</v>
      </c>
    </row>
    <row r="255" spans="1:18" ht="35.25" customHeight="1">
      <c r="A255" s="15">
        <f t="shared" si="3"/>
        <v>245</v>
      </c>
      <c r="B255" s="141" t="s">
        <v>31</v>
      </c>
      <c r="C255" s="64" t="s">
        <v>30</v>
      </c>
      <c r="D255" s="19"/>
      <c r="E255" s="19"/>
      <c r="F255" s="19"/>
      <c r="G255" s="11"/>
      <c r="H255" s="141"/>
      <c r="I255" s="13" t="s">
        <v>18</v>
      </c>
      <c r="J255" s="15">
        <v>1</v>
      </c>
      <c r="K255" s="11" t="s">
        <v>730</v>
      </c>
      <c r="L255" s="141" t="s">
        <v>17</v>
      </c>
      <c r="M255" s="19"/>
      <c r="N255" s="141" t="s">
        <v>119</v>
      </c>
      <c r="O255" s="146"/>
      <c r="P255" s="43"/>
      <c r="Q255" s="43"/>
      <c r="R255" s="64" t="s">
        <v>25</v>
      </c>
    </row>
    <row r="256" spans="1:18" ht="35.25" customHeight="1">
      <c r="A256" s="15">
        <f t="shared" si="3"/>
        <v>246</v>
      </c>
      <c r="B256" s="141" t="s">
        <v>29</v>
      </c>
      <c r="C256" s="64" t="s">
        <v>28</v>
      </c>
      <c r="D256" s="46"/>
      <c r="E256" s="46"/>
      <c r="F256" s="46"/>
      <c r="G256" s="11"/>
      <c r="H256" s="141"/>
      <c r="I256" s="13" t="s">
        <v>18</v>
      </c>
      <c r="J256" s="15">
        <v>1</v>
      </c>
      <c r="K256" s="11" t="s">
        <v>730</v>
      </c>
      <c r="L256" s="141" t="s">
        <v>17</v>
      </c>
      <c r="M256" s="19"/>
      <c r="N256" s="141" t="s">
        <v>119</v>
      </c>
      <c r="O256" s="146"/>
      <c r="P256" s="43"/>
      <c r="Q256" s="43"/>
      <c r="R256" s="64" t="s">
        <v>25</v>
      </c>
    </row>
    <row r="257" spans="1:39" ht="35.25" customHeight="1">
      <c r="A257" s="15">
        <f t="shared" si="3"/>
        <v>247</v>
      </c>
      <c r="B257" s="141" t="s">
        <v>27</v>
      </c>
      <c r="C257" s="64" t="s">
        <v>26</v>
      </c>
      <c r="D257" s="46"/>
      <c r="E257" s="46"/>
      <c r="F257" s="46"/>
      <c r="G257" s="11"/>
      <c r="H257" s="141"/>
      <c r="I257" s="13" t="s">
        <v>18</v>
      </c>
      <c r="J257" s="15">
        <v>1</v>
      </c>
      <c r="K257" s="11" t="s">
        <v>730</v>
      </c>
      <c r="L257" s="141" t="s">
        <v>17</v>
      </c>
      <c r="M257" s="19"/>
      <c r="N257" s="141" t="s">
        <v>119</v>
      </c>
      <c r="O257" s="146"/>
      <c r="P257" s="43"/>
      <c r="Q257" s="43"/>
      <c r="R257" s="64" t="s">
        <v>25</v>
      </c>
    </row>
    <row r="258" spans="1:39" ht="35.25" customHeight="1">
      <c r="A258" s="15">
        <f t="shared" si="3"/>
        <v>248</v>
      </c>
      <c r="B258" s="141" t="s">
        <v>889</v>
      </c>
      <c r="C258" s="64" t="s">
        <v>23</v>
      </c>
      <c r="D258" s="46"/>
      <c r="E258" s="46"/>
      <c r="F258" s="46"/>
      <c r="G258" s="11"/>
      <c r="H258" s="141"/>
      <c r="I258" s="13" t="s">
        <v>18</v>
      </c>
      <c r="J258" s="15">
        <v>1</v>
      </c>
      <c r="K258" s="11" t="s">
        <v>730</v>
      </c>
      <c r="L258" s="141" t="s">
        <v>17</v>
      </c>
      <c r="M258" s="276" t="s">
        <v>3261</v>
      </c>
      <c r="N258" s="141" t="s">
        <v>2527</v>
      </c>
      <c r="O258" s="146"/>
      <c r="P258" s="43"/>
      <c r="Q258" s="43"/>
      <c r="R258" s="64" t="s">
        <v>22</v>
      </c>
    </row>
    <row r="259" spans="1:39" s="137" customFormat="1" ht="35.25" customHeight="1">
      <c r="A259" s="15">
        <f t="shared" si="3"/>
        <v>249</v>
      </c>
      <c r="B259" s="148" t="s">
        <v>890</v>
      </c>
      <c r="C259" s="171" t="s">
        <v>891</v>
      </c>
      <c r="D259" s="25"/>
      <c r="E259" s="25"/>
      <c r="F259" s="25"/>
      <c r="G259" s="26"/>
      <c r="H259" s="148"/>
      <c r="I259" s="26" t="s">
        <v>18</v>
      </c>
      <c r="J259" s="26">
        <v>1</v>
      </c>
      <c r="K259" s="151" t="s">
        <v>300</v>
      </c>
      <c r="L259" s="148" t="s">
        <v>17</v>
      </c>
      <c r="M259" s="25"/>
      <c r="N259" s="196" t="s">
        <v>2524</v>
      </c>
      <c r="O259" s="262"/>
      <c r="P259" s="148"/>
      <c r="Q259" s="148"/>
      <c r="R259" s="196" t="s">
        <v>686</v>
      </c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</row>
    <row r="260" spans="1:39" ht="35.25" customHeight="1">
      <c r="A260" s="15">
        <f t="shared" si="3"/>
        <v>250</v>
      </c>
      <c r="B260" s="43" t="s">
        <v>699</v>
      </c>
      <c r="C260" s="150" t="s">
        <v>698</v>
      </c>
      <c r="D260" s="19"/>
      <c r="E260" s="19"/>
      <c r="F260" s="19"/>
      <c r="G260" s="15"/>
      <c r="H260" s="141"/>
      <c r="I260" s="13" t="s">
        <v>18</v>
      </c>
      <c r="J260" s="15">
        <v>1</v>
      </c>
      <c r="K260" s="144" t="s">
        <v>730</v>
      </c>
      <c r="L260" s="141" t="s">
        <v>17</v>
      </c>
      <c r="M260" s="276" t="s">
        <v>3281</v>
      </c>
      <c r="N260" s="64" t="s">
        <v>117</v>
      </c>
      <c r="O260" s="146"/>
      <c r="P260" s="43"/>
      <c r="Q260" s="43"/>
      <c r="R260" s="11"/>
    </row>
    <row r="261" spans="1:39" ht="35.25" customHeight="1">
      <c r="A261" s="15">
        <f t="shared" si="3"/>
        <v>251</v>
      </c>
      <c r="B261" s="43" t="s">
        <v>700</v>
      </c>
      <c r="C261" s="150" t="s">
        <v>698</v>
      </c>
      <c r="D261" s="19"/>
      <c r="E261" s="19"/>
      <c r="F261" s="19"/>
      <c r="G261" s="15"/>
      <c r="H261" s="141"/>
      <c r="I261" s="13" t="s">
        <v>18</v>
      </c>
      <c r="J261" s="15">
        <v>1</v>
      </c>
      <c r="K261" s="144" t="s">
        <v>730</v>
      </c>
      <c r="L261" s="141" t="s">
        <v>17</v>
      </c>
      <c r="M261" s="276" t="s">
        <v>3281</v>
      </c>
      <c r="N261" s="64" t="s">
        <v>117</v>
      </c>
      <c r="O261" s="146"/>
      <c r="P261" s="43"/>
      <c r="Q261" s="43"/>
      <c r="R261" s="11"/>
    </row>
    <row r="262" spans="1:39" ht="35.25" customHeight="1">
      <c r="A262" s="15">
        <f t="shared" si="3"/>
        <v>252</v>
      </c>
      <c r="B262" s="43" t="s">
        <v>701</v>
      </c>
      <c r="C262" s="150" t="s">
        <v>698</v>
      </c>
      <c r="D262" s="19"/>
      <c r="E262" s="19"/>
      <c r="F262" s="19"/>
      <c r="G262" s="15"/>
      <c r="H262" s="141"/>
      <c r="I262" s="13" t="s">
        <v>18</v>
      </c>
      <c r="J262" s="15">
        <v>1</v>
      </c>
      <c r="K262" s="144" t="s">
        <v>730</v>
      </c>
      <c r="L262" s="141" t="s">
        <v>17</v>
      </c>
      <c r="M262" s="19"/>
      <c r="N262" s="64" t="s">
        <v>106</v>
      </c>
      <c r="O262" s="146"/>
      <c r="P262" s="43"/>
      <c r="Q262" s="43"/>
      <c r="R262" s="11"/>
    </row>
    <row r="263" spans="1:39" ht="35.25" customHeight="1">
      <c r="A263" s="15">
        <f t="shared" si="3"/>
        <v>253</v>
      </c>
      <c r="B263" s="43" t="s">
        <v>660</v>
      </c>
      <c r="C263" s="150" t="s">
        <v>698</v>
      </c>
      <c r="D263" s="19"/>
      <c r="E263" s="19"/>
      <c r="F263" s="19"/>
      <c r="G263" s="15"/>
      <c r="H263" s="141"/>
      <c r="I263" s="13" t="s">
        <v>18</v>
      </c>
      <c r="J263" s="15">
        <v>1</v>
      </c>
      <c r="K263" s="144" t="s">
        <v>730</v>
      </c>
      <c r="L263" s="141" t="s">
        <v>17</v>
      </c>
      <c r="M263" s="19"/>
      <c r="N263" s="64" t="s">
        <v>119</v>
      </c>
      <c r="O263" s="146"/>
      <c r="P263" s="43"/>
      <c r="Q263" s="43"/>
      <c r="R263" s="11"/>
    </row>
    <row r="264" spans="1:39" ht="35.25" customHeight="1">
      <c r="A264" s="15">
        <f t="shared" si="3"/>
        <v>254</v>
      </c>
      <c r="B264" s="43" t="s">
        <v>704</v>
      </c>
      <c r="C264" s="149">
        <v>2466546858</v>
      </c>
      <c r="D264" s="19"/>
      <c r="E264" s="19"/>
      <c r="F264" s="19"/>
      <c r="G264" s="15"/>
      <c r="H264" s="141"/>
      <c r="I264" s="13" t="s">
        <v>18</v>
      </c>
      <c r="J264" s="15">
        <v>1</v>
      </c>
      <c r="K264" s="144" t="s">
        <v>730</v>
      </c>
      <c r="L264" s="141" t="s">
        <v>17</v>
      </c>
      <c r="M264" s="276" t="s">
        <v>3281</v>
      </c>
      <c r="N264" s="64" t="s">
        <v>117</v>
      </c>
      <c r="O264" s="146"/>
      <c r="P264" s="43"/>
      <c r="Q264" s="43"/>
      <c r="R264" s="11"/>
    </row>
    <row r="265" spans="1:39" ht="35.25" customHeight="1">
      <c r="A265" s="15">
        <f t="shared" si="3"/>
        <v>255</v>
      </c>
      <c r="B265" s="43" t="s">
        <v>702</v>
      </c>
      <c r="C265" s="149">
        <v>964755269</v>
      </c>
      <c r="D265" s="19"/>
      <c r="E265" s="19"/>
      <c r="F265" s="19"/>
      <c r="G265" s="15"/>
      <c r="H265" s="141"/>
      <c r="I265" s="13" t="s">
        <v>18</v>
      </c>
      <c r="J265" s="15">
        <v>1</v>
      </c>
      <c r="K265" s="144" t="s">
        <v>730</v>
      </c>
      <c r="L265" s="141" t="s">
        <v>17</v>
      </c>
      <c r="M265" s="276" t="s">
        <v>3281</v>
      </c>
      <c r="N265" s="64" t="s">
        <v>117</v>
      </c>
      <c r="O265" s="146"/>
      <c r="P265" s="43"/>
      <c r="Q265" s="43"/>
      <c r="R265" s="11"/>
    </row>
    <row r="266" spans="1:39" ht="35.25" customHeight="1">
      <c r="A266" s="15">
        <f t="shared" si="3"/>
        <v>256</v>
      </c>
      <c r="B266" s="43" t="s">
        <v>703</v>
      </c>
      <c r="C266" s="149">
        <v>965513189</v>
      </c>
      <c r="D266" s="19"/>
      <c r="E266" s="19"/>
      <c r="F266" s="19"/>
      <c r="G266" s="15"/>
      <c r="H266" s="141"/>
      <c r="I266" s="13" t="s">
        <v>18</v>
      </c>
      <c r="J266" s="15">
        <v>1</v>
      </c>
      <c r="K266" s="144" t="s">
        <v>730</v>
      </c>
      <c r="L266" s="141" t="s">
        <v>17</v>
      </c>
      <c r="M266" s="19"/>
      <c r="N266" s="64" t="s">
        <v>106</v>
      </c>
      <c r="O266" s="146"/>
      <c r="P266" s="43"/>
      <c r="Q266" s="43"/>
      <c r="R266" s="11"/>
    </row>
    <row r="267" spans="1:39" ht="35.25" customHeight="1">
      <c r="A267" s="15">
        <f t="shared" si="3"/>
        <v>257</v>
      </c>
      <c r="B267" s="43" t="s">
        <v>695</v>
      </c>
      <c r="C267" s="149">
        <v>966298069</v>
      </c>
      <c r="D267" s="19"/>
      <c r="E267" s="19"/>
      <c r="F267" s="19"/>
      <c r="G267" s="15"/>
      <c r="H267" s="141"/>
      <c r="I267" s="13" t="s">
        <v>18</v>
      </c>
      <c r="J267" s="15">
        <v>1</v>
      </c>
      <c r="K267" s="144" t="s">
        <v>730</v>
      </c>
      <c r="L267" s="141" t="s">
        <v>17</v>
      </c>
      <c r="M267" s="19"/>
      <c r="N267" s="64" t="s">
        <v>119</v>
      </c>
      <c r="O267" s="146"/>
      <c r="P267" s="43"/>
      <c r="Q267" s="43"/>
      <c r="R267" s="11"/>
    </row>
    <row r="268" spans="1:39" s="236" customFormat="1" ht="35.25" customHeight="1">
      <c r="A268" s="15">
        <f t="shared" si="3"/>
        <v>258</v>
      </c>
      <c r="B268" s="147" t="s">
        <v>688</v>
      </c>
      <c r="C268" s="170" t="s">
        <v>689</v>
      </c>
      <c r="D268" s="50"/>
      <c r="E268" s="50"/>
      <c r="F268" s="50"/>
      <c r="G268" s="200"/>
      <c r="H268" s="147"/>
      <c r="I268" s="51" t="s">
        <v>18</v>
      </c>
      <c r="J268" s="51">
        <v>1</v>
      </c>
      <c r="K268" s="50" t="s">
        <v>3219</v>
      </c>
      <c r="L268" s="147" t="s">
        <v>17</v>
      </c>
      <c r="M268" s="50"/>
      <c r="N268" s="54" t="s">
        <v>176</v>
      </c>
      <c r="O268" s="200" t="s">
        <v>2633</v>
      </c>
      <c r="P268" s="147"/>
      <c r="Q268" s="147"/>
      <c r="R268" s="54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</row>
    <row r="269" spans="1:39" s="137" customFormat="1" ht="35.25" customHeight="1">
      <c r="A269" s="15">
        <f t="shared" ref="A269:A338" si="4">A268+1</f>
        <v>259</v>
      </c>
      <c r="B269" s="148" t="s">
        <v>692</v>
      </c>
      <c r="C269" s="171" t="s">
        <v>693</v>
      </c>
      <c r="D269" s="25"/>
      <c r="E269" s="25"/>
      <c r="F269" s="25"/>
      <c r="G269" s="196"/>
      <c r="H269" s="148"/>
      <c r="I269" s="26" t="s">
        <v>18</v>
      </c>
      <c r="J269" s="26">
        <v>1</v>
      </c>
      <c r="K269" s="25" t="s">
        <v>300</v>
      </c>
      <c r="L269" s="148" t="s">
        <v>17</v>
      </c>
      <c r="M269" s="25"/>
      <c r="N269" s="148"/>
      <c r="O269" s="262"/>
      <c r="P269" s="148"/>
      <c r="Q269" s="148"/>
      <c r="R269" s="38" t="s">
        <v>694</v>
      </c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</row>
    <row r="270" spans="1:39" ht="35.25" customHeight="1">
      <c r="A270" s="15">
        <f t="shared" si="4"/>
        <v>260</v>
      </c>
      <c r="B270" s="43" t="s">
        <v>705</v>
      </c>
      <c r="C270" s="150" t="s">
        <v>710</v>
      </c>
      <c r="D270" s="19"/>
      <c r="E270" s="19"/>
      <c r="F270" s="19"/>
      <c r="G270" s="46"/>
      <c r="H270" s="141"/>
      <c r="I270" s="13" t="s">
        <v>18</v>
      </c>
      <c r="J270" s="13">
        <v>1</v>
      </c>
      <c r="K270" s="19" t="s">
        <v>730</v>
      </c>
      <c r="L270" s="43" t="s">
        <v>17</v>
      </c>
      <c r="M270" s="19"/>
      <c r="N270" s="44" t="s">
        <v>119</v>
      </c>
      <c r="O270" s="66"/>
      <c r="P270" s="43"/>
      <c r="Q270" s="43"/>
      <c r="R270" s="19" t="s">
        <v>272</v>
      </c>
    </row>
    <row r="271" spans="1:39" ht="35.25" customHeight="1">
      <c r="A271" s="15">
        <f t="shared" si="4"/>
        <v>261</v>
      </c>
      <c r="B271" s="43" t="s">
        <v>706</v>
      </c>
      <c r="C271" s="150" t="s">
        <v>710</v>
      </c>
      <c r="D271" s="19"/>
      <c r="E271" s="19"/>
      <c r="F271" s="19"/>
      <c r="G271" s="46"/>
      <c r="H271" s="141"/>
      <c r="I271" s="13" t="s">
        <v>18</v>
      </c>
      <c r="J271" s="13">
        <v>1</v>
      </c>
      <c r="K271" s="19" t="s">
        <v>730</v>
      </c>
      <c r="L271" s="43" t="s">
        <v>17</v>
      </c>
      <c r="M271" s="19"/>
      <c r="N271" s="44" t="s">
        <v>119</v>
      </c>
      <c r="O271" s="66"/>
      <c r="P271" s="43"/>
      <c r="Q271" s="43"/>
      <c r="R271" s="19" t="s">
        <v>272</v>
      </c>
    </row>
    <row r="272" spans="1:39" ht="35.25" customHeight="1">
      <c r="A272" s="15">
        <f t="shared" si="4"/>
        <v>262</v>
      </c>
      <c r="B272" s="43" t="s">
        <v>707</v>
      </c>
      <c r="C272" s="150" t="s">
        <v>710</v>
      </c>
      <c r="D272" s="19"/>
      <c r="E272" s="19"/>
      <c r="F272" s="19"/>
      <c r="G272" s="46"/>
      <c r="H272" s="141"/>
      <c r="I272" s="13" t="s">
        <v>18</v>
      </c>
      <c r="J272" s="13">
        <v>1</v>
      </c>
      <c r="K272" s="19" t="s">
        <v>730</v>
      </c>
      <c r="L272" s="43" t="s">
        <v>17</v>
      </c>
      <c r="M272" s="19"/>
      <c r="N272" s="44" t="s">
        <v>119</v>
      </c>
      <c r="O272" s="66"/>
      <c r="P272" s="43"/>
      <c r="Q272" s="43"/>
      <c r="R272" s="19" t="s">
        <v>272</v>
      </c>
    </row>
    <row r="273" spans="1:39" ht="35.25" customHeight="1">
      <c r="A273" s="15">
        <f t="shared" si="4"/>
        <v>263</v>
      </c>
      <c r="B273" s="43" t="s">
        <v>708</v>
      </c>
      <c r="C273" s="150" t="s">
        <v>710</v>
      </c>
      <c r="D273" s="19"/>
      <c r="E273" s="19"/>
      <c r="F273" s="19"/>
      <c r="G273" s="46"/>
      <c r="H273" s="141"/>
      <c r="I273" s="13" t="s">
        <v>18</v>
      </c>
      <c r="J273" s="13">
        <v>1</v>
      </c>
      <c r="K273" s="19" t="s">
        <v>730</v>
      </c>
      <c r="L273" s="43" t="s">
        <v>17</v>
      </c>
      <c r="M273" s="19"/>
      <c r="N273" s="44" t="s">
        <v>119</v>
      </c>
      <c r="O273" s="66"/>
      <c r="P273" s="43"/>
      <c r="Q273" s="43"/>
      <c r="R273" s="19" t="s">
        <v>272</v>
      </c>
    </row>
    <row r="274" spans="1:39" ht="35.25" customHeight="1">
      <c r="A274" s="15">
        <f t="shared" si="4"/>
        <v>264</v>
      </c>
      <c r="B274" s="43" t="s">
        <v>709</v>
      </c>
      <c r="C274" s="150" t="s">
        <v>710</v>
      </c>
      <c r="D274" s="46"/>
      <c r="E274" s="46"/>
      <c r="F274" s="46"/>
      <c r="G274" s="46"/>
      <c r="H274" s="141"/>
      <c r="I274" s="13" t="s">
        <v>18</v>
      </c>
      <c r="J274" s="13">
        <v>1</v>
      </c>
      <c r="K274" s="19" t="s">
        <v>730</v>
      </c>
      <c r="L274" s="43" t="s">
        <v>17</v>
      </c>
      <c r="M274" s="19"/>
      <c r="N274" s="44" t="s">
        <v>119</v>
      </c>
      <c r="O274" s="66"/>
      <c r="P274" s="43"/>
      <c r="Q274" s="43"/>
      <c r="R274" s="19" t="s">
        <v>272</v>
      </c>
    </row>
    <row r="275" spans="1:39" ht="35.25" customHeight="1">
      <c r="A275" s="15">
        <f t="shared" si="4"/>
        <v>265</v>
      </c>
      <c r="B275" s="43" t="s">
        <v>714</v>
      </c>
      <c r="C275" s="150" t="s">
        <v>716</v>
      </c>
      <c r="D275" s="46"/>
      <c r="E275" s="46"/>
      <c r="F275" s="46"/>
      <c r="G275" s="46"/>
      <c r="H275" s="141"/>
      <c r="I275" s="13" t="s">
        <v>18</v>
      </c>
      <c r="J275" s="13">
        <v>1</v>
      </c>
      <c r="K275" s="19" t="s">
        <v>730</v>
      </c>
      <c r="L275" s="43" t="s">
        <v>17</v>
      </c>
      <c r="M275" s="19"/>
      <c r="N275" s="44" t="s">
        <v>119</v>
      </c>
      <c r="O275" s="66"/>
      <c r="P275" s="43"/>
      <c r="Q275" s="43"/>
      <c r="R275" s="19" t="s">
        <v>272</v>
      </c>
    </row>
    <row r="276" spans="1:39" ht="35.25" customHeight="1">
      <c r="A276" s="15">
        <f t="shared" si="4"/>
        <v>266</v>
      </c>
      <c r="B276" s="43" t="s">
        <v>715</v>
      </c>
      <c r="C276" s="150" t="s">
        <v>716</v>
      </c>
      <c r="D276" s="46"/>
      <c r="E276" s="46"/>
      <c r="F276" s="46"/>
      <c r="G276" s="46"/>
      <c r="H276" s="141"/>
      <c r="I276" s="13" t="s">
        <v>18</v>
      </c>
      <c r="J276" s="13">
        <v>1</v>
      </c>
      <c r="K276" s="19" t="s">
        <v>730</v>
      </c>
      <c r="L276" s="43" t="s">
        <v>17</v>
      </c>
      <c r="M276" s="19"/>
      <c r="N276" s="44" t="s">
        <v>119</v>
      </c>
      <c r="O276" s="66"/>
      <c r="P276" s="43"/>
      <c r="Q276" s="43"/>
      <c r="R276" s="19" t="s">
        <v>272</v>
      </c>
    </row>
    <row r="277" spans="1:39" ht="35.25" customHeight="1">
      <c r="A277" s="15">
        <f t="shared" si="4"/>
        <v>267</v>
      </c>
      <c r="B277" s="43" t="s">
        <v>717</v>
      </c>
      <c r="C277" s="150" t="s">
        <v>723</v>
      </c>
      <c r="D277" s="19"/>
      <c r="E277" s="19"/>
      <c r="F277" s="19"/>
      <c r="G277" s="46"/>
      <c r="H277" s="141"/>
      <c r="I277" s="13" t="s">
        <v>18</v>
      </c>
      <c r="J277" s="13">
        <v>1</v>
      </c>
      <c r="K277" s="19" t="s">
        <v>730</v>
      </c>
      <c r="L277" s="43" t="s">
        <v>17</v>
      </c>
      <c r="M277" s="19"/>
      <c r="N277" s="44" t="s">
        <v>119</v>
      </c>
      <c r="O277" s="66"/>
      <c r="P277" s="43"/>
      <c r="Q277" s="43"/>
      <c r="R277" s="19" t="s">
        <v>272</v>
      </c>
    </row>
    <row r="278" spans="1:39" ht="35.25" customHeight="1">
      <c r="A278" s="15">
        <f t="shared" si="4"/>
        <v>268</v>
      </c>
      <c r="B278" s="43" t="s">
        <v>718</v>
      </c>
      <c r="C278" s="150" t="s">
        <v>723</v>
      </c>
      <c r="D278" s="19"/>
      <c r="E278" s="19"/>
      <c r="F278" s="19"/>
      <c r="G278" s="46"/>
      <c r="H278" s="141"/>
      <c r="I278" s="13" t="s">
        <v>18</v>
      </c>
      <c r="J278" s="13">
        <v>1</v>
      </c>
      <c r="K278" s="19" t="s">
        <v>730</v>
      </c>
      <c r="L278" s="43" t="s">
        <v>17</v>
      </c>
      <c r="M278" s="19"/>
      <c r="N278" s="44" t="s">
        <v>119</v>
      </c>
      <c r="O278" s="66"/>
      <c r="P278" s="43"/>
      <c r="Q278" s="43"/>
      <c r="R278" s="19" t="s">
        <v>272</v>
      </c>
    </row>
    <row r="279" spans="1:39" ht="35.25" customHeight="1">
      <c r="A279" s="15">
        <f t="shared" si="4"/>
        <v>269</v>
      </c>
      <c r="B279" s="43" t="s">
        <v>719</v>
      </c>
      <c r="C279" s="150" t="s">
        <v>723</v>
      </c>
      <c r="D279" s="19"/>
      <c r="E279" s="19"/>
      <c r="F279" s="19"/>
      <c r="G279" s="46"/>
      <c r="H279" s="141"/>
      <c r="I279" s="13" t="s">
        <v>18</v>
      </c>
      <c r="J279" s="13">
        <v>1</v>
      </c>
      <c r="K279" s="19" t="s">
        <v>730</v>
      </c>
      <c r="L279" s="43" t="s">
        <v>17</v>
      </c>
      <c r="M279" s="19"/>
      <c r="N279" s="44" t="s">
        <v>119</v>
      </c>
      <c r="O279" s="66"/>
      <c r="P279" s="43"/>
      <c r="Q279" s="43"/>
      <c r="R279" s="19" t="s">
        <v>272</v>
      </c>
    </row>
    <row r="280" spans="1:39" ht="35.25" customHeight="1">
      <c r="A280" s="15">
        <f t="shared" si="4"/>
        <v>270</v>
      </c>
      <c r="B280" s="43" t="s">
        <v>720</v>
      </c>
      <c r="C280" s="150" t="s">
        <v>723</v>
      </c>
      <c r="D280" s="19"/>
      <c r="E280" s="19"/>
      <c r="F280" s="19"/>
      <c r="G280" s="46"/>
      <c r="H280" s="141"/>
      <c r="I280" s="13" t="s">
        <v>18</v>
      </c>
      <c r="J280" s="13">
        <v>1</v>
      </c>
      <c r="K280" s="19" t="s">
        <v>730</v>
      </c>
      <c r="L280" s="43" t="s">
        <v>17</v>
      </c>
      <c r="M280" s="19"/>
      <c r="N280" s="44" t="s">
        <v>119</v>
      </c>
      <c r="O280" s="66"/>
      <c r="P280" s="43"/>
      <c r="Q280" s="43"/>
      <c r="R280" s="19" t="s">
        <v>272</v>
      </c>
    </row>
    <row r="281" spans="1:39" ht="35.25" customHeight="1">
      <c r="A281" s="15">
        <f t="shared" si="4"/>
        <v>271</v>
      </c>
      <c r="B281" s="43" t="s">
        <v>721</v>
      </c>
      <c r="C281" s="150" t="s">
        <v>723</v>
      </c>
      <c r="D281" s="19"/>
      <c r="E281" s="19"/>
      <c r="F281" s="19"/>
      <c r="G281" s="46"/>
      <c r="H281" s="141"/>
      <c r="I281" s="13" t="s">
        <v>18</v>
      </c>
      <c r="J281" s="13">
        <v>1</v>
      </c>
      <c r="K281" s="19" t="s">
        <v>730</v>
      </c>
      <c r="L281" s="43" t="s">
        <v>17</v>
      </c>
      <c r="M281" s="19"/>
      <c r="N281" s="44" t="s">
        <v>119</v>
      </c>
      <c r="O281" s="66"/>
      <c r="P281" s="43"/>
      <c r="Q281" s="43"/>
      <c r="R281" s="19" t="s">
        <v>272</v>
      </c>
    </row>
    <row r="282" spans="1:39" ht="35.25" customHeight="1">
      <c r="A282" s="15">
        <f t="shared" si="4"/>
        <v>272</v>
      </c>
      <c r="B282" s="43" t="s">
        <v>722</v>
      </c>
      <c r="C282" s="150" t="s">
        <v>723</v>
      </c>
      <c r="D282" s="46"/>
      <c r="E282" s="46"/>
      <c r="F282" s="46"/>
      <c r="G282" s="46"/>
      <c r="H282" s="141"/>
      <c r="I282" s="13" t="s">
        <v>18</v>
      </c>
      <c r="J282" s="13">
        <v>1</v>
      </c>
      <c r="K282" s="19" t="s">
        <v>730</v>
      </c>
      <c r="L282" s="43" t="s">
        <v>17</v>
      </c>
      <c r="M282" s="19"/>
      <c r="N282" s="44" t="s">
        <v>119</v>
      </c>
      <c r="O282" s="66"/>
      <c r="P282" s="43"/>
      <c r="Q282" s="43"/>
      <c r="R282" s="19" t="s">
        <v>272</v>
      </c>
    </row>
    <row r="283" spans="1:39" s="236" customFormat="1" ht="35.25" customHeight="1">
      <c r="A283" s="15">
        <f t="shared" si="4"/>
        <v>273</v>
      </c>
      <c r="B283" s="163" t="s">
        <v>892</v>
      </c>
      <c r="C283" s="170" t="s">
        <v>641</v>
      </c>
      <c r="D283" s="200"/>
      <c r="E283" s="200"/>
      <c r="F283" s="200"/>
      <c r="G283" s="165">
        <v>966131069</v>
      </c>
      <c r="H283" s="147"/>
      <c r="I283" s="162" t="s">
        <v>18</v>
      </c>
      <c r="J283" s="162">
        <v>1</v>
      </c>
      <c r="K283" s="164" t="s">
        <v>3219</v>
      </c>
      <c r="L283" s="147" t="s">
        <v>17</v>
      </c>
      <c r="M283" s="50"/>
      <c r="N283" s="165" t="s">
        <v>176</v>
      </c>
      <c r="O283" s="164"/>
      <c r="P283" s="147"/>
      <c r="Q283" s="147"/>
      <c r="R283" s="165" t="s">
        <v>2643</v>
      </c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</row>
    <row r="284" spans="1:39" s="236" customFormat="1" ht="35.25" customHeight="1">
      <c r="A284" s="15">
        <f t="shared" si="4"/>
        <v>274</v>
      </c>
      <c r="B284" s="163" t="s">
        <v>893</v>
      </c>
      <c r="C284" s="170" t="s">
        <v>894</v>
      </c>
      <c r="D284" s="200"/>
      <c r="E284" s="200"/>
      <c r="F284" s="200"/>
      <c r="G284" s="164" t="s">
        <v>2332</v>
      </c>
      <c r="H284" s="147"/>
      <c r="I284" s="162" t="s">
        <v>18</v>
      </c>
      <c r="J284" s="162">
        <v>1</v>
      </c>
      <c r="K284" s="164" t="s">
        <v>3219</v>
      </c>
      <c r="L284" s="147" t="s">
        <v>17</v>
      </c>
      <c r="M284" s="50"/>
      <c r="N284" s="165" t="s">
        <v>176</v>
      </c>
      <c r="O284" s="164"/>
      <c r="P284" s="147"/>
      <c r="Q284" s="147"/>
      <c r="R284" s="54" t="s">
        <v>2644</v>
      </c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</row>
    <row r="285" spans="1:39" s="236" customFormat="1" ht="35.25" customHeight="1">
      <c r="A285" s="15">
        <f t="shared" si="4"/>
        <v>275</v>
      </c>
      <c r="B285" s="163" t="s">
        <v>895</v>
      </c>
      <c r="C285" s="170" t="s">
        <v>896</v>
      </c>
      <c r="D285" s="50"/>
      <c r="E285" s="50"/>
      <c r="F285" s="50"/>
      <c r="G285" s="164"/>
      <c r="H285" s="147"/>
      <c r="I285" s="162" t="s">
        <v>18</v>
      </c>
      <c r="J285" s="162">
        <v>1</v>
      </c>
      <c r="K285" s="164" t="s">
        <v>3219</v>
      </c>
      <c r="L285" s="147" t="s">
        <v>17</v>
      </c>
      <c r="M285" s="50"/>
      <c r="N285" s="165" t="s">
        <v>176</v>
      </c>
      <c r="O285" s="164"/>
      <c r="P285" s="147"/>
      <c r="Q285" s="147"/>
      <c r="R285" s="54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</row>
    <row r="286" spans="1:39" ht="35.25" customHeight="1">
      <c r="A286" s="15">
        <f t="shared" si="4"/>
        <v>276</v>
      </c>
      <c r="B286" s="144" t="s">
        <v>897</v>
      </c>
      <c r="C286" s="150" t="s">
        <v>898</v>
      </c>
      <c r="D286" s="19"/>
      <c r="E286" s="19"/>
      <c r="F286" s="19"/>
      <c r="G286" s="144" t="s">
        <v>898</v>
      </c>
      <c r="H286" s="141"/>
      <c r="I286" s="144" t="s">
        <v>76</v>
      </c>
      <c r="J286" s="153">
        <v>1</v>
      </c>
      <c r="K286" s="142" t="s">
        <v>730</v>
      </c>
      <c r="L286" s="43" t="s">
        <v>17</v>
      </c>
      <c r="M286" s="19"/>
      <c r="N286" s="142" t="s">
        <v>119</v>
      </c>
      <c r="O286" s="149"/>
      <c r="P286" s="43"/>
      <c r="Q286" s="43"/>
      <c r="R286" s="150" t="s">
        <v>272</v>
      </c>
    </row>
    <row r="287" spans="1:39" ht="35.25" customHeight="1">
      <c r="A287" s="15">
        <f t="shared" si="4"/>
        <v>277</v>
      </c>
      <c r="B287" s="144" t="s">
        <v>899</v>
      </c>
      <c r="C287" s="150" t="s">
        <v>898</v>
      </c>
      <c r="D287" s="19"/>
      <c r="E287" s="19"/>
      <c r="F287" s="19"/>
      <c r="G287" s="144" t="s">
        <v>898</v>
      </c>
      <c r="H287" s="141"/>
      <c r="I287" s="144" t="s">
        <v>76</v>
      </c>
      <c r="J287" s="153">
        <v>1</v>
      </c>
      <c r="K287" s="142" t="s">
        <v>730</v>
      </c>
      <c r="L287" s="43" t="s">
        <v>17</v>
      </c>
      <c r="M287" s="19"/>
      <c r="N287" s="142" t="s">
        <v>119</v>
      </c>
      <c r="O287" s="149"/>
      <c r="P287" s="43"/>
      <c r="Q287" s="43"/>
      <c r="R287" s="150" t="s">
        <v>272</v>
      </c>
    </row>
    <row r="288" spans="1:39" ht="35.25" customHeight="1">
      <c r="A288" s="15">
        <f t="shared" si="4"/>
        <v>278</v>
      </c>
      <c r="B288" s="144" t="s">
        <v>900</v>
      </c>
      <c r="C288" s="150" t="s">
        <v>898</v>
      </c>
      <c r="D288" s="19"/>
      <c r="E288" s="19"/>
      <c r="F288" s="19"/>
      <c r="G288" s="144" t="s">
        <v>2333</v>
      </c>
      <c r="H288" s="141"/>
      <c r="I288" s="144" t="s">
        <v>76</v>
      </c>
      <c r="J288" s="153">
        <v>1</v>
      </c>
      <c r="K288" s="142" t="s">
        <v>730</v>
      </c>
      <c r="L288" s="43" t="s">
        <v>17</v>
      </c>
      <c r="M288" s="19"/>
      <c r="N288" s="142" t="s">
        <v>119</v>
      </c>
      <c r="O288" s="149"/>
      <c r="P288" s="43"/>
      <c r="Q288" s="43"/>
      <c r="R288" s="150" t="s">
        <v>272</v>
      </c>
    </row>
    <row r="289" spans="1:39" ht="35.25" customHeight="1">
      <c r="A289" s="15">
        <f t="shared" si="4"/>
        <v>279</v>
      </c>
      <c r="B289" s="144" t="s">
        <v>901</v>
      </c>
      <c r="C289" s="150" t="s">
        <v>898</v>
      </c>
      <c r="D289" s="19"/>
      <c r="E289" s="19"/>
      <c r="F289" s="19"/>
      <c r="G289" s="144" t="s">
        <v>2333</v>
      </c>
      <c r="H289" s="141"/>
      <c r="I289" s="144" t="s">
        <v>76</v>
      </c>
      <c r="J289" s="153">
        <v>1</v>
      </c>
      <c r="K289" s="142" t="s">
        <v>730</v>
      </c>
      <c r="L289" s="43" t="s">
        <v>17</v>
      </c>
      <c r="M289" s="19"/>
      <c r="N289" s="142" t="s">
        <v>119</v>
      </c>
      <c r="O289" s="149"/>
      <c r="P289" s="43"/>
      <c r="Q289" s="43"/>
      <c r="R289" s="150" t="s">
        <v>272</v>
      </c>
    </row>
    <row r="290" spans="1:39" ht="35.25" customHeight="1">
      <c r="A290" s="15">
        <f t="shared" si="4"/>
        <v>280</v>
      </c>
      <c r="B290" s="144" t="s">
        <v>902</v>
      </c>
      <c r="C290" s="150" t="s">
        <v>898</v>
      </c>
      <c r="D290" s="19"/>
      <c r="E290" s="19"/>
      <c r="F290" s="19"/>
      <c r="G290" s="144" t="s">
        <v>2333</v>
      </c>
      <c r="H290" s="141"/>
      <c r="I290" s="144" t="s">
        <v>76</v>
      </c>
      <c r="J290" s="153">
        <v>1</v>
      </c>
      <c r="K290" s="142" t="s">
        <v>730</v>
      </c>
      <c r="L290" s="43" t="s">
        <v>17</v>
      </c>
      <c r="M290" s="19"/>
      <c r="N290" s="142" t="s">
        <v>119</v>
      </c>
      <c r="O290" s="149"/>
      <c r="P290" s="43"/>
      <c r="Q290" s="43"/>
      <c r="R290" s="150" t="s">
        <v>272</v>
      </c>
    </row>
    <row r="291" spans="1:39" s="236" customFormat="1" ht="35.25" customHeight="1">
      <c r="A291" s="15">
        <f t="shared" si="4"/>
        <v>281</v>
      </c>
      <c r="B291" s="163" t="s">
        <v>903</v>
      </c>
      <c r="C291" s="170" t="s">
        <v>904</v>
      </c>
      <c r="D291" s="200"/>
      <c r="E291" s="200"/>
      <c r="F291" s="200"/>
      <c r="G291" s="198"/>
      <c r="H291" s="147"/>
      <c r="I291" s="163" t="s">
        <v>18</v>
      </c>
      <c r="J291" s="162">
        <v>1</v>
      </c>
      <c r="K291" s="163" t="s">
        <v>3219</v>
      </c>
      <c r="L291" s="147" t="s">
        <v>17</v>
      </c>
      <c r="M291" s="50"/>
      <c r="N291" s="170" t="s">
        <v>176</v>
      </c>
      <c r="O291" s="170"/>
      <c r="P291" s="147"/>
      <c r="Q291" s="147"/>
      <c r="R291" s="164" t="s">
        <v>2645</v>
      </c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</row>
    <row r="292" spans="1:39" s="236" customFormat="1" ht="35.25" customHeight="1">
      <c r="A292" s="15">
        <f t="shared" si="4"/>
        <v>282</v>
      </c>
      <c r="B292" s="165" t="s">
        <v>905</v>
      </c>
      <c r="C292" s="170" t="s">
        <v>582</v>
      </c>
      <c r="D292" s="200"/>
      <c r="E292" s="200"/>
      <c r="F292" s="200"/>
      <c r="G292" s="163"/>
      <c r="H292" s="147"/>
      <c r="I292" s="162" t="s">
        <v>566</v>
      </c>
      <c r="J292" s="162">
        <v>1</v>
      </c>
      <c r="K292" s="163" t="s">
        <v>3219</v>
      </c>
      <c r="L292" s="147" t="s">
        <v>17</v>
      </c>
      <c r="M292" s="50"/>
      <c r="N292" s="170" t="s">
        <v>176</v>
      </c>
      <c r="O292" s="170"/>
      <c r="P292" s="147"/>
      <c r="Q292" s="147"/>
      <c r="R292" s="170" t="s">
        <v>2646</v>
      </c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</row>
    <row r="293" spans="1:39" s="236" customFormat="1" ht="35.25" customHeight="1">
      <c r="A293" s="15">
        <f t="shared" si="4"/>
        <v>283</v>
      </c>
      <c r="B293" s="165" t="s">
        <v>906</v>
      </c>
      <c r="C293" s="170" t="s">
        <v>605</v>
      </c>
      <c r="D293" s="248"/>
      <c r="E293" s="248"/>
      <c r="F293" s="248"/>
      <c r="G293" s="163"/>
      <c r="H293" s="147"/>
      <c r="I293" s="162" t="s">
        <v>566</v>
      </c>
      <c r="J293" s="162">
        <v>1</v>
      </c>
      <c r="K293" s="163" t="s">
        <v>3219</v>
      </c>
      <c r="L293" s="147" t="s">
        <v>17</v>
      </c>
      <c r="M293" s="50"/>
      <c r="N293" s="170" t="s">
        <v>176</v>
      </c>
      <c r="O293" s="170"/>
      <c r="P293" s="147"/>
      <c r="Q293" s="147"/>
      <c r="R293" s="170" t="s">
        <v>2646</v>
      </c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</row>
    <row r="294" spans="1:39" s="236" customFormat="1" ht="35.25" customHeight="1">
      <c r="A294" s="15">
        <f t="shared" si="4"/>
        <v>284</v>
      </c>
      <c r="B294" s="165" t="s">
        <v>907</v>
      </c>
      <c r="C294" s="170" t="s">
        <v>605</v>
      </c>
      <c r="D294" s="50"/>
      <c r="E294" s="50"/>
      <c r="F294" s="50"/>
      <c r="G294" s="163"/>
      <c r="H294" s="147"/>
      <c r="I294" s="162" t="s">
        <v>566</v>
      </c>
      <c r="J294" s="162">
        <v>1</v>
      </c>
      <c r="K294" s="163" t="s">
        <v>3219</v>
      </c>
      <c r="L294" s="147" t="s">
        <v>17</v>
      </c>
      <c r="M294" s="50"/>
      <c r="N294" s="170" t="s">
        <v>176</v>
      </c>
      <c r="O294" s="170"/>
      <c r="P294" s="147"/>
      <c r="Q294" s="147"/>
      <c r="R294" s="170" t="s">
        <v>2647</v>
      </c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</row>
    <row r="295" spans="1:39" s="236" customFormat="1" ht="35.25" customHeight="1">
      <c r="A295" s="15">
        <f t="shared" si="4"/>
        <v>285</v>
      </c>
      <c r="B295" s="165" t="s">
        <v>908</v>
      </c>
      <c r="C295" s="170" t="s">
        <v>605</v>
      </c>
      <c r="D295" s="50"/>
      <c r="E295" s="50"/>
      <c r="F295" s="50"/>
      <c r="G295" s="163"/>
      <c r="H295" s="147"/>
      <c r="I295" s="162" t="s">
        <v>566</v>
      </c>
      <c r="J295" s="162">
        <v>1</v>
      </c>
      <c r="K295" s="163" t="s">
        <v>3219</v>
      </c>
      <c r="L295" s="147" t="s">
        <v>17</v>
      </c>
      <c r="M295" s="50"/>
      <c r="N295" s="170" t="s">
        <v>176</v>
      </c>
      <c r="O295" s="170"/>
      <c r="P295" s="147"/>
      <c r="Q295" s="147"/>
      <c r="R295" s="170" t="s">
        <v>2648</v>
      </c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</row>
    <row r="296" spans="1:39" s="236" customFormat="1" ht="35.25" customHeight="1">
      <c r="A296" s="15">
        <f t="shared" si="4"/>
        <v>286</v>
      </c>
      <c r="B296" s="165" t="s">
        <v>909</v>
      </c>
      <c r="C296" s="170" t="s">
        <v>445</v>
      </c>
      <c r="D296" s="50"/>
      <c r="E296" s="50"/>
      <c r="F296" s="50"/>
      <c r="G296" s="163"/>
      <c r="H296" s="147"/>
      <c r="I296" s="162" t="s">
        <v>566</v>
      </c>
      <c r="J296" s="162">
        <v>1</v>
      </c>
      <c r="K296" s="163" t="s">
        <v>3219</v>
      </c>
      <c r="L296" s="147" t="s">
        <v>17</v>
      </c>
      <c r="M296" s="50"/>
      <c r="N296" s="170" t="s">
        <v>176</v>
      </c>
      <c r="O296" s="170"/>
      <c r="P296" s="147"/>
      <c r="Q296" s="147"/>
      <c r="R296" s="170" t="s">
        <v>2649</v>
      </c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</row>
    <row r="297" spans="1:39" s="236" customFormat="1" ht="35.25" customHeight="1">
      <c r="A297" s="15">
        <f t="shared" si="4"/>
        <v>287</v>
      </c>
      <c r="B297" s="147" t="s">
        <v>910</v>
      </c>
      <c r="C297" s="248" t="s">
        <v>911</v>
      </c>
      <c r="D297" s="50"/>
      <c r="E297" s="50"/>
      <c r="F297" s="50"/>
      <c r="G297" s="163"/>
      <c r="H297" s="147"/>
      <c r="I297" s="162" t="s">
        <v>566</v>
      </c>
      <c r="J297" s="162">
        <v>1</v>
      </c>
      <c r="K297" s="163" t="s">
        <v>3219</v>
      </c>
      <c r="L297" s="147" t="s">
        <v>17</v>
      </c>
      <c r="M297" s="50"/>
      <c r="N297" s="170" t="s">
        <v>2525</v>
      </c>
      <c r="O297" s="170"/>
      <c r="P297" s="147"/>
      <c r="Q297" s="147"/>
      <c r="R297" s="170" t="s">
        <v>2650</v>
      </c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</row>
    <row r="298" spans="1:39" ht="35.25" customHeight="1">
      <c r="A298" s="15">
        <f t="shared" si="4"/>
        <v>288</v>
      </c>
      <c r="B298" s="11" t="s">
        <v>912</v>
      </c>
      <c r="C298" s="64" t="s">
        <v>913</v>
      </c>
      <c r="D298" s="46"/>
      <c r="E298" s="46"/>
      <c r="F298" s="46"/>
      <c r="G298" s="144"/>
      <c r="H298" s="141"/>
      <c r="I298" s="153" t="s">
        <v>566</v>
      </c>
      <c r="J298" s="153">
        <v>1</v>
      </c>
      <c r="K298" s="144" t="s">
        <v>730</v>
      </c>
      <c r="L298" s="43" t="s">
        <v>17</v>
      </c>
      <c r="M298" s="19"/>
      <c r="N298" s="150" t="s">
        <v>2526</v>
      </c>
      <c r="O298" s="150"/>
      <c r="P298" s="43"/>
      <c r="Q298" s="43"/>
      <c r="R298" s="150"/>
    </row>
    <row r="299" spans="1:39" ht="35.25" customHeight="1">
      <c r="A299" s="15">
        <f t="shared" si="4"/>
        <v>289</v>
      </c>
      <c r="B299" s="11" t="s">
        <v>914</v>
      </c>
      <c r="C299" s="64" t="s">
        <v>913</v>
      </c>
      <c r="D299" s="46"/>
      <c r="E299" s="46"/>
      <c r="F299" s="46"/>
      <c r="G299" s="144"/>
      <c r="H299" s="141"/>
      <c r="I299" s="153" t="s">
        <v>566</v>
      </c>
      <c r="J299" s="153">
        <v>1</v>
      </c>
      <c r="K299" s="144" t="s">
        <v>730</v>
      </c>
      <c r="L299" s="43" t="s">
        <v>17</v>
      </c>
      <c r="M299" s="19"/>
      <c r="N299" s="150" t="s">
        <v>2656</v>
      </c>
      <c r="O299" s="150"/>
      <c r="P299" s="43"/>
      <c r="Q299" s="43"/>
      <c r="R299" s="150"/>
    </row>
    <row r="300" spans="1:39" ht="35.25" customHeight="1">
      <c r="A300" s="15">
        <f t="shared" si="4"/>
        <v>290</v>
      </c>
      <c r="B300" s="11" t="s">
        <v>915</v>
      </c>
      <c r="C300" s="64" t="s">
        <v>913</v>
      </c>
      <c r="D300" s="46"/>
      <c r="E300" s="46"/>
      <c r="F300" s="46"/>
      <c r="G300" s="144"/>
      <c r="H300" s="141"/>
      <c r="I300" s="153" t="s">
        <v>566</v>
      </c>
      <c r="J300" s="153">
        <v>1</v>
      </c>
      <c r="K300" s="144" t="s">
        <v>730</v>
      </c>
      <c r="L300" s="43" t="s">
        <v>17</v>
      </c>
      <c r="M300" s="276" t="s">
        <v>3261</v>
      </c>
      <c r="N300" s="150" t="s">
        <v>2527</v>
      </c>
      <c r="O300" s="150"/>
      <c r="P300" s="43"/>
      <c r="Q300" s="43"/>
      <c r="R300" s="150"/>
    </row>
    <row r="301" spans="1:39" s="236" customFormat="1" ht="35.25" customHeight="1">
      <c r="A301" s="15">
        <f t="shared" si="4"/>
        <v>291</v>
      </c>
      <c r="B301" s="163" t="s">
        <v>916</v>
      </c>
      <c r="C301" s="170" t="s">
        <v>641</v>
      </c>
      <c r="D301" s="200"/>
      <c r="E301" s="200"/>
      <c r="F301" s="200"/>
      <c r="G301" s="165">
        <v>976370489</v>
      </c>
      <c r="H301" s="147"/>
      <c r="I301" s="162" t="s">
        <v>566</v>
      </c>
      <c r="J301" s="162">
        <v>1</v>
      </c>
      <c r="K301" s="163" t="s">
        <v>3219</v>
      </c>
      <c r="L301" s="147" t="s">
        <v>17</v>
      </c>
      <c r="M301" s="50"/>
      <c r="N301" s="170" t="s">
        <v>176</v>
      </c>
      <c r="O301" s="170"/>
      <c r="P301" s="147"/>
      <c r="Q301" s="147"/>
      <c r="R301" s="170" t="s">
        <v>2643</v>
      </c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</row>
    <row r="302" spans="1:39" s="236" customFormat="1" ht="35.25" customHeight="1">
      <c r="A302" s="15">
        <f t="shared" si="4"/>
        <v>292</v>
      </c>
      <c r="B302" s="163" t="s">
        <v>917</v>
      </c>
      <c r="C302" s="170" t="s">
        <v>641</v>
      </c>
      <c r="D302" s="200"/>
      <c r="E302" s="200"/>
      <c r="F302" s="200"/>
      <c r="G302" s="165">
        <v>964720269</v>
      </c>
      <c r="H302" s="147"/>
      <c r="I302" s="162" t="s">
        <v>566</v>
      </c>
      <c r="J302" s="162">
        <v>1</v>
      </c>
      <c r="K302" s="163" t="s">
        <v>3219</v>
      </c>
      <c r="L302" s="147" t="s">
        <v>17</v>
      </c>
      <c r="M302" s="50"/>
      <c r="N302" s="170" t="s">
        <v>176</v>
      </c>
      <c r="O302" s="170"/>
      <c r="P302" s="147"/>
      <c r="Q302" s="147"/>
      <c r="R302" s="170" t="s">
        <v>2643</v>
      </c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</row>
    <row r="303" spans="1:39" s="236" customFormat="1" ht="35.25" customHeight="1">
      <c r="A303" s="15">
        <f t="shared" si="4"/>
        <v>293</v>
      </c>
      <c r="B303" s="163" t="s">
        <v>918</v>
      </c>
      <c r="C303" s="170" t="s">
        <v>641</v>
      </c>
      <c r="D303" s="200"/>
      <c r="E303" s="200"/>
      <c r="F303" s="200"/>
      <c r="G303" s="165">
        <v>981850786</v>
      </c>
      <c r="H303" s="147"/>
      <c r="I303" s="162" t="s">
        <v>566</v>
      </c>
      <c r="J303" s="162">
        <v>1</v>
      </c>
      <c r="K303" s="163" t="s">
        <v>3219</v>
      </c>
      <c r="L303" s="147" t="s">
        <v>17</v>
      </c>
      <c r="M303" s="50"/>
      <c r="N303" s="170" t="s">
        <v>176</v>
      </c>
      <c r="O303" s="170"/>
      <c r="P303" s="147"/>
      <c r="Q303" s="147"/>
      <c r="R303" s="170" t="s">
        <v>2643</v>
      </c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</row>
    <row r="304" spans="1:39" s="236" customFormat="1" ht="35.25" customHeight="1">
      <c r="A304" s="15">
        <f t="shared" si="4"/>
        <v>294</v>
      </c>
      <c r="B304" s="163" t="s">
        <v>919</v>
      </c>
      <c r="C304" s="170" t="s">
        <v>641</v>
      </c>
      <c r="D304" s="200"/>
      <c r="E304" s="200"/>
      <c r="F304" s="200"/>
      <c r="G304" s="165">
        <v>968483798</v>
      </c>
      <c r="H304" s="147"/>
      <c r="I304" s="162" t="s">
        <v>566</v>
      </c>
      <c r="J304" s="162">
        <v>1</v>
      </c>
      <c r="K304" s="163" t="s">
        <v>3219</v>
      </c>
      <c r="L304" s="147" t="s">
        <v>17</v>
      </c>
      <c r="M304" s="50"/>
      <c r="N304" s="170" t="s">
        <v>176</v>
      </c>
      <c r="O304" s="170"/>
      <c r="P304" s="147"/>
      <c r="Q304" s="147"/>
      <c r="R304" s="170" t="s">
        <v>2643</v>
      </c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</row>
    <row r="305" spans="1:39" s="236" customFormat="1" ht="35.25" customHeight="1">
      <c r="A305" s="15">
        <f t="shared" si="4"/>
        <v>295</v>
      </c>
      <c r="B305" s="163" t="s">
        <v>920</v>
      </c>
      <c r="C305" s="170" t="s">
        <v>641</v>
      </c>
      <c r="D305" s="200"/>
      <c r="E305" s="200"/>
      <c r="F305" s="200"/>
      <c r="G305" s="165">
        <v>968501598</v>
      </c>
      <c r="H305" s="147"/>
      <c r="I305" s="162" t="s">
        <v>566</v>
      </c>
      <c r="J305" s="162">
        <v>1</v>
      </c>
      <c r="K305" s="163" t="s">
        <v>3219</v>
      </c>
      <c r="L305" s="147" t="s">
        <v>17</v>
      </c>
      <c r="M305" s="50"/>
      <c r="N305" s="170" t="s">
        <v>176</v>
      </c>
      <c r="O305" s="170"/>
      <c r="P305" s="147"/>
      <c r="Q305" s="147"/>
      <c r="R305" s="170" t="s">
        <v>2643</v>
      </c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</row>
    <row r="306" spans="1:39" ht="35.25" customHeight="1">
      <c r="A306" s="15">
        <f t="shared" si="4"/>
        <v>296</v>
      </c>
      <c r="B306" s="144" t="s">
        <v>921</v>
      </c>
      <c r="C306" s="150" t="s">
        <v>641</v>
      </c>
      <c r="D306" s="46"/>
      <c r="E306" s="46"/>
      <c r="F306" s="46"/>
      <c r="G306" s="142">
        <v>968429189</v>
      </c>
      <c r="H306" s="141"/>
      <c r="I306" s="153" t="s">
        <v>566</v>
      </c>
      <c r="J306" s="153">
        <v>1</v>
      </c>
      <c r="K306" s="144" t="s">
        <v>730</v>
      </c>
      <c r="L306" s="43" t="s">
        <v>2515</v>
      </c>
      <c r="M306" s="19"/>
      <c r="N306" s="150" t="s">
        <v>2526</v>
      </c>
      <c r="O306" s="150"/>
      <c r="P306" s="43"/>
      <c r="Q306" s="43"/>
      <c r="R306" s="150"/>
    </row>
    <row r="307" spans="1:39" ht="35.25" customHeight="1">
      <c r="A307" s="15">
        <f t="shared" si="4"/>
        <v>297</v>
      </c>
      <c r="B307" s="144" t="s">
        <v>922</v>
      </c>
      <c r="C307" s="150" t="s">
        <v>641</v>
      </c>
      <c r="D307" s="46"/>
      <c r="E307" s="46"/>
      <c r="F307" s="46"/>
      <c r="G307" s="142">
        <v>987496698</v>
      </c>
      <c r="H307" s="141"/>
      <c r="I307" s="153" t="s">
        <v>566</v>
      </c>
      <c r="J307" s="153">
        <v>1</v>
      </c>
      <c r="K307" s="144" t="s">
        <v>730</v>
      </c>
      <c r="L307" s="43" t="s">
        <v>2515</v>
      </c>
      <c r="M307" s="276" t="s">
        <v>3261</v>
      </c>
      <c r="N307" s="150" t="s">
        <v>2527</v>
      </c>
      <c r="O307" s="150"/>
      <c r="P307" s="43"/>
      <c r="Q307" s="43"/>
      <c r="R307" s="150"/>
    </row>
    <row r="308" spans="1:39" ht="35.25" customHeight="1">
      <c r="A308" s="15">
        <f t="shared" si="4"/>
        <v>298</v>
      </c>
      <c r="B308" s="144" t="s">
        <v>923</v>
      </c>
      <c r="C308" s="150" t="s">
        <v>641</v>
      </c>
      <c r="D308" s="46"/>
      <c r="E308" s="46"/>
      <c r="F308" s="46"/>
      <c r="G308" s="142">
        <v>965507166</v>
      </c>
      <c r="H308" s="141"/>
      <c r="I308" s="153" t="s">
        <v>566</v>
      </c>
      <c r="J308" s="153">
        <v>1</v>
      </c>
      <c r="K308" s="144" t="s">
        <v>730</v>
      </c>
      <c r="L308" s="43" t="s">
        <v>2515</v>
      </c>
      <c r="M308" s="276" t="s">
        <v>3261</v>
      </c>
      <c r="N308" s="150" t="s">
        <v>2527</v>
      </c>
      <c r="O308" s="150"/>
      <c r="P308" s="43"/>
      <c r="Q308" s="43"/>
      <c r="R308" s="150"/>
    </row>
    <row r="309" spans="1:39" s="236" customFormat="1" ht="35.25" customHeight="1">
      <c r="A309" s="15">
        <f t="shared" si="4"/>
        <v>299</v>
      </c>
      <c r="B309" s="163" t="s">
        <v>924</v>
      </c>
      <c r="C309" s="170" t="s">
        <v>925</v>
      </c>
      <c r="D309" s="50"/>
      <c r="E309" s="50"/>
      <c r="F309" s="50"/>
      <c r="G309" s="165"/>
      <c r="H309" s="147"/>
      <c r="I309" s="162" t="s">
        <v>566</v>
      </c>
      <c r="J309" s="162">
        <v>1</v>
      </c>
      <c r="K309" s="163" t="s">
        <v>176</v>
      </c>
      <c r="L309" s="147" t="s">
        <v>17</v>
      </c>
      <c r="M309" s="50"/>
      <c r="N309" s="170" t="s">
        <v>176</v>
      </c>
      <c r="O309" s="170"/>
      <c r="P309" s="147"/>
      <c r="Q309" s="147"/>
      <c r="R309" s="170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</row>
    <row r="310" spans="1:39" s="137" customFormat="1" ht="35.25" customHeight="1">
      <c r="A310" s="15">
        <f t="shared" si="4"/>
        <v>300</v>
      </c>
      <c r="B310" s="151" t="s">
        <v>926</v>
      </c>
      <c r="C310" s="249" t="s">
        <v>601</v>
      </c>
      <c r="D310" s="25"/>
      <c r="E310" s="25"/>
      <c r="F310" s="25"/>
      <c r="G310" s="195"/>
      <c r="H310" s="148"/>
      <c r="I310" s="166" t="s">
        <v>566</v>
      </c>
      <c r="J310" s="166">
        <v>1</v>
      </c>
      <c r="K310" s="195" t="s">
        <v>300</v>
      </c>
      <c r="L310" s="167" t="s">
        <v>17</v>
      </c>
      <c r="M310" s="25"/>
      <c r="N310" s="195" t="s">
        <v>2528</v>
      </c>
      <c r="O310" s="171" t="s">
        <v>2634</v>
      </c>
      <c r="P310" s="138"/>
      <c r="Q310" s="138"/>
      <c r="R310" s="171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</row>
    <row r="311" spans="1:39" s="236" customFormat="1" ht="35.25" customHeight="1">
      <c r="A311" s="15">
        <f t="shared" si="4"/>
        <v>301</v>
      </c>
      <c r="B311" s="165" t="s">
        <v>927</v>
      </c>
      <c r="C311" s="170" t="s">
        <v>928</v>
      </c>
      <c r="D311" s="50"/>
      <c r="E311" s="50"/>
      <c r="F311" s="50"/>
      <c r="G311" s="163"/>
      <c r="H311" s="147"/>
      <c r="I311" s="162" t="s">
        <v>566</v>
      </c>
      <c r="J311" s="162">
        <v>1</v>
      </c>
      <c r="K311" s="163" t="s">
        <v>2494</v>
      </c>
      <c r="L311" s="165" t="s">
        <v>17</v>
      </c>
      <c r="M311" s="50"/>
      <c r="N311" s="163" t="s">
        <v>176</v>
      </c>
      <c r="O311" s="170" t="s">
        <v>2635</v>
      </c>
      <c r="P311" s="147"/>
      <c r="Q311" s="147"/>
      <c r="R311" s="170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</row>
    <row r="312" spans="1:39" s="236" customFormat="1" ht="35.25" customHeight="1">
      <c r="A312" s="15">
        <f t="shared" si="4"/>
        <v>302</v>
      </c>
      <c r="B312" s="165" t="s">
        <v>929</v>
      </c>
      <c r="C312" s="170" t="s">
        <v>120</v>
      </c>
      <c r="D312" s="50"/>
      <c r="E312" s="50"/>
      <c r="F312" s="50"/>
      <c r="G312" s="163"/>
      <c r="H312" s="147"/>
      <c r="I312" s="162" t="s">
        <v>566</v>
      </c>
      <c r="J312" s="162">
        <v>1</v>
      </c>
      <c r="K312" s="163" t="s">
        <v>730</v>
      </c>
      <c r="L312" s="165" t="s">
        <v>17</v>
      </c>
      <c r="M312" s="50"/>
      <c r="N312" s="163" t="s">
        <v>176</v>
      </c>
      <c r="O312" s="170" t="s">
        <v>2635</v>
      </c>
      <c r="P312" s="147"/>
      <c r="Q312" s="147"/>
      <c r="R312" s="170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</row>
    <row r="313" spans="1:39" s="236" customFormat="1" ht="35.25" customHeight="1">
      <c r="A313" s="15">
        <f t="shared" si="4"/>
        <v>303</v>
      </c>
      <c r="B313" s="163" t="s">
        <v>930</v>
      </c>
      <c r="C313" s="170" t="s">
        <v>620</v>
      </c>
      <c r="D313" s="163"/>
      <c r="E313" s="163"/>
      <c r="F313" s="163"/>
      <c r="G313" s="163" t="s">
        <v>2334</v>
      </c>
      <c r="H313" s="147"/>
      <c r="I313" s="162" t="s">
        <v>566</v>
      </c>
      <c r="J313" s="162">
        <v>1</v>
      </c>
      <c r="K313" s="163" t="s">
        <v>730</v>
      </c>
      <c r="L313" s="165" t="s">
        <v>17</v>
      </c>
      <c r="M313" s="50"/>
      <c r="N313" s="163" t="s">
        <v>176</v>
      </c>
      <c r="O313" s="164"/>
      <c r="P313" s="164"/>
      <c r="Q313" s="164"/>
      <c r="R313" s="170" t="s">
        <v>2651</v>
      </c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</row>
    <row r="314" spans="1:39" s="236" customFormat="1" ht="35.25" customHeight="1">
      <c r="A314" s="15">
        <f t="shared" si="4"/>
        <v>304</v>
      </c>
      <c r="B314" s="163" t="s">
        <v>931</v>
      </c>
      <c r="C314" s="170" t="s">
        <v>932</v>
      </c>
      <c r="D314" s="163"/>
      <c r="E314" s="163"/>
      <c r="F314" s="163"/>
      <c r="G314" s="163" t="s">
        <v>2335</v>
      </c>
      <c r="H314" s="147"/>
      <c r="I314" s="162" t="s">
        <v>566</v>
      </c>
      <c r="J314" s="162">
        <v>1</v>
      </c>
      <c r="K314" s="163" t="s">
        <v>730</v>
      </c>
      <c r="L314" s="165" t="s">
        <v>17</v>
      </c>
      <c r="M314" s="50"/>
      <c r="N314" s="163" t="s">
        <v>176</v>
      </c>
      <c r="O314" s="164"/>
      <c r="P314" s="164"/>
      <c r="Q314" s="164"/>
      <c r="R314" s="170" t="s">
        <v>2652</v>
      </c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</row>
    <row r="315" spans="1:39" ht="35.25" customHeight="1">
      <c r="A315" s="15">
        <f t="shared" si="4"/>
        <v>305</v>
      </c>
      <c r="B315" s="163" t="s">
        <v>1218</v>
      </c>
      <c r="C315" s="170" t="s">
        <v>633</v>
      </c>
      <c r="D315" s="163"/>
      <c r="E315" s="163"/>
      <c r="F315" s="163"/>
      <c r="G315" s="164" t="s">
        <v>2369</v>
      </c>
      <c r="H315" s="147"/>
      <c r="I315" s="162" t="s">
        <v>18</v>
      </c>
      <c r="J315" s="162">
        <v>1</v>
      </c>
      <c r="K315" s="165" t="s">
        <v>2495</v>
      </c>
      <c r="L315" s="165" t="s">
        <v>17</v>
      </c>
      <c r="M315" s="50"/>
      <c r="N315" s="163" t="s">
        <v>176</v>
      </c>
      <c r="O315" s="164"/>
      <c r="P315" s="164"/>
      <c r="Q315" s="164"/>
      <c r="R315" s="170" t="s">
        <v>2653</v>
      </c>
    </row>
    <row r="316" spans="1:39" ht="35.25" customHeight="1">
      <c r="A316" s="15">
        <f t="shared" si="4"/>
        <v>306</v>
      </c>
      <c r="B316" s="163" t="s">
        <v>1219</v>
      </c>
      <c r="C316" s="170" t="s">
        <v>120</v>
      </c>
      <c r="D316" s="163"/>
      <c r="E316" s="163"/>
      <c r="F316" s="163"/>
      <c r="G316" s="164"/>
      <c r="H316" s="147"/>
      <c r="I316" s="162" t="s">
        <v>18</v>
      </c>
      <c r="J316" s="162">
        <v>1</v>
      </c>
      <c r="K316" s="165" t="s">
        <v>730</v>
      </c>
      <c r="L316" s="165" t="s">
        <v>17</v>
      </c>
      <c r="M316" s="50"/>
      <c r="N316" s="163" t="s">
        <v>176</v>
      </c>
      <c r="O316" s="164"/>
      <c r="P316" s="164"/>
      <c r="Q316" s="164"/>
      <c r="R316" s="170" t="s">
        <v>2653</v>
      </c>
    </row>
    <row r="317" spans="1:39" ht="35.25" customHeight="1">
      <c r="A317" s="15">
        <f t="shared" si="4"/>
        <v>307</v>
      </c>
      <c r="B317" s="156" t="s">
        <v>936</v>
      </c>
      <c r="C317" s="169" t="s">
        <v>937</v>
      </c>
      <c r="D317" s="156"/>
      <c r="E317" s="156"/>
      <c r="F317" s="156"/>
      <c r="G317" s="160" t="s">
        <v>937</v>
      </c>
      <c r="H317" s="141"/>
      <c r="I317" s="158" t="s">
        <v>18</v>
      </c>
      <c r="J317" s="158">
        <v>1</v>
      </c>
      <c r="K317" s="145" t="s">
        <v>730</v>
      </c>
      <c r="L317" s="145" t="s">
        <v>17</v>
      </c>
      <c r="M317" s="19"/>
      <c r="N317" s="156" t="s">
        <v>119</v>
      </c>
      <c r="O317" s="160"/>
      <c r="P317" s="160"/>
      <c r="Q317" s="160"/>
      <c r="R317" s="169" t="s">
        <v>2654</v>
      </c>
    </row>
    <row r="318" spans="1:39" s="236" customFormat="1" ht="35.25" customHeight="1">
      <c r="A318" s="15">
        <f t="shared" si="4"/>
        <v>308</v>
      </c>
      <c r="B318" s="163" t="s">
        <v>938</v>
      </c>
      <c r="C318" s="170" t="s">
        <v>939</v>
      </c>
      <c r="D318" s="163"/>
      <c r="E318" s="163"/>
      <c r="F318" s="163"/>
      <c r="G318" s="237"/>
      <c r="H318" s="147"/>
      <c r="I318" s="163" t="s">
        <v>181</v>
      </c>
      <c r="J318" s="162">
        <v>1</v>
      </c>
      <c r="K318" s="165" t="s">
        <v>730</v>
      </c>
      <c r="L318" s="165" t="s">
        <v>17</v>
      </c>
      <c r="M318" s="50"/>
      <c r="N318" s="165" t="s">
        <v>176</v>
      </c>
      <c r="O318" s="164" t="s">
        <v>2636</v>
      </c>
      <c r="P318" s="164"/>
      <c r="Q318" s="164"/>
      <c r="R318" s="170" t="s">
        <v>2655</v>
      </c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</row>
    <row r="319" spans="1:39" s="236" customFormat="1" ht="35.25" customHeight="1">
      <c r="A319" s="15">
        <f t="shared" si="4"/>
        <v>309</v>
      </c>
      <c r="B319" s="163" t="s">
        <v>940</v>
      </c>
      <c r="C319" s="170" t="s">
        <v>896</v>
      </c>
      <c r="D319" s="163"/>
      <c r="E319" s="163"/>
      <c r="F319" s="163"/>
      <c r="G319" s="237"/>
      <c r="H319" s="147"/>
      <c r="I319" s="163" t="s">
        <v>566</v>
      </c>
      <c r="J319" s="162">
        <v>1</v>
      </c>
      <c r="K319" s="165" t="s">
        <v>730</v>
      </c>
      <c r="L319" s="165" t="s">
        <v>17</v>
      </c>
      <c r="M319" s="50"/>
      <c r="N319" s="165" t="s">
        <v>176</v>
      </c>
      <c r="O319" s="164"/>
      <c r="P319" s="164"/>
      <c r="Q319" s="164"/>
      <c r="R319" s="170" t="s">
        <v>2655</v>
      </c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</row>
    <row r="320" spans="1:39" ht="35.25" customHeight="1">
      <c r="A320" s="15">
        <f t="shared" si="4"/>
        <v>310</v>
      </c>
      <c r="B320" s="144" t="s">
        <v>941</v>
      </c>
      <c r="C320" s="150" t="s">
        <v>641</v>
      </c>
      <c r="D320" s="156"/>
      <c r="E320" s="156"/>
      <c r="F320" s="156"/>
      <c r="G320" s="144" t="s">
        <v>2337</v>
      </c>
      <c r="H320" s="141"/>
      <c r="I320" s="144" t="s">
        <v>566</v>
      </c>
      <c r="J320" s="153">
        <v>1</v>
      </c>
      <c r="K320" s="142" t="s">
        <v>730</v>
      </c>
      <c r="L320" s="145" t="s">
        <v>17</v>
      </c>
      <c r="M320" s="19"/>
      <c r="N320" s="142" t="s">
        <v>2523</v>
      </c>
      <c r="O320" s="149"/>
      <c r="P320" s="160"/>
      <c r="Q320" s="160"/>
      <c r="R320" s="150" t="s">
        <v>2655</v>
      </c>
    </row>
    <row r="321" spans="1:39" ht="35.25" customHeight="1">
      <c r="A321" s="15">
        <f t="shared" si="4"/>
        <v>311</v>
      </c>
      <c r="B321" s="244" t="s">
        <v>942</v>
      </c>
      <c r="C321" s="238" t="s">
        <v>288</v>
      </c>
      <c r="D321" s="156"/>
      <c r="E321" s="156"/>
      <c r="F321" s="156"/>
      <c r="G321" s="144"/>
      <c r="H321" s="141"/>
      <c r="I321" s="144" t="s">
        <v>566</v>
      </c>
      <c r="J321" s="153">
        <v>1</v>
      </c>
      <c r="K321" s="142" t="s">
        <v>730</v>
      </c>
      <c r="L321" s="43" t="s">
        <v>2515</v>
      </c>
      <c r="M321" s="19"/>
      <c r="N321" s="142" t="s">
        <v>2526</v>
      </c>
      <c r="O321" s="149"/>
      <c r="P321" s="160"/>
      <c r="Q321" s="160"/>
      <c r="R321" s="150" t="s">
        <v>25</v>
      </c>
    </row>
    <row r="322" spans="1:39" ht="35.25" customHeight="1">
      <c r="A322" s="15">
        <f t="shared" si="4"/>
        <v>312</v>
      </c>
      <c r="B322" s="29" t="s">
        <v>943</v>
      </c>
      <c r="C322" s="29" t="s">
        <v>944</v>
      </c>
      <c r="D322" s="156"/>
      <c r="E322" s="156"/>
      <c r="F322" s="156"/>
      <c r="G322" s="144"/>
      <c r="H322" s="141"/>
      <c r="I322" s="144" t="s">
        <v>566</v>
      </c>
      <c r="J322" s="153">
        <v>1</v>
      </c>
      <c r="K322" s="142" t="s">
        <v>730</v>
      </c>
      <c r="L322" s="43" t="s">
        <v>2515</v>
      </c>
      <c r="M322" s="19"/>
      <c r="N322" s="150" t="s">
        <v>2656</v>
      </c>
      <c r="O322" s="149"/>
      <c r="P322" s="160"/>
      <c r="Q322" s="160"/>
      <c r="R322" s="150" t="s">
        <v>2656</v>
      </c>
    </row>
    <row r="323" spans="1:39" ht="35.25" customHeight="1">
      <c r="A323" s="15">
        <f t="shared" si="4"/>
        <v>313</v>
      </c>
      <c r="B323" s="18" t="s">
        <v>945</v>
      </c>
      <c r="C323" s="21" t="s">
        <v>946</v>
      </c>
      <c r="D323" s="156"/>
      <c r="E323" s="156"/>
      <c r="F323" s="156"/>
      <c r="G323" s="245"/>
      <c r="H323" s="141"/>
      <c r="I323" s="144" t="s">
        <v>566</v>
      </c>
      <c r="J323" s="153">
        <v>1</v>
      </c>
      <c r="K323" s="142" t="s">
        <v>730</v>
      </c>
      <c r="L323" s="43" t="s">
        <v>2515</v>
      </c>
      <c r="M323" s="276" t="s">
        <v>3261</v>
      </c>
      <c r="N323" s="150" t="s">
        <v>2527</v>
      </c>
      <c r="O323" s="149"/>
      <c r="P323" s="160"/>
      <c r="Q323" s="160"/>
      <c r="R323" s="150" t="s">
        <v>2527</v>
      </c>
    </row>
    <row r="324" spans="1:39" s="236" customFormat="1" ht="35.25" customHeight="1">
      <c r="A324" s="15">
        <f t="shared" si="4"/>
        <v>314</v>
      </c>
      <c r="B324" s="163" t="s">
        <v>947</v>
      </c>
      <c r="C324" s="164">
        <v>969620188</v>
      </c>
      <c r="D324" s="163"/>
      <c r="E324" s="163"/>
      <c r="F324" s="163"/>
      <c r="G324" s="200"/>
      <c r="H324" s="147"/>
      <c r="I324" s="163" t="s">
        <v>566</v>
      </c>
      <c r="J324" s="162">
        <v>1</v>
      </c>
      <c r="K324" s="165" t="s">
        <v>3219</v>
      </c>
      <c r="L324" s="147" t="s">
        <v>17</v>
      </c>
      <c r="M324" s="50"/>
      <c r="N324" s="165" t="s">
        <v>176</v>
      </c>
      <c r="O324" s="164"/>
      <c r="P324" s="164"/>
      <c r="Q324" s="164"/>
      <c r="R324" s="170" t="s">
        <v>2643</v>
      </c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</row>
    <row r="325" spans="1:39" s="236" customFormat="1" ht="35.25" customHeight="1">
      <c r="A325" s="15">
        <f t="shared" si="4"/>
        <v>315</v>
      </c>
      <c r="B325" s="163" t="s">
        <v>948</v>
      </c>
      <c r="C325" s="164">
        <v>967305189</v>
      </c>
      <c r="D325" s="163"/>
      <c r="E325" s="163"/>
      <c r="F325" s="163"/>
      <c r="G325" s="200"/>
      <c r="H325" s="147"/>
      <c r="I325" s="163" t="s">
        <v>566</v>
      </c>
      <c r="J325" s="162">
        <v>1</v>
      </c>
      <c r="K325" s="165" t="s">
        <v>3219</v>
      </c>
      <c r="L325" s="147" t="s">
        <v>17</v>
      </c>
      <c r="M325" s="50"/>
      <c r="N325" s="165" t="s">
        <v>2529</v>
      </c>
      <c r="O325" s="164"/>
      <c r="P325" s="164"/>
      <c r="Q325" s="164"/>
      <c r="R325" s="170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</row>
    <row r="326" spans="1:39" s="236" customFormat="1" ht="35.25" customHeight="1">
      <c r="A326" s="15">
        <f t="shared" si="4"/>
        <v>316</v>
      </c>
      <c r="B326" s="163" t="s">
        <v>949</v>
      </c>
      <c r="C326" s="164">
        <v>961835189</v>
      </c>
      <c r="D326" s="163"/>
      <c r="E326" s="163"/>
      <c r="F326" s="163"/>
      <c r="G326" s="200"/>
      <c r="H326" s="147"/>
      <c r="I326" s="163" t="s">
        <v>566</v>
      </c>
      <c r="J326" s="162">
        <v>1</v>
      </c>
      <c r="K326" s="165" t="s">
        <v>3219</v>
      </c>
      <c r="L326" s="147" t="s">
        <v>17</v>
      </c>
      <c r="M326" s="50"/>
      <c r="N326" s="165" t="s">
        <v>2529</v>
      </c>
      <c r="O326" s="164"/>
      <c r="P326" s="164"/>
      <c r="Q326" s="164"/>
      <c r="R326" s="170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</row>
    <row r="327" spans="1:39" s="236" customFormat="1" ht="35.25" customHeight="1">
      <c r="A327" s="15">
        <f t="shared" si="4"/>
        <v>317</v>
      </c>
      <c r="B327" s="163" t="s">
        <v>950</v>
      </c>
      <c r="C327" s="164">
        <v>964220169</v>
      </c>
      <c r="D327" s="163"/>
      <c r="E327" s="163"/>
      <c r="F327" s="163"/>
      <c r="G327" s="200"/>
      <c r="H327" s="147"/>
      <c r="I327" s="163" t="s">
        <v>566</v>
      </c>
      <c r="J327" s="162">
        <v>1</v>
      </c>
      <c r="K327" s="165" t="s">
        <v>3219</v>
      </c>
      <c r="L327" s="147" t="s">
        <v>17</v>
      </c>
      <c r="M327" s="50"/>
      <c r="N327" s="165" t="s">
        <v>2529</v>
      </c>
      <c r="O327" s="164"/>
      <c r="P327" s="164"/>
      <c r="Q327" s="164"/>
      <c r="R327" s="170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</row>
    <row r="328" spans="1:39" s="236" customFormat="1" ht="35.25" customHeight="1">
      <c r="A328" s="15">
        <f t="shared" si="4"/>
        <v>318</v>
      </c>
      <c r="B328" s="163" t="s">
        <v>951</v>
      </c>
      <c r="C328" s="164">
        <v>966504069</v>
      </c>
      <c r="D328" s="163"/>
      <c r="E328" s="163"/>
      <c r="F328" s="163"/>
      <c r="G328" s="200"/>
      <c r="H328" s="147"/>
      <c r="I328" s="163" t="s">
        <v>566</v>
      </c>
      <c r="J328" s="162">
        <v>1</v>
      </c>
      <c r="K328" s="165" t="s">
        <v>3219</v>
      </c>
      <c r="L328" s="147" t="s">
        <v>17</v>
      </c>
      <c r="M328" s="50"/>
      <c r="N328" s="165" t="s">
        <v>2529</v>
      </c>
      <c r="O328" s="164"/>
      <c r="P328" s="164"/>
      <c r="Q328" s="164"/>
      <c r="R328" s="170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</row>
    <row r="329" spans="1:39" s="136" customFormat="1" ht="35.25" customHeight="1">
      <c r="A329" s="15">
        <f t="shared" si="4"/>
        <v>319</v>
      </c>
      <c r="B329" s="156" t="s">
        <v>3235</v>
      </c>
      <c r="C329" s="160" t="s">
        <v>3236</v>
      </c>
      <c r="D329" s="156"/>
      <c r="E329" s="156"/>
      <c r="F329" s="156"/>
      <c r="G329" s="46"/>
      <c r="H329" s="43"/>
      <c r="I329" s="258" t="s">
        <v>566</v>
      </c>
      <c r="J329" s="257">
        <v>1</v>
      </c>
      <c r="K329" s="145" t="s">
        <v>730</v>
      </c>
      <c r="L329" s="43" t="s">
        <v>17</v>
      </c>
      <c r="M329" s="19"/>
      <c r="N329" s="145" t="s">
        <v>2523</v>
      </c>
      <c r="O329" s="254">
        <v>45008</v>
      </c>
      <c r="P329" s="156"/>
      <c r="Q329" s="160"/>
      <c r="R329" s="169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</row>
    <row r="330" spans="1:39" s="136" customFormat="1" ht="34.5" customHeight="1">
      <c r="A330" s="15">
        <f t="shared" si="4"/>
        <v>320</v>
      </c>
      <c r="B330" s="156" t="s">
        <v>3237</v>
      </c>
      <c r="C330" s="160" t="s">
        <v>3238</v>
      </c>
      <c r="D330" s="156"/>
      <c r="E330" s="156"/>
      <c r="F330" s="156"/>
      <c r="G330" s="160" t="s">
        <v>3238</v>
      </c>
      <c r="H330" s="43"/>
      <c r="I330" s="258" t="s">
        <v>566</v>
      </c>
      <c r="J330" s="257">
        <v>1</v>
      </c>
      <c r="K330" s="145" t="s">
        <v>730</v>
      </c>
      <c r="L330" s="43" t="s">
        <v>17</v>
      </c>
      <c r="M330" s="19"/>
      <c r="N330" s="145" t="s">
        <v>2523</v>
      </c>
      <c r="O330" s="254">
        <v>45008</v>
      </c>
      <c r="P330" s="156"/>
      <c r="Q330" s="160"/>
      <c r="R330" s="169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</row>
    <row r="331" spans="1:39" s="136" customFormat="1" ht="35.25" customHeight="1">
      <c r="A331" s="15">
        <f t="shared" si="4"/>
        <v>321</v>
      </c>
      <c r="B331" s="156" t="s">
        <v>3239</v>
      </c>
      <c r="C331" s="160" t="s">
        <v>3238</v>
      </c>
      <c r="D331" s="156"/>
      <c r="E331" s="156"/>
      <c r="F331" s="156"/>
      <c r="G331" s="160" t="s">
        <v>3238</v>
      </c>
      <c r="H331" s="43"/>
      <c r="I331" s="258" t="s">
        <v>566</v>
      </c>
      <c r="J331" s="257">
        <v>1</v>
      </c>
      <c r="K331" s="145" t="s">
        <v>730</v>
      </c>
      <c r="L331" s="43" t="s">
        <v>17</v>
      </c>
      <c r="M331" s="19"/>
      <c r="N331" s="145" t="s">
        <v>2523</v>
      </c>
      <c r="O331" s="254">
        <v>45008</v>
      </c>
      <c r="P331" s="156"/>
      <c r="Q331" s="160"/>
      <c r="R331" s="169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</row>
    <row r="332" spans="1:39" s="136" customFormat="1" ht="35.25" customHeight="1">
      <c r="A332" s="15">
        <f t="shared" si="4"/>
        <v>322</v>
      </c>
      <c r="B332" s="156" t="s">
        <v>3240</v>
      </c>
      <c r="C332" s="160" t="s">
        <v>3238</v>
      </c>
      <c r="D332" s="156"/>
      <c r="E332" s="156"/>
      <c r="F332" s="156"/>
      <c r="G332" s="160" t="s">
        <v>3238</v>
      </c>
      <c r="H332" s="43"/>
      <c r="I332" s="258" t="s">
        <v>566</v>
      </c>
      <c r="J332" s="257">
        <v>1</v>
      </c>
      <c r="K332" s="145" t="s">
        <v>730</v>
      </c>
      <c r="L332" s="43" t="s">
        <v>17</v>
      </c>
      <c r="M332" s="19"/>
      <c r="N332" s="145" t="s">
        <v>2523</v>
      </c>
      <c r="O332" s="254">
        <v>45008</v>
      </c>
      <c r="P332" s="156"/>
      <c r="Q332" s="160"/>
      <c r="R332" s="169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1"/>
      <c r="AI332" s="131"/>
      <c r="AJ332" s="131"/>
      <c r="AK332" s="131"/>
      <c r="AL332" s="131"/>
      <c r="AM332" s="131"/>
    </row>
    <row r="333" spans="1:39" s="136" customFormat="1" ht="35.25" customHeight="1">
      <c r="A333" s="15">
        <f t="shared" si="4"/>
        <v>323</v>
      </c>
      <c r="B333" s="156" t="s">
        <v>3241</v>
      </c>
      <c r="C333" s="160" t="s">
        <v>3238</v>
      </c>
      <c r="D333" s="156"/>
      <c r="E333" s="156"/>
      <c r="F333" s="156"/>
      <c r="G333" s="160" t="s">
        <v>3238</v>
      </c>
      <c r="H333" s="43"/>
      <c r="I333" s="258" t="s">
        <v>566</v>
      </c>
      <c r="J333" s="257">
        <v>1</v>
      </c>
      <c r="K333" s="145" t="s">
        <v>730</v>
      </c>
      <c r="L333" s="43" t="s">
        <v>17</v>
      </c>
      <c r="M333" s="19"/>
      <c r="N333" s="145" t="s">
        <v>2523</v>
      </c>
      <c r="O333" s="254">
        <v>45008</v>
      </c>
      <c r="P333" s="156"/>
      <c r="Q333" s="160"/>
      <c r="R333" s="169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1"/>
      <c r="AI333" s="131"/>
      <c r="AJ333" s="131"/>
      <c r="AK333" s="131"/>
      <c r="AL333" s="131"/>
      <c r="AM333" s="131"/>
    </row>
    <row r="334" spans="1:39" s="136" customFormat="1" ht="35.25" customHeight="1">
      <c r="A334" s="15">
        <f t="shared" si="4"/>
        <v>324</v>
      </c>
      <c r="B334" s="156" t="s">
        <v>3242</v>
      </c>
      <c r="C334" s="160" t="s">
        <v>3238</v>
      </c>
      <c r="D334" s="156"/>
      <c r="E334" s="156"/>
      <c r="F334" s="156"/>
      <c r="G334" s="160" t="s">
        <v>3238</v>
      </c>
      <c r="H334" s="43"/>
      <c r="I334" s="258" t="s">
        <v>566</v>
      </c>
      <c r="J334" s="257">
        <v>1</v>
      </c>
      <c r="K334" s="145" t="s">
        <v>730</v>
      </c>
      <c r="L334" s="43" t="s">
        <v>17</v>
      </c>
      <c r="M334" s="19"/>
      <c r="N334" s="145" t="s">
        <v>2523</v>
      </c>
      <c r="O334" s="254">
        <v>45008</v>
      </c>
      <c r="P334" s="156"/>
      <c r="Q334" s="160"/>
      <c r="R334" s="169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1"/>
      <c r="AI334" s="131"/>
      <c r="AJ334" s="131"/>
      <c r="AK334" s="131"/>
      <c r="AL334" s="131"/>
      <c r="AM334" s="131"/>
    </row>
    <row r="335" spans="1:39" ht="35.25" customHeight="1">
      <c r="A335" s="15">
        <f t="shared" si="4"/>
        <v>325</v>
      </c>
      <c r="B335" s="141" t="s">
        <v>383</v>
      </c>
      <c r="C335" s="64" t="s">
        <v>384</v>
      </c>
      <c r="D335" s="156"/>
      <c r="E335" s="156"/>
      <c r="F335" s="156"/>
      <c r="G335" s="64" t="s">
        <v>385</v>
      </c>
      <c r="H335" s="141"/>
      <c r="I335" s="15" t="s">
        <v>18</v>
      </c>
      <c r="J335" s="15">
        <v>1</v>
      </c>
      <c r="K335" s="11" t="s">
        <v>730</v>
      </c>
      <c r="L335" s="141" t="s">
        <v>387</v>
      </c>
      <c r="M335" s="19"/>
      <c r="N335" s="141" t="s">
        <v>421</v>
      </c>
      <c r="O335" s="146"/>
      <c r="P335" s="160"/>
      <c r="Q335" s="160"/>
      <c r="R335" s="35" t="s">
        <v>272</v>
      </c>
    </row>
    <row r="336" spans="1:39" ht="35.25" customHeight="1">
      <c r="A336" s="15">
        <f t="shared" si="4"/>
        <v>326</v>
      </c>
      <c r="B336" s="141" t="s">
        <v>388</v>
      </c>
      <c r="C336" s="64" t="s">
        <v>389</v>
      </c>
      <c r="D336" s="156"/>
      <c r="E336" s="156"/>
      <c r="F336" s="156"/>
      <c r="G336" s="64" t="s">
        <v>390</v>
      </c>
      <c r="H336" s="141"/>
      <c r="I336" s="15" t="s">
        <v>18</v>
      </c>
      <c r="J336" s="15">
        <v>1</v>
      </c>
      <c r="K336" s="11" t="s">
        <v>730</v>
      </c>
      <c r="L336" s="141" t="s">
        <v>387</v>
      </c>
      <c r="M336" s="19"/>
      <c r="N336" s="141" t="s">
        <v>421</v>
      </c>
      <c r="O336" s="146"/>
      <c r="P336" s="160"/>
      <c r="Q336" s="160"/>
      <c r="R336" s="35" t="s">
        <v>272</v>
      </c>
    </row>
    <row r="337" spans="1:39" ht="35.25" customHeight="1">
      <c r="A337" s="15">
        <f t="shared" si="4"/>
        <v>327</v>
      </c>
      <c r="B337" s="141" t="s">
        <v>391</v>
      </c>
      <c r="C337" s="64" t="s">
        <v>392</v>
      </c>
      <c r="D337" s="156"/>
      <c r="E337" s="156"/>
      <c r="F337" s="156"/>
      <c r="G337" s="64"/>
      <c r="H337" s="141"/>
      <c r="I337" s="15" t="s">
        <v>18</v>
      </c>
      <c r="J337" s="15">
        <v>1</v>
      </c>
      <c r="K337" s="11" t="s">
        <v>730</v>
      </c>
      <c r="L337" s="141" t="s">
        <v>387</v>
      </c>
      <c r="M337" s="19"/>
      <c r="N337" s="141" t="s">
        <v>421</v>
      </c>
      <c r="O337" s="146"/>
      <c r="P337" s="160"/>
      <c r="Q337" s="160"/>
      <c r="R337" s="35" t="s">
        <v>272</v>
      </c>
    </row>
    <row r="338" spans="1:39" ht="35.25" customHeight="1">
      <c r="A338" s="15">
        <f t="shared" si="4"/>
        <v>328</v>
      </c>
      <c r="B338" s="141" t="s">
        <v>393</v>
      </c>
      <c r="C338" s="64" t="s">
        <v>147</v>
      </c>
      <c r="D338" s="156"/>
      <c r="E338" s="156"/>
      <c r="F338" s="156"/>
      <c r="G338" s="64" t="s">
        <v>394</v>
      </c>
      <c r="H338" s="141"/>
      <c r="I338" s="15" t="s">
        <v>18</v>
      </c>
      <c r="J338" s="15">
        <v>1</v>
      </c>
      <c r="K338" s="11" t="s">
        <v>730</v>
      </c>
      <c r="L338" s="141" t="s">
        <v>387</v>
      </c>
      <c r="M338" s="19"/>
      <c r="N338" s="141" t="s">
        <v>421</v>
      </c>
      <c r="O338" s="146"/>
      <c r="P338" s="160"/>
      <c r="Q338" s="160"/>
      <c r="R338" s="35" t="s">
        <v>272</v>
      </c>
    </row>
    <row r="339" spans="1:39" ht="35.25" customHeight="1">
      <c r="A339" s="15">
        <f t="shared" ref="A339:A402" si="5">A338+1</f>
        <v>329</v>
      </c>
      <c r="B339" s="141" t="s">
        <v>952</v>
      </c>
      <c r="C339" s="64" t="s">
        <v>396</v>
      </c>
      <c r="D339" s="156"/>
      <c r="E339" s="156"/>
      <c r="F339" s="156"/>
      <c r="G339" s="64"/>
      <c r="H339" s="141"/>
      <c r="I339" s="15" t="s">
        <v>18</v>
      </c>
      <c r="J339" s="15">
        <v>1</v>
      </c>
      <c r="K339" s="11" t="s">
        <v>730</v>
      </c>
      <c r="L339" s="141" t="s">
        <v>387</v>
      </c>
      <c r="M339" s="19"/>
      <c r="N339" s="141" t="s">
        <v>421</v>
      </c>
      <c r="O339" s="146"/>
      <c r="P339" s="160"/>
      <c r="Q339" s="160"/>
      <c r="R339" s="35" t="s">
        <v>272</v>
      </c>
    </row>
    <row r="340" spans="1:39" ht="35.25" customHeight="1">
      <c r="A340" s="15">
        <f t="shared" si="5"/>
        <v>330</v>
      </c>
      <c r="B340" s="141" t="s">
        <v>397</v>
      </c>
      <c r="C340" s="64" t="s">
        <v>141</v>
      </c>
      <c r="D340" s="156"/>
      <c r="E340" s="156"/>
      <c r="F340" s="156"/>
      <c r="G340" s="64"/>
      <c r="H340" s="141"/>
      <c r="I340" s="15" t="s">
        <v>18</v>
      </c>
      <c r="J340" s="15">
        <v>2</v>
      </c>
      <c r="K340" s="11" t="s">
        <v>730</v>
      </c>
      <c r="L340" s="141" t="s">
        <v>387</v>
      </c>
      <c r="M340" s="19"/>
      <c r="N340" s="141" t="s">
        <v>421</v>
      </c>
      <c r="O340" s="146"/>
      <c r="P340" s="160"/>
      <c r="Q340" s="160"/>
      <c r="R340" s="35" t="s">
        <v>272</v>
      </c>
    </row>
    <row r="341" spans="1:39" ht="35.25" customHeight="1">
      <c r="A341" s="15">
        <f t="shared" si="5"/>
        <v>331</v>
      </c>
      <c r="B341" s="141" t="s">
        <v>398</v>
      </c>
      <c r="C341" s="64" t="s">
        <v>138</v>
      </c>
      <c r="D341" s="156"/>
      <c r="E341" s="156"/>
      <c r="F341" s="156"/>
      <c r="G341" s="64"/>
      <c r="H341" s="141"/>
      <c r="I341" s="15" t="s">
        <v>18</v>
      </c>
      <c r="J341" s="15">
        <v>2</v>
      </c>
      <c r="K341" s="11" t="s">
        <v>730</v>
      </c>
      <c r="L341" s="141" t="s">
        <v>387</v>
      </c>
      <c r="M341" s="19"/>
      <c r="N341" s="141" t="s">
        <v>421</v>
      </c>
      <c r="O341" s="146"/>
      <c r="P341" s="160"/>
      <c r="Q341" s="160"/>
      <c r="R341" s="35" t="s">
        <v>272</v>
      </c>
    </row>
    <row r="342" spans="1:39" s="137" customFormat="1" ht="35.25" customHeight="1">
      <c r="A342" s="15">
        <f t="shared" si="5"/>
        <v>332</v>
      </c>
      <c r="B342" s="148" t="s">
        <v>399</v>
      </c>
      <c r="C342" s="196" t="s">
        <v>400</v>
      </c>
      <c r="D342" s="151"/>
      <c r="E342" s="151"/>
      <c r="F342" s="151"/>
      <c r="G342" s="196" t="s">
        <v>401</v>
      </c>
      <c r="H342" s="148"/>
      <c r="I342" s="26" t="s">
        <v>18</v>
      </c>
      <c r="J342" s="26">
        <v>1</v>
      </c>
      <c r="K342" s="25" t="s">
        <v>300</v>
      </c>
      <c r="L342" s="148" t="s">
        <v>387</v>
      </c>
      <c r="M342" s="25"/>
      <c r="N342" s="148" t="s">
        <v>421</v>
      </c>
      <c r="O342" s="262"/>
      <c r="P342" s="197"/>
      <c r="Q342" s="197"/>
      <c r="R342" s="38" t="s">
        <v>3254</v>
      </c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</row>
    <row r="343" spans="1:39" ht="35.25" customHeight="1">
      <c r="A343" s="15">
        <f t="shared" si="5"/>
        <v>333</v>
      </c>
      <c r="B343" s="141" t="s">
        <v>402</v>
      </c>
      <c r="C343" s="64" t="s">
        <v>30</v>
      </c>
      <c r="D343" s="156"/>
      <c r="E343" s="156"/>
      <c r="F343" s="156"/>
      <c r="G343" s="64"/>
      <c r="H343" s="141"/>
      <c r="I343" s="15" t="s">
        <v>18</v>
      </c>
      <c r="J343" s="15">
        <v>1</v>
      </c>
      <c r="K343" s="11" t="s">
        <v>730</v>
      </c>
      <c r="L343" s="141" t="s">
        <v>387</v>
      </c>
      <c r="M343" s="19"/>
      <c r="N343" s="141" t="s">
        <v>421</v>
      </c>
      <c r="O343" s="146"/>
      <c r="P343" s="160"/>
      <c r="Q343" s="160"/>
      <c r="R343" s="35" t="s">
        <v>272</v>
      </c>
    </row>
    <row r="344" spans="1:39" ht="35.25" customHeight="1">
      <c r="A344" s="15">
        <f t="shared" si="5"/>
        <v>334</v>
      </c>
      <c r="B344" s="141" t="s">
        <v>403</v>
      </c>
      <c r="C344" s="64" t="s">
        <v>404</v>
      </c>
      <c r="D344" s="156"/>
      <c r="E344" s="156"/>
      <c r="F344" s="156"/>
      <c r="G344" s="64"/>
      <c r="H344" s="141"/>
      <c r="I344" s="15" t="s">
        <v>405</v>
      </c>
      <c r="J344" s="15">
        <v>4</v>
      </c>
      <c r="K344" s="11" t="s">
        <v>730</v>
      </c>
      <c r="L344" s="141" t="s">
        <v>387</v>
      </c>
      <c r="M344" s="19"/>
      <c r="N344" s="141" t="s">
        <v>421</v>
      </c>
      <c r="O344" s="146"/>
      <c r="P344" s="160"/>
      <c r="Q344" s="160"/>
      <c r="R344" s="35" t="s">
        <v>272</v>
      </c>
    </row>
    <row r="345" spans="1:39" ht="35.25" customHeight="1">
      <c r="A345" s="15">
        <f t="shared" si="5"/>
        <v>335</v>
      </c>
      <c r="B345" s="141" t="s">
        <v>953</v>
      </c>
      <c r="C345" s="64" t="s">
        <v>408</v>
      </c>
      <c r="D345" s="156"/>
      <c r="E345" s="156"/>
      <c r="F345" s="156"/>
      <c r="G345" s="64" t="s">
        <v>409</v>
      </c>
      <c r="H345" s="141"/>
      <c r="I345" s="15" t="s">
        <v>18</v>
      </c>
      <c r="J345" s="15">
        <v>1</v>
      </c>
      <c r="K345" s="11" t="s">
        <v>730</v>
      </c>
      <c r="L345" s="141" t="s">
        <v>387</v>
      </c>
      <c r="M345" s="19"/>
      <c r="N345" s="141" t="s">
        <v>421</v>
      </c>
      <c r="O345" s="146"/>
      <c r="P345" s="160"/>
      <c r="Q345" s="160"/>
      <c r="R345" s="35" t="s">
        <v>272</v>
      </c>
    </row>
    <row r="346" spans="1:39" ht="35.25" customHeight="1">
      <c r="A346" s="15">
        <f t="shared" si="5"/>
        <v>336</v>
      </c>
      <c r="B346" s="141" t="s">
        <v>954</v>
      </c>
      <c r="C346" s="64" t="s">
        <v>408</v>
      </c>
      <c r="D346" s="156"/>
      <c r="E346" s="156"/>
      <c r="F346" s="156"/>
      <c r="G346" s="64" t="s">
        <v>409</v>
      </c>
      <c r="H346" s="141"/>
      <c r="I346" s="15" t="s">
        <v>18</v>
      </c>
      <c r="J346" s="15">
        <v>1</v>
      </c>
      <c r="K346" s="11" t="s">
        <v>730</v>
      </c>
      <c r="L346" s="141" t="s">
        <v>387</v>
      </c>
      <c r="M346" s="19"/>
      <c r="N346" s="141" t="s">
        <v>421</v>
      </c>
      <c r="O346" s="146"/>
      <c r="P346" s="160"/>
      <c r="Q346" s="160"/>
      <c r="R346" s="35" t="s">
        <v>272</v>
      </c>
    </row>
    <row r="347" spans="1:39" ht="35.25" customHeight="1">
      <c r="A347" s="15">
        <f t="shared" si="5"/>
        <v>337</v>
      </c>
      <c r="B347" s="141" t="s">
        <v>955</v>
      </c>
      <c r="C347" s="64" t="s">
        <v>408</v>
      </c>
      <c r="D347" s="156"/>
      <c r="E347" s="156"/>
      <c r="F347" s="156"/>
      <c r="G347" s="64" t="s">
        <v>409</v>
      </c>
      <c r="H347" s="141"/>
      <c r="I347" s="15" t="s">
        <v>18</v>
      </c>
      <c r="J347" s="15">
        <v>1</v>
      </c>
      <c r="K347" s="11" t="s">
        <v>730</v>
      </c>
      <c r="L347" s="141" t="s">
        <v>387</v>
      </c>
      <c r="M347" s="19"/>
      <c r="N347" s="141" t="s">
        <v>421</v>
      </c>
      <c r="O347" s="146"/>
      <c r="P347" s="160"/>
      <c r="Q347" s="160"/>
      <c r="R347" s="35" t="s">
        <v>272</v>
      </c>
    </row>
    <row r="348" spans="1:39" ht="35.25" customHeight="1">
      <c r="A348" s="15">
        <f t="shared" si="5"/>
        <v>338</v>
      </c>
      <c r="B348" s="141" t="s">
        <v>956</v>
      </c>
      <c r="C348" s="64" t="s">
        <v>408</v>
      </c>
      <c r="D348" s="156"/>
      <c r="E348" s="156"/>
      <c r="F348" s="156"/>
      <c r="G348" s="64" t="s">
        <v>409</v>
      </c>
      <c r="H348" s="141"/>
      <c r="I348" s="15" t="s">
        <v>18</v>
      </c>
      <c r="J348" s="15">
        <v>1</v>
      </c>
      <c r="K348" s="11" t="s">
        <v>730</v>
      </c>
      <c r="L348" s="141" t="s">
        <v>387</v>
      </c>
      <c r="M348" s="19"/>
      <c r="N348" s="141" t="s">
        <v>421</v>
      </c>
      <c r="O348" s="146"/>
      <c r="P348" s="160"/>
      <c r="Q348" s="160"/>
      <c r="R348" s="35" t="s">
        <v>272</v>
      </c>
    </row>
    <row r="349" spans="1:39" ht="35.25" customHeight="1">
      <c r="A349" s="15">
        <f t="shared" si="5"/>
        <v>339</v>
      </c>
      <c r="B349" s="141" t="s">
        <v>957</v>
      </c>
      <c r="C349" s="64" t="s">
        <v>408</v>
      </c>
      <c r="D349" s="156"/>
      <c r="E349" s="156"/>
      <c r="F349" s="156"/>
      <c r="G349" s="64" t="s">
        <v>409</v>
      </c>
      <c r="H349" s="141"/>
      <c r="I349" s="15" t="s">
        <v>18</v>
      </c>
      <c r="J349" s="15">
        <v>1</v>
      </c>
      <c r="K349" s="11" t="s">
        <v>730</v>
      </c>
      <c r="L349" s="141" t="s">
        <v>387</v>
      </c>
      <c r="M349" s="19"/>
      <c r="N349" s="141" t="s">
        <v>421</v>
      </c>
      <c r="O349" s="146"/>
      <c r="P349" s="160"/>
      <c r="Q349" s="160"/>
      <c r="R349" s="35" t="s">
        <v>272</v>
      </c>
    </row>
    <row r="350" spans="1:39" ht="35.25" customHeight="1">
      <c r="A350" s="15">
        <f t="shared" si="5"/>
        <v>340</v>
      </c>
      <c r="B350" s="141" t="s">
        <v>958</v>
      </c>
      <c r="C350" s="64" t="s">
        <v>408</v>
      </c>
      <c r="D350" s="156"/>
      <c r="E350" s="156"/>
      <c r="F350" s="156"/>
      <c r="G350" s="64" t="s">
        <v>409</v>
      </c>
      <c r="H350" s="141"/>
      <c r="I350" s="15" t="s">
        <v>18</v>
      </c>
      <c r="J350" s="15">
        <v>1</v>
      </c>
      <c r="K350" s="11" t="s">
        <v>730</v>
      </c>
      <c r="L350" s="141" t="s">
        <v>387</v>
      </c>
      <c r="M350" s="19"/>
      <c r="N350" s="141" t="s">
        <v>421</v>
      </c>
      <c r="O350" s="146"/>
      <c r="P350" s="160"/>
      <c r="Q350" s="160"/>
      <c r="R350" s="35" t="s">
        <v>272</v>
      </c>
    </row>
    <row r="351" spans="1:39" ht="35.25" customHeight="1">
      <c r="A351" s="15">
        <f t="shared" si="5"/>
        <v>341</v>
      </c>
      <c r="B351" s="141" t="s">
        <v>959</v>
      </c>
      <c r="C351" s="64" t="s">
        <v>408</v>
      </c>
      <c r="D351" s="156"/>
      <c r="E351" s="156"/>
      <c r="F351" s="156"/>
      <c r="G351" s="64" t="s">
        <v>412</v>
      </c>
      <c r="H351" s="141"/>
      <c r="I351" s="15" t="s">
        <v>18</v>
      </c>
      <c r="J351" s="15">
        <v>1</v>
      </c>
      <c r="K351" s="11" t="s">
        <v>730</v>
      </c>
      <c r="L351" s="141" t="s">
        <v>387</v>
      </c>
      <c r="M351" s="19"/>
      <c r="N351" s="141" t="s">
        <v>421</v>
      </c>
      <c r="O351" s="146"/>
      <c r="P351" s="160"/>
      <c r="Q351" s="160"/>
      <c r="R351" s="35" t="s">
        <v>272</v>
      </c>
    </row>
    <row r="352" spans="1:39" ht="35.25" customHeight="1">
      <c r="A352" s="15">
        <f t="shared" si="5"/>
        <v>342</v>
      </c>
      <c r="B352" s="141" t="s">
        <v>960</v>
      </c>
      <c r="C352" s="64" t="s">
        <v>414</v>
      </c>
      <c r="D352" s="156"/>
      <c r="E352" s="156"/>
      <c r="F352" s="156"/>
      <c r="G352" s="64"/>
      <c r="H352" s="141"/>
      <c r="I352" s="15" t="s">
        <v>18</v>
      </c>
      <c r="J352" s="15">
        <v>1</v>
      </c>
      <c r="K352" s="11" t="s">
        <v>730</v>
      </c>
      <c r="L352" s="141" t="s">
        <v>387</v>
      </c>
      <c r="M352" s="19"/>
      <c r="N352" s="141" t="s">
        <v>421</v>
      </c>
      <c r="O352" s="146"/>
      <c r="P352" s="160"/>
      <c r="Q352" s="160"/>
      <c r="R352" s="35" t="s">
        <v>272</v>
      </c>
    </row>
    <row r="353" spans="1:18" ht="35.25" customHeight="1">
      <c r="A353" s="15">
        <f t="shared" si="5"/>
        <v>343</v>
      </c>
      <c r="B353" s="141" t="s">
        <v>961</v>
      </c>
      <c r="C353" s="64" t="s">
        <v>414</v>
      </c>
      <c r="D353" s="156"/>
      <c r="E353" s="156"/>
      <c r="F353" s="156"/>
      <c r="G353" s="64"/>
      <c r="H353" s="141"/>
      <c r="I353" s="15" t="s">
        <v>18</v>
      </c>
      <c r="J353" s="15">
        <v>1</v>
      </c>
      <c r="K353" s="11" t="s">
        <v>730</v>
      </c>
      <c r="L353" s="141" t="s">
        <v>387</v>
      </c>
      <c r="M353" s="19"/>
      <c r="N353" s="141" t="s">
        <v>421</v>
      </c>
      <c r="O353" s="146"/>
      <c r="P353" s="160"/>
      <c r="Q353" s="160"/>
      <c r="R353" s="35" t="s">
        <v>272</v>
      </c>
    </row>
    <row r="354" spans="1:18" ht="35.25" customHeight="1">
      <c r="A354" s="15">
        <f t="shared" si="5"/>
        <v>344</v>
      </c>
      <c r="B354" s="141" t="s">
        <v>962</v>
      </c>
      <c r="C354" s="64" t="s">
        <v>414</v>
      </c>
      <c r="D354" s="156"/>
      <c r="E354" s="156"/>
      <c r="F354" s="156"/>
      <c r="G354" s="64"/>
      <c r="H354" s="141"/>
      <c r="I354" s="15" t="s">
        <v>18</v>
      </c>
      <c r="J354" s="15">
        <v>1</v>
      </c>
      <c r="K354" s="11" t="s">
        <v>730</v>
      </c>
      <c r="L354" s="141" t="s">
        <v>387</v>
      </c>
      <c r="M354" s="19"/>
      <c r="N354" s="141" t="s">
        <v>421</v>
      </c>
      <c r="O354" s="146"/>
      <c r="P354" s="160"/>
      <c r="Q354" s="160"/>
      <c r="R354" s="35" t="s">
        <v>272</v>
      </c>
    </row>
    <row r="355" spans="1:18" ht="35.25" customHeight="1">
      <c r="A355" s="15">
        <f t="shared" si="5"/>
        <v>345</v>
      </c>
      <c r="B355" s="141" t="s">
        <v>963</v>
      </c>
      <c r="C355" s="64" t="s">
        <v>414</v>
      </c>
      <c r="D355" s="156"/>
      <c r="E355" s="156"/>
      <c r="F355" s="156"/>
      <c r="G355" s="64"/>
      <c r="H355" s="141"/>
      <c r="I355" s="15" t="s">
        <v>18</v>
      </c>
      <c r="J355" s="15">
        <v>1</v>
      </c>
      <c r="K355" s="11" t="s">
        <v>730</v>
      </c>
      <c r="L355" s="141" t="s">
        <v>387</v>
      </c>
      <c r="M355" s="19"/>
      <c r="N355" s="141" t="s">
        <v>421</v>
      </c>
      <c r="O355" s="146"/>
      <c r="P355" s="160"/>
      <c r="Q355" s="160"/>
      <c r="R355" s="35" t="s">
        <v>272</v>
      </c>
    </row>
    <row r="356" spans="1:18" ht="35.25" customHeight="1">
      <c r="A356" s="15">
        <f t="shared" si="5"/>
        <v>346</v>
      </c>
      <c r="B356" s="141" t="s">
        <v>964</v>
      </c>
      <c r="C356" s="64" t="s">
        <v>414</v>
      </c>
      <c r="D356" s="156"/>
      <c r="E356" s="156"/>
      <c r="F356" s="156"/>
      <c r="G356" s="64"/>
      <c r="H356" s="141"/>
      <c r="I356" s="15" t="s">
        <v>18</v>
      </c>
      <c r="J356" s="15">
        <v>1</v>
      </c>
      <c r="K356" s="11" t="s">
        <v>730</v>
      </c>
      <c r="L356" s="141" t="s">
        <v>387</v>
      </c>
      <c r="M356" s="19"/>
      <c r="N356" s="141" t="s">
        <v>421</v>
      </c>
      <c r="O356" s="146"/>
      <c r="P356" s="160"/>
      <c r="Q356" s="160"/>
      <c r="R356" s="35" t="s">
        <v>272</v>
      </c>
    </row>
    <row r="357" spans="1:18" ht="35.25" customHeight="1">
      <c r="A357" s="15">
        <f t="shared" si="5"/>
        <v>347</v>
      </c>
      <c r="B357" s="141" t="s">
        <v>965</v>
      </c>
      <c r="C357" s="64" t="s">
        <v>414</v>
      </c>
      <c r="D357" s="156"/>
      <c r="E357" s="156"/>
      <c r="F357" s="156"/>
      <c r="G357" s="64"/>
      <c r="H357" s="141"/>
      <c r="I357" s="15" t="s">
        <v>18</v>
      </c>
      <c r="J357" s="15">
        <v>1</v>
      </c>
      <c r="K357" s="11" t="s">
        <v>730</v>
      </c>
      <c r="L357" s="141" t="s">
        <v>387</v>
      </c>
      <c r="M357" s="19"/>
      <c r="N357" s="141" t="s">
        <v>421</v>
      </c>
      <c r="O357" s="146"/>
      <c r="P357" s="160"/>
      <c r="Q357" s="160"/>
      <c r="R357" s="35" t="s">
        <v>272</v>
      </c>
    </row>
    <row r="358" spans="1:18" ht="35.25" customHeight="1">
      <c r="A358" s="15">
        <f t="shared" si="5"/>
        <v>348</v>
      </c>
      <c r="B358" s="43" t="s">
        <v>415</v>
      </c>
      <c r="C358" s="46" t="s">
        <v>416</v>
      </c>
      <c r="D358" s="156"/>
      <c r="E358" s="156"/>
      <c r="F358" s="156"/>
      <c r="G358" s="46" t="s">
        <v>417</v>
      </c>
      <c r="H358" s="141"/>
      <c r="I358" s="13" t="s">
        <v>18</v>
      </c>
      <c r="J358" s="13">
        <v>1</v>
      </c>
      <c r="K358" s="11" t="s">
        <v>730</v>
      </c>
      <c r="L358" s="43" t="s">
        <v>387</v>
      </c>
      <c r="M358" s="19"/>
      <c r="N358" s="141" t="s">
        <v>421</v>
      </c>
      <c r="O358" s="66"/>
      <c r="P358" s="160"/>
      <c r="Q358" s="160"/>
      <c r="R358" s="35" t="s">
        <v>272</v>
      </c>
    </row>
    <row r="359" spans="1:18" ht="35.25" customHeight="1">
      <c r="A359" s="15">
        <f t="shared" si="5"/>
        <v>349</v>
      </c>
      <c r="B359" s="43" t="s">
        <v>418</v>
      </c>
      <c r="C359" s="46" t="s">
        <v>419</v>
      </c>
      <c r="D359" s="156"/>
      <c r="E359" s="156"/>
      <c r="F359" s="156"/>
      <c r="G359" s="46" t="s">
        <v>420</v>
      </c>
      <c r="H359" s="141"/>
      <c r="I359" s="13" t="s">
        <v>18</v>
      </c>
      <c r="J359" s="13">
        <v>1</v>
      </c>
      <c r="K359" s="11" t="s">
        <v>730</v>
      </c>
      <c r="L359" s="43" t="s">
        <v>387</v>
      </c>
      <c r="M359" s="19"/>
      <c r="N359" s="43" t="s">
        <v>421</v>
      </c>
      <c r="O359" s="66"/>
      <c r="P359" s="160"/>
      <c r="Q359" s="160"/>
      <c r="R359" s="44" t="s">
        <v>422</v>
      </c>
    </row>
    <row r="360" spans="1:18" ht="35.25" customHeight="1">
      <c r="A360" s="15">
        <f t="shared" si="5"/>
        <v>350</v>
      </c>
      <c r="B360" s="43" t="s">
        <v>423</v>
      </c>
      <c r="C360" s="46" t="s">
        <v>424</v>
      </c>
      <c r="D360" s="156"/>
      <c r="E360" s="156"/>
      <c r="F360" s="156"/>
      <c r="G360" s="46" t="s">
        <v>425</v>
      </c>
      <c r="H360" s="141"/>
      <c r="I360" s="13" t="s">
        <v>18</v>
      </c>
      <c r="J360" s="13">
        <v>1</v>
      </c>
      <c r="K360" s="11" t="s">
        <v>730</v>
      </c>
      <c r="L360" s="43" t="s">
        <v>387</v>
      </c>
      <c r="M360" s="19"/>
      <c r="N360" s="43" t="s">
        <v>421</v>
      </c>
      <c r="O360" s="66"/>
      <c r="P360" s="243"/>
      <c r="Q360" s="243"/>
      <c r="R360" s="44" t="s">
        <v>426</v>
      </c>
    </row>
    <row r="361" spans="1:18" ht="35.25" customHeight="1">
      <c r="A361" s="15">
        <f t="shared" si="5"/>
        <v>351</v>
      </c>
      <c r="B361" s="43" t="s">
        <v>427</v>
      </c>
      <c r="C361" s="46" t="s">
        <v>428</v>
      </c>
      <c r="D361" s="156"/>
      <c r="E361" s="156"/>
      <c r="F361" s="156"/>
      <c r="G361" s="46" t="s">
        <v>429</v>
      </c>
      <c r="H361" s="141"/>
      <c r="I361" s="13" t="s">
        <v>18</v>
      </c>
      <c r="J361" s="13">
        <v>1</v>
      </c>
      <c r="K361" s="11" t="s">
        <v>730</v>
      </c>
      <c r="L361" s="43" t="s">
        <v>387</v>
      </c>
      <c r="M361" s="19"/>
      <c r="N361" s="43" t="s">
        <v>421</v>
      </c>
      <c r="O361" s="66"/>
      <c r="P361" s="243"/>
      <c r="Q361" s="243"/>
      <c r="R361" s="44"/>
    </row>
    <row r="362" spans="1:18" ht="35.25" customHeight="1">
      <c r="A362" s="15">
        <f t="shared" si="5"/>
        <v>352</v>
      </c>
      <c r="B362" s="43" t="s">
        <v>430</v>
      </c>
      <c r="C362" s="46" t="s">
        <v>431</v>
      </c>
      <c r="D362" s="156"/>
      <c r="E362" s="156"/>
      <c r="F362" s="156"/>
      <c r="G362" s="46" t="s">
        <v>432</v>
      </c>
      <c r="H362" s="141"/>
      <c r="I362" s="13" t="s">
        <v>18</v>
      </c>
      <c r="J362" s="13">
        <v>1</v>
      </c>
      <c r="K362" s="11" t="s">
        <v>730</v>
      </c>
      <c r="L362" s="43" t="s">
        <v>387</v>
      </c>
      <c r="M362" s="19"/>
      <c r="N362" s="43" t="s">
        <v>421</v>
      </c>
      <c r="O362" s="66"/>
      <c r="P362" s="243"/>
      <c r="Q362" s="243"/>
      <c r="R362" s="44" t="s">
        <v>433</v>
      </c>
    </row>
    <row r="363" spans="1:18" ht="35.25" customHeight="1">
      <c r="A363" s="15">
        <f t="shared" si="5"/>
        <v>353</v>
      </c>
      <c r="B363" s="43" t="s">
        <v>434</v>
      </c>
      <c r="C363" s="46" t="s">
        <v>431</v>
      </c>
      <c r="D363" s="156"/>
      <c r="E363" s="156"/>
      <c r="F363" s="156"/>
      <c r="G363" s="46" t="s">
        <v>435</v>
      </c>
      <c r="H363" s="141"/>
      <c r="I363" s="13" t="s">
        <v>18</v>
      </c>
      <c r="J363" s="13">
        <v>1</v>
      </c>
      <c r="K363" s="11" t="s">
        <v>730</v>
      </c>
      <c r="L363" s="43" t="s">
        <v>387</v>
      </c>
      <c r="M363" s="19"/>
      <c r="N363" s="43" t="s">
        <v>421</v>
      </c>
      <c r="O363" s="66"/>
      <c r="P363" s="243"/>
      <c r="Q363" s="243"/>
      <c r="R363" s="44" t="s">
        <v>436</v>
      </c>
    </row>
    <row r="364" spans="1:18" ht="35.25" customHeight="1">
      <c r="A364" s="15">
        <f t="shared" si="5"/>
        <v>354</v>
      </c>
      <c r="B364" s="43" t="s">
        <v>437</v>
      </c>
      <c r="C364" s="46" t="s">
        <v>147</v>
      </c>
      <c r="D364" s="156"/>
      <c r="E364" s="156"/>
      <c r="F364" s="156"/>
      <c r="G364" s="46" t="s">
        <v>438</v>
      </c>
      <c r="H364" s="141"/>
      <c r="I364" s="13" t="s">
        <v>18</v>
      </c>
      <c r="J364" s="13">
        <v>1</v>
      </c>
      <c r="K364" s="11" t="s">
        <v>730</v>
      </c>
      <c r="L364" s="43" t="s">
        <v>387</v>
      </c>
      <c r="M364" s="19"/>
      <c r="N364" s="43" t="s">
        <v>421</v>
      </c>
      <c r="O364" s="66"/>
      <c r="P364" s="243"/>
      <c r="Q364" s="243"/>
      <c r="R364" s="44"/>
    </row>
    <row r="365" spans="1:18" ht="35.25" customHeight="1">
      <c r="A365" s="15">
        <f t="shared" si="5"/>
        <v>355</v>
      </c>
      <c r="B365" s="43" t="s">
        <v>439</v>
      </c>
      <c r="C365" s="46" t="s">
        <v>143</v>
      </c>
      <c r="D365" s="156"/>
      <c r="E365" s="156"/>
      <c r="F365" s="156"/>
      <c r="G365" s="46"/>
      <c r="H365" s="141"/>
      <c r="I365" s="13" t="s">
        <v>18</v>
      </c>
      <c r="J365" s="13">
        <v>1</v>
      </c>
      <c r="K365" s="11" t="s">
        <v>730</v>
      </c>
      <c r="L365" s="43" t="s">
        <v>387</v>
      </c>
      <c r="M365" s="19"/>
      <c r="N365" s="43" t="s">
        <v>421</v>
      </c>
      <c r="O365" s="66"/>
      <c r="P365" s="243"/>
      <c r="Q365" s="243"/>
      <c r="R365" s="44"/>
    </row>
    <row r="366" spans="1:18" ht="35.25" customHeight="1">
      <c r="A366" s="15">
        <f t="shared" si="5"/>
        <v>356</v>
      </c>
      <c r="B366" s="43" t="s">
        <v>440</v>
      </c>
      <c r="C366" s="46" t="s">
        <v>32</v>
      </c>
      <c r="D366" s="156"/>
      <c r="E366" s="156"/>
      <c r="F366" s="156"/>
      <c r="G366" s="46"/>
      <c r="H366" s="141"/>
      <c r="I366" s="13" t="s">
        <v>18</v>
      </c>
      <c r="J366" s="13">
        <v>1</v>
      </c>
      <c r="K366" s="11" t="s">
        <v>730</v>
      </c>
      <c r="L366" s="43" t="s">
        <v>387</v>
      </c>
      <c r="M366" s="19"/>
      <c r="N366" s="43" t="s">
        <v>421</v>
      </c>
      <c r="O366" s="66"/>
      <c r="P366" s="160"/>
      <c r="Q366" s="160"/>
      <c r="R366" s="44"/>
    </row>
    <row r="367" spans="1:18" ht="35.25" customHeight="1">
      <c r="A367" s="15">
        <f t="shared" si="5"/>
        <v>357</v>
      </c>
      <c r="B367" s="43" t="s">
        <v>441</v>
      </c>
      <c r="C367" s="46" t="s">
        <v>442</v>
      </c>
      <c r="D367" s="156"/>
      <c r="E367" s="156"/>
      <c r="F367" s="156"/>
      <c r="G367" s="46" t="s">
        <v>443</v>
      </c>
      <c r="H367" s="141"/>
      <c r="I367" s="13" t="s">
        <v>18</v>
      </c>
      <c r="J367" s="13">
        <v>1</v>
      </c>
      <c r="K367" s="11" t="s">
        <v>730</v>
      </c>
      <c r="L367" s="43" t="s">
        <v>387</v>
      </c>
      <c r="M367" s="19"/>
      <c r="N367" s="43" t="s">
        <v>421</v>
      </c>
      <c r="O367" s="66"/>
      <c r="P367" s="160"/>
      <c r="Q367" s="160"/>
      <c r="R367" s="44"/>
    </row>
    <row r="368" spans="1:18" ht="35.25" customHeight="1">
      <c r="A368" s="15">
        <f t="shared" si="5"/>
        <v>358</v>
      </c>
      <c r="B368" s="43" t="s">
        <v>444</v>
      </c>
      <c r="C368" s="46" t="s">
        <v>445</v>
      </c>
      <c r="D368" s="156"/>
      <c r="E368" s="156"/>
      <c r="F368" s="156"/>
      <c r="G368" s="19"/>
      <c r="H368" s="141"/>
      <c r="I368" s="13" t="s">
        <v>18</v>
      </c>
      <c r="J368" s="13">
        <v>1</v>
      </c>
      <c r="K368" s="11" t="s">
        <v>730</v>
      </c>
      <c r="L368" s="43" t="s">
        <v>387</v>
      </c>
      <c r="M368" s="19"/>
      <c r="N368" s="43" t="s">
        <v>421</v>
      </c>
      <c r="O368" s="66"/>
      <c r="P368" s="160"/>
      <c r="Q368" s="160"/>
      <c r="R368" s="44"/>
    </row>
    <row r="369" spans="1:18" ht="35.25" customHeight="1">
      <c r="A369" s="15">
        <f t="shared" si="5"/>
        <v>359</v>
      </c>
      <c r="B369" s="9" t="s">
        <v>966</v>
      </c>
      <c r="C369" s="14" t="s">
        <v>967</v>
      </c>
      <c r="D369" s="156"/>
      <c r="E369" s="156"/>
      <c r="F369" s="156"/>
      <c r="G369" s="19"/>
      <c r="H369" s="141"/>
      <c r="I369" s="13" t="s">
        <v>18</v>
      </c>
      <c r="J369" s="13">
        <v>1</v>
      </c>
      <c r="K369" s="11" t="s">
        <v>730</v>
      </c>
      <c r="L369" s="43" t="s">
        <v>387</v>
      </c>
      <c r="M369" s="19"/>
      <c r="N369" s="43" t="s">
        <v>421</v>
      </c>
      <c r="O369" s="66"/>
      <c r="P369" s="160"/>
      <c r="Q369" s="160"/>
      <c r="R369" s="44"/>
    </row>
    <row r="370" spans="1:18" ht="35.25" customHeight="1">
      <c r="A370" s="15">
        <f t="shared" si="5"/>
        <v>360</v>
      </c>
      <c r="B370" s="43" t="s">
        <v>446</v>
      </c>
      <c r="C370" s="46" t="s">
        <v>419</v>
      </c>
      <c r="D370" s="156"/>
      <c r="E370" s="156"/>
      <c r="F370" s="156"/>
      <c r="G370" s="46" t="s">
        <v>447</v>
      </c>
      <c r="H370" s="141"/>
      <c r="I370" s="13" t="s">
        <v>18</v>
      </c>
      <c r="J370" s="13">
        <v>1</v>
      </c>
      <c r="K370" s="11" t="s">
        <v>730</v>
      </c>
      <c r="L370" s="43" t="s">
        <v>387</v>
      </c>
      <c r="M370" s="276" t="s">
        <v>3278</v>
      </c>
      <c r="N370" s="43" t="s">
        <v>448</v>
      </c>
      <c r="O370" s="66"/>
      <c r="P370" s="160"/>
      <c r="Q370" s="160"/>
      <c r="R370" s="44" t="s">
        <v>449</v>
      </c>
    </row>
    <row r="371" spans="1:18" ht="35.25" customHeight="1">
      <c r="A371" s="15">
        <f t="shared" si="5"/>
        <v>361</v>
      </c>
      <c r="B371" s="43" t="s">
        <v>450</v>
      </c>
      <c r="C371" s="46" t="s">
        <v>451</v>
      </c>
      <c r="D371" s="156"/>
      <c r="E371" s="156"/>
      <c r="F371" s="156"/>
      <c r="G371" s="46" t="s">
        <v>452</v>
      </c>
      <c r="H371" s="141"/>
      <c r="I371" s="13" t="s">
        <v>18</v>
      </c>
      <c r="J371" s="13">
        <v>1</v>
      </c>
      <c r="K371" s="11" t="s">
        <v>730</v>
      </c>
      <c r="L371" s="43" t="s">
        <v>387</v>
      </c>
      <c r="M371" s="276" t="s">
        <v>3278</v>
      </c>
      <c r="N371" s="43" t="s">
        <v>448</v>
      </c>
      <c r="O371" s="66"/>
      <c r="P371" s="160"/>
      <c r="Q371" s="160"/>
      <c r="R371" s="44"/>
    </row>
    <row r="372" spans="1:18" ht="35.25" customHeight="1">
      <c r="A372" s="15">
        <f t="shared" si="5"/>
        <v>362</v>
      </c>
      <c r="B372" s="43" t="s">
        <v>968</v>
      </c>
      <c r="C372" s="46" t="s">
        <v>454</v>
      </c>
      <c r="D372" s="156"/>
      <c r="E372" s="156"/>
      <c r="F372" s="156"/>
      <c r="G372" s="46" t="s">
        <v>455</v>
      </c>
      <c r="H372" s="141"/>
      <c r="I372" s="13" t="s">
        <v>18</v>
      </c>
      <c r="J372" s="13">
        <v>1</v>
      </c>
      <c r="K372" s="11" t="s">
        <v>730</v>
      </c>
      <c r="L372" s="43" t="s">
        <v>387</v>
      </c>
      <c r="M372" s="276" t="s">
        <v>3278</v>
      </c>
      <c r="N372" s="43" t="s">
        <v>448</v>
      </c>
      <c r="O372" s="66"/>
      <c r="P372" s="160"/>
      <c r="Q372" s="160"/>
      <c r="R372" s="44"/>
    </row>
    <row r="373" spans="1:18" ht="35.25" customHeight="1">
      <c r="A373" s="15">
        <f t="shared" si="5"/>
        <v>363</v>
      </c>
      <c r="B373" s="43" t="s">
        <v>969</v>
      </c>
      <c r="C373" s="46" t="s">
        <v>431</v>
      </c>
      <c r="D373" s="156"/>
      <c r="E373" s="156"/>
      <c r="F373" s="156"/>
      <c r="G373" s="46" t="s">
        <v>457</v>
      </c>
      <c r="H373" s="141"/>
      <c r="I373" s="13" t="s">
        <v>18</v>
      </c>
      <c r="J373" s="13">
        <v>1</v>
      </c>
      <c r="K373" s="11" t="s">
        <v>730</v>
      </c>
      <c r="L373" s="43" t="s">
        <v>387</v>
      </c>
      <c r="M373" s="276" t="s">
        <v>3278</v>
      </c>
      <c r="N373" s="43" t="s">
        <v>448</v>
      </c>
      <c r="O373" s="66"/>
      <c r="P373" s="160"/>
      <c r="Q373" s="160"/>
      <c r="R373" s="44"/>
    </row>
    <row r="374" spans="1:18" ht="35.25" customHeight="1">
      <c r="A374" s="15">
        <f t="shared" si="5"/>
        <v>364</v>
      </c>
      <c r="B374" s="43" t="s">
        <v>458</v>
      </c>
      <c r="C374" s="46" t="s">
        <v>147</v>
      </c>
      <c r="D374" s="156"/>
      <c r="E374" s="156"/>
      <c r="F374" s="156"/>
      <c r="G374" s="46" t="s">
        <v>438</v>
      </c>
      <c r="H374" s="141"/>
      <c r="I374" s="13" t="s">
        <v>18</v>
      </c>
      <c r="J374" s="13">
        <v>1</v>
      </c>
      <c r="K374" s="11" t="s">
        <v>730</v>
      </c>
      <c r="L374" s="43" t="s">
        <v>387</v>
      </c>
      <c r="M374" s="276" t="s">
        <v>3278</v>
      </c>
      <c r="N374" s="43" t="s">
        <v>448</v>
      </c>
      <c r="O374" s="66"/>
      <c r="P374" s="160"/>
      <c r="Q374" s="160"/>
      <c r="R374" s="44"/>
    </row>
    <row r="375" spans="1:18" ht="35.25" customHeight="1">
      <c r="A375" s="15">
        <f t="shared" si="5"/>
        <v>365</v>
      </c>
      <c r="B375" s="43" t="s">
        <v>459</v>
      </c>
      <c r="C375" s="46" t="s">
        <v>143</v>
      </c>
      <c r="D375" s="156"/>
      <c r="E375" s="156"/>
      <c r="F375" s="156"/>
      <c r="G375" s="46"/>
      <c r="H375" s="141"/>
      <c r="I375" s="13" t="s">
        <v>18</v>
      </c>
      <c r="J375" s="13">
        <v>1</v>
      </c>
      <c r="K375" s="11" t="s">
        <v>730</v>
      </c>
      <c r="L375" s="43" t="s">
        <v>387</v>
      </c>
      <c r="M375" s="276" t="s">
        <v>3278</v>
      </c>
      <c r="N375" s="43" t="s">
        <v>448</v>
      </c>
      <c r="O375" s="66"/>
      <c r="P375" s="160"/>
      <c r="Q375" s="160"/>
      <c r="R375" s="44"/>
    </row>
    <row r="376" spans="1:18" ht="35.25" customHeight="1">
      <c r="A376" s="15">
        <f t="shared" si="5"/>
        <v>366</v>
      </c>
      <c r="B376" s="43" t="s">
        <v>460</v>
      </c>
      <c r="C376" s="46" t="s">
        <v>32</v>
      </c>
      <c r="D376" s="156"/>
      <c r="E376" s="156"/>
      <c r="F376" s="156"/>
      <c r="G376" s="46"/>
      <c r="H376" s="141"/>
      <c r="I376" s="13" t="s">
        <v>18</v>
      </c>
      <c r="J376" s="13">
        <v>1</v>
      </c>
      <c r="K376" s="11" t="s">
        <v>730</v>
      </c>
      <c r="L376" s="43" t="s">
        <v>387</v>
      </c>
      <c r="M376" s="276" t="s">
        <v>3278</v>
      </c>
      <c r="N376" s="43" t="s">
        <v>448</v>
      </c>
      <c r="O376" s="66"/>
      <c r="P376" s="160"/>
      <c r="Q376" s="160"/>
      <c r="R376" s="44"/>
    </row>
    <row r="377" spans="1:18" ht="35.25" customHeight="1">
      <c r="A377" s="15">
        <f t="shared" si="5"/>
        <v>367</v>
      </c>
      <c r="B377" s="43" t="s">
        <v>461</v>
      </c>
      <c r="C377" s="46" t="s">
        <v>445</v>
      </c>
      <c r="D377" s="156"/>
      <c r="E377" s="156"/>
      <c r="F377" s="156"/>
      <c r="G377" s="19"/>
      <c r="H377" s="141"/>
      <c r="I377" s="13" t="s">
        <v>18</v>
      </c>
      <c r="J377" s="13">
        <v>1</v>
      </c>
      <c r="K377" s="11" t="s">
        <v>730</v>
      </c>
      <c r="L377" s="43" t="s">
        <v>387</v>
      </c>
      <c r="M377" s="276" t="s">
        <v>3278</v>
      </c>
      <c r="N377" s="43" t="s">
        <v>448</v>
      </c>
      <c r="O377" s="66"/>
      <c r="P377" s="160"/>
      <c r="Q377" s="160"/>
      <c r="R377" s="44"/>
    </row>
    <row r="378" spans="1:18" ht="35.25" customHeight="1">
      <c r="A378" s="15">
        <f t="shared" si="5"/>
        <v>368</v>
      </c>
      <c r="B378" s="43" t="s">
        <v>462</v>
      </c>
      <c r="C378" s="46" t="s">
        <v>147</v>
      </c>
      <c r="D378" s="156"/>
      <c r="E378" s="156"/>
      <c r="F378" s="156"/>
      <c r="G378" s="46" t="s">
        <v>438</v>
      </c>
      <c r="H378" s="141"/>
      <c r="I378" s="13" t="s">
        <v>18</v>
      </c>
      <c r="J378" s="13">
        <v>1</v>
      </c>
      <c r="K378" s="11" t="s">
        <v>730</v>
      </c>
      <c r="L378" s="43" t="s">
        <v>387</v>
      </c>
      <c r="M378" s="19"/>
      <c r="N378" s="19" t="s">
        <v>2530</v>
      </c>
      <c r="O378" s="46"/>
      <c r="P378" s="160"/>
      <c r="Q378" s="160"/>
      <c r="R378" s="66" t="s">
        <v>463</v>
      </c>
    </row>
    <row r="379" spans="1:18" ht="35.25" customHeight="1">
      <c r="A379" s="15">
        <f t="shared" si="5"/>
        <v>369</v>
      </c>
      <c r="B379" s="43" t="s">
        <v>24</v>
      </c>
      <c r="C379" s="46" t="s">
        <v>143</v>
      </c>
      <c r="D379" s="156"/>
      <c r="E379" s="156"/>
      <c r="F379" s="156"/>
      <c r="G379" s="46"/>
      <c r="H379" s="141"/>
      <c r="I379" s="13" t="s">
        <v>18</v>
      </c>
      <c r="J379" s="13">
        <v>1</v>
      </c>
      <c r="K379" s="11" t="s">
        <v>730</v>
      </c>
      <c r="L379" s="43" t="s">
        <v>387</v>
      </c>
      <c r="M379" s="19"/>
      <c r="N379" s="19" t="s">
        <v>2530</v>
      </c>
      <c r="O379" s="46"/>
      <c r="P379" s="160"/>
      <c r="Q379" s="160"/>
      <c r="R379" s="66" t="s">
        <v>463</v>
      </c>
    </row>
    <row r="380" spans="1:18" ht="35.25" customHeight="1">
      <c r="A380" s="15">
        <f t="shared" si="5"/>
        <v>370</v>
      </c>
      <c r="B380" s="43" t="s">
        <v>464</v>
      </c>
      <c r="C380" s="46" t="s">
        <v>419</v>
      </c>
      <c r="D380" s="156"/>
      <c r="E380" s="156"/>
      <c r="F380" s="156"/>
      <c r="G380" s="46" t="s">
        <v>465</v>
      </c>
      <c r="H380" s="141"/>
      <c r="I380" s="13" t="s">
        <v>18</v>
      </c>
      <c r="J380" s="13">
        <v>1</v>
      </c>
      <c r="K380" s="11" t="s">
        <v>730</v>
      </c>
      <c r="L380" s="43" t="s">
        <v>387</v>
      </c>
      <c r="M380" s="19"/>
      <c r="N380" s="43" t="s">
        <v>466</v>
      </c>
      <c r="O380" s="66"/>
      <c r="P380" s="160"/>
      <c r="Q380" s="160"/>
      <c r="R380" s="44"/>
    </row>
    <row r="381" spans="1:18" ht="35.25" customHeight="1">
      <c r="A381" s="15">
        <f t="shared" si="5"/>
        <v>371</v>
      </c>
      <c r="B381" s="43" t="s">
        <v>467</v>
      </c>
      <c r="C381" s="46" t="s">
        <v>451</v>
      </c>
      <c r="D381" s="156"/>
      <c r="E381" s="156"/>
      <c r="F381" s="156"/>
      <c r="G381" s="46" t="s">
        <v>468</v>
      </c>
      <c r="H381" s="141"/>
      <c r="I381" s="13" t="s">
        <v>18</v>
      </c>
      <c r="J381" s="13">
        <v>1</v>
      </c>
      <c r="K381" s="11" t="s">
        <v>730</v>
      </c>
      <c r="L381" s="43" t="s">
        <v>387</v>
      </c>
      <c r="M381" s="19"/>
      <c r="N381" s="43" t="s">
        <v>466</v>
      </c>
      <c r="O381" s="66"/>
      <c r="P381" s="160"/>
      <c r="Q381" s="160"/>
      <c r="R381" s="44"/>
    </row>
    <row r="382" spans="1:18" ht="35.25" customHeight="1">
      <c r="A382" s="15">
        <f t="shared" si="5"/>
        <v>372</v>
      </c>
      <c r="B382" s="43" t="s">
        <v>970</v>
      </c>
      <c r="C382" s="46" t="s">
        <v>454</v>
      </c>
      <c r="D382" s="156"/>
      <c r="E382" s="156"/>
      <c r="F382" s="156"/>
      <c r="G382" s="46" t="s">
        <v>429</v>
      </c>
      <c r="H382" s="141"/>
      <c r="I382" s="13" t="s">
        <v>18</v>
      </c>
      <c r="J382" s="13">
        <v>1</v>
      </c>
      <c r="K382" s="11" t="s">
        <v>730</v>
      </c>
      <c r="L382" s="43" t="s">
        <v>387</v>
      </c>
      <c r="M382" s="19"/>
      <c r="N382" s="43" t="s">
        <v>466</v>
      </c>
      <c r="O382" s="66"/>
      <c r="P382" s="160"/>
      <c r="Q382" s="160"/>
      <c r="R382" s="44"/>
    </row>
    <row r="383" spans="1:18" ht="35.25" customHeight="1">
      <c r="A383" s="15">
        <f t="shared" si="5"/>
        <v>373</v>
      </c>
      <c r="B383" s="43" t="s">
        <v>470</v>
      </c>
      <c r="C383" s="46" t="s">
        <v>431</v>
      </c>
      <c r="D383" s="156"/>
      <c r="E383" s="156"/>
      <c r="F383" s="156"/>
      <c r="G383" s="46" t="s">
        <v>471</v>
      </c>
      <c r="H383" s="141"/>
      <c r="I383" s="13" t="s">
        <v>18</v>
      </c>
      <c r="J383" s="13">
        <v>1</v>
      </c>
      <c r="K383" s="11" t="s">
        <v>730</v>
      </c>
      <c r="L383" s="43" t="s">
        <v>387</v>
      </c>
      <c r="M383" s="19"/>
      <c r="N383" s="43" t="s">
        <v>466</v>
      </c>
      <c r="O383" s="66"/>
      <c r="P383" s="160"/>
      <c r="Q383" s="160"/>
      <c r="R383" s="44"/>
    </row>
    <row r="384" spans="1:18" ht="35.25" customHeight="1">
      <c r="A384" s="15">
        <f t="shared" si="5"/>
        <v>374</v>
      </c>
      <c r="B384" s="43" t="s">
        <v>472</v>
      </c>
      <c r="C384" s="46" t="s">
        <v>147</v>
      </c>
      <c r="D384" s="156"/>
      <c r="E384" s="156"/>
      <c r="F384" s="156"/>
      <c r="G384" s="46" t="s">
        <v>438</v>
      </c>
      <c r="H384" s="141"/>
      <c r="I384" s="13" t="s">
        <v>18</v>
      </c>
      <c r="J384" s="13">
        <v>1</v>
      </c>
      <c r="K384" s="11" t="s">
        <v>730</v>
      </c>
      <c r="L384" s="43" t="s">
        <v>387</v>
      </c>
      <c r="M384" s="19"/>
      <c r="N384" s="43" t="s">
        <v>466</v>
      </c>
      <c r="O384" s="66"/>
      <c r="P384" s="254"/>
      <c r="Q384" s="254"/>
      <c r="R384" s="44"/>
    </row>
    <row r="385" spans="1:18" ht="35.25" customHeight="1">
      <c r="A385" s="15">
        <f t="shared" si="5"/>
        <v>375</v>
      </c>
      <c r="B385" s="43" t="s">
        <v>473</v>
      </c>
      <c r="C385" s="46" t="s">
        <v>143</v>
      </c>
      <c r="D385" s="156"/>
      <c r="E385" s="156"/>
      <c r="F385" s="156"/>
      <c r="G385" s="46"/>
      <c r="H385" s="141"/>
      <c r="I385" s="13" t="s">
        <v>18</v>
      </c>
      <c r="J385" s="13">
        <v>1</v>
      </c>
      <c r="K385" s="11" t="s">
        <v>730</v>
      </c>
      <c r="L385" s="43" t="s">
        <v>387</v>
      </c>
      <c r="M385" s="19"/>
      <c r="N385" s="43" t="s">
        <v>466</v>
      </c>
      <c r="O385" s="66"/>
      <c r="P385" s="254"/>
      <c r="Q385" s="254"/>
      <c r="R385" s="44"/>
    </row>
    <row r="386" spans="1:18" ht="35.25" customHeight="1">
      <c r="A386" s="15">
        <f t="shared" si="5"/>
        <v>376</v>
      </c>
      <c r="B386" s="43" t="s">
        <v>474</v>
      </c>
      <c r="C386" s="46" t="s">
        <v>32</v>
      </c>
      <c r="D386" s="156"/>
      <c r="E386" s="156"/>
      <c r="F386" s="156"/>
      <c r="G386" s="19"/>
      <c r="H386" s="141"/>
      <c r="I386" s="19" t="s">
        <v>18</v>
      </c>
      <c r="J386" s="13">
        <v>1</v>
      </c>
      <c r="K386" s="11" t="s">
        <v>730</v>
      </c>
      <c r="L386" s="43" t="s">
        <v>387</v>
      </c>
      <c r="M386" s="19"/>
      <c r="N386" s="43" t="s">
        <v>466</v>
      </c>
      <c r="O386" s="66"/>
      <c r="P386" s="254"/>
      <c r="Q386" s="254"/>
      <c r="R386" s="44"/>
    </row>
    <row r="387" spans="1:18" ht="35.25" customHeight="1">
      <c r="A387" s="15">
        <f t="shared" si="5"/>
        <v>377</v>
      </c>
      <c r="B387" s="43" t="s">
        <v>475</v>
      </c>
      <c r="C387" s="46" t="s">
        <v>476</v>
      </c>
      <c r="D387" s="156"/>
      <c r="E387" s="156"/>
      <c r="F387" s="156"/>
      <c r="G387" s="46" t="s">
        <v>477</v>
      </c>
      <c r="H387" s="141"/>
      <c r="I387" s="13" t="s">
        <v>18</v>
      </c>
      <c r="J387" s="13">
        <v>1</v>
      </c>
      <c r="K387" s="11" t="s">
        <v>730</v>
      </c>
      <c r="L387" s="43" t="s">
        <v>387</v>
      </c>
      <c r="M387" s="19"/>
      <c r="N387" s="43" t="s">
        <v>466</v>
      </c>
      <c r="O387" s="66"/>
      <c r="P387" s="160"/>
      <c r="Q387" s="160"/>
      <c r="R387" s="44"/>
    </row>
    <row r="388" spans="1:18" ht="35.25" customHeight="1">
      <c r="A388" s="15">
        <f t="shared" si="5"/>
        <v>378</v>
      </c>
      <c r="B388" s="43" t="s">
        <v>478</v>
      </c>
      <c r="C388" s="46" t="s">
        <v>445</v>
      </c>
      <c r="D388" s="156"/>
      <c r="E388" s="156"/>
      <c r="F388" s="156"/>
      <c r="G388" s="19"/>
      <c r="H388" s="141"/>
      <c r="I388" s="13" t="s">
        <v>18</v>
      </c>
      <c r="J388" s="13">
        <v>1</v>
      </c>
      <c r="K388" s="11" t="s">
        <v>730</v>
      </c>
      <c r="L388" s="43" t="s">
        <v>387</v>
      </c>
      <c r="M388" s="19"/>
      <c r="N388" s="43" t="s">
        <v>466</v>
      </c>
      <c r="O388" s="66"/>
      <c r="P388" s="160"/>
      <c r="Q388" s="160"/>
      <c r="R388" s="44"/>
    </row>
    <row r="389" spans="1:18" ht="35.25" customHeight="1">
      <c r="A389" s="15">
        <f t="shared" si="5"/>
        <v>379</v>
      </c>
      <c r="B389" s="43" t="s">
        <v>479</v>
      </c>
      <c r="C389" s="46" t="s">
        <v>419</v>
      </c>
      <c r="D389" s="156"/>
      <c r="E389" s="156"/>
      <c r="F389" s="156"/>
      <c r="G389" s="46" t="s">
        <v>480</v>
      </c>
      <c r="H389" s="141"/>
      <c r="I389" s="19" t="s">
        <v>18</v>
      </c>
      <c r="J389" s="13">
        <v>1</v>
      </c>
      <c r="K389" s="11" t="s">
        <v>730</v>
      </c>
      <c r="L389" s="43" t="s">
        <v>387</v>
      </c>
      <c r="M389" s="276" t="s">
        <v>3279</v>
      </c>
      <c r="N389" s="43" t="s">
        <v>481</v>
      </c>
      <c r="O389" s="66"/>
      <c r="P389" s="160"/>
      <c r="Q389" s="160"/>
      <c r="R389" s="44" t="s">
        <v>482</v>
      </c>
    </row>
    <row r="390" spans="1:18" ht="35.25" customHeight="1">
      <c r="A390" s="15">
        <f t="shared" si="5"/>
        <v>380</v>
      </c>
      <c r="B390" s="43" t="s">
        <v>483</v>
      </c>
      <c r="C390" s="46" t="s">
        <v>451</v>
      </c>
      <c r="D390" s="156"/>
      <c r="E390" s="156"/>
      <c r="F390" s="156"/>
      <c r="G390" s="19" t="s">
        <v>484</v>
      </c>
      <c r="H390" s="141"/>
      <c r="I390" s="19" t="s">
        <v>18</v>
      </c>
      <c r="J390" s="13">
        <v>1</v>
      </c>
      <c r="K390" s="11" t="s">
        <v>730</v>
      </c>
      <c r="L390" s="43" t="s">
        <v>387</v>
      </c>
      <c r="M390" s="276" t="s">
        <v>3279</v>
      </c>
      <c r="N390" s="43" t="s">
        <v>481</v>
      </c>
      <c r="O390" s="66"/>
      <c r="P390" s="160"/>
      <c r="Q390" s="160"/>
      <c r="R390" s="44"/>
    </row>
    <row r="391" spans="1:18" ht="35.25" customHeight="1">
      <c r="A391" s="15">
        <f t="shared" si="5"/>
        <v>381</v>
      </c>
      <c r="B391" s="43" t="s">
        <v>485</v>
      </c>
      <c r="C391" s="46" t="s">
        <v>454</v>
      </c>
      <c r="D391" s="156"/>
      <c r="E391" s="156"/>
      <c r="F391" s="156"/>
      <c r="G391" s="19" t="s">
        <v>486</v>
      </c>
      <c r="H391" s="141"/>
      <c r="I391" s="19" t="s">
        <v>18</v>
      </c>
      <c r="J391" s="13">
        <v>1</v>
      </c>
      <c r="K391" s="11" t="s">
        <v>730</v>
      </c>
      <c r="L391" s="43" t="s">
        <v>387</v>
      </c>
      <c r="M391" s="276" t="s">
        <v>3279</v>
      </c>
      <c r="N391" s="43" t="s">
        <v>481</v>
      </c>
      <c r="O391" s="66"/>
      <c r="P391" s="160"/>
      <c r="Q391" s="160"/>
      <c r="R391" s="44"/>
    </row>
    <row r="392" spans="1:18" ht="35.25" customHeight="1">
      <c r="A392" s="15">
        <f t="shared" si="5"/>
        <v>382</v>
      </c>
      <c r="B392" s="43" t="s">
        <v>487</v>
      </c>
      <c r="C392" s="46" t="s">
        <v>431</v>
      </c>
      <c r="D392" s="156"/>
      <c r="E392" s="156"/>
      <c r="F392" s="156"/>
      <c r="G392" s="65" t="s">
        <v>488</v>
      </c>
      <c r="H392" s="141"/>
      <c r="I392" s="19" t="s">
        <v>18</v>
      </c>
      <c r="J392" s="13">
        <v>1</v>
      </c>
      <c r="K392" s="11" t="s">
        <v>730</v>
      </c>
      <c r="L392" s="43" t="s">
        <v>387</v>
      </c>
      <c r="M392" s="276" t="s">
        <v>3279</v>
      </c>
      <c r="N392" s="43" t="s">
        <v>481</v>
      </c>
      <c r="O392" s="66"/>
      <c r="P392" s="160"/>
      <c r="Q392" s="160"/>
      <c r="R392" s="44"/>
    </row>
    <row r="393" spans="1:18" ht="35.25" customHeight="1">
      <c r="A393" s="15">
        <f t="shared" si="5"/>
        <v>383</v>
      </c>
      <c r="B393" s="43" t="s">
        <v>489</v>
      </c>
      <c r="C393" s="46" t="s">
        <v>147</v>
      </c>
      <c r="D393" s="156"/>
      <c r="E393" s="156"/>
      <c r="F393" s="156"/>
      <c r="G393" s="65" t="s">
        <v>438</v>
      </c>
      <c r="H393" s="141"/>
      <c r="I393" s="19" t="s">
        <v>18</v>
      </c>
      <c r="J393" s="13">
        <v>1</v>
      </c>
      <c r="K393" s="11" t="s">
        <v>730</v>
      </c>
      <c r="L393" s="43" t="s">
        <v>387</v>
      </c>
      <c r="M393" s="276" t="s">
        <v>3279</v>
      </c>
      <c r="N393" s="43" t="s">
        <v>481</v>
      </c>
      <c r="O393" s="66"/>
      <c r="P393" s="160"/>
      <c r="Q393" s="160"/>
      <c r="R393" s="44"/>
    </row>
    <row r="394" spans="1:18" ht="35.25" customHeight="1">
      <c r="A394" s="15">
        <f t="shared" si="5"/>
        <v>384</v>
      </c>
      <c r="B394" s="43" t="s">
        <v>490</v>
      </c>
      <c r="C394" s="46" t="s">
        <v>143</v>
      </c>
      <c r="D394" s="156"/>
      <c r="E394" s="156"/>
      <c r="F394" s="156"/>
      <c r="G394" s="65"/>
      <c r="H394" s="141"/>
      <c r="I394" s="19" t="s">
        <v>18</v>
      </c>
      <c r="J394" s="13">
        <v>1</v>
      </c>
      <c r="K394" s="11" t="s">
        <v>730</v>
      </c>
      <c r="L394" s="43" t="s">
        <v>387</v>
      </c>
      <c r="M394" s="276" t="s">
        <v>3279</v>
      </c>
      <c r="N394" s="43" t="s">
        <v>481</v>
      </c>
      <c r="O394" s="66"/>
      <c r="P394" s="160"/>
      <c r="Q394" s="160"/>
      <c r="R394" s="44"/>
    </row>
    <row r="395" spans="1:18" ht="35.25" customHeight="1">
      <c r="A395" s="15">
        <f t="shared" si="5"/>
        <v>385</v>
      </c>
      <c r="B395" s="43" t="s">
        <v>491</v>
      </c>
      <c r="C395" s="46" t="s">
        <v>32</v>
      </c>
      <c r="D395" s="156"/>
      <c r="E395" s="156"/>
      <c r="F395" s="156"/>
      <c r="G395" s="19"/>
      <c r="H395" s="141"/>
      <c r="I395" s="19" t="s">
        <v>18</v>
      </c>
      <c r="J395" s="13">
        <v>1</v>
      </c>
      <c r="K395" s="11" t="s">
        <v>730</v>
      </c>
      <c r="L395" s="43" t="s">
        <v>387</v>
      </c>
      <c r="M395" s="276" t="s">
        <v>3279</v>
      </c>
      <c r="N395" s="43" t="s">
        <v>481</v>
      </c>
      <c r="O395" s="66"/>
      <c r="P395" s="160"/>
      <c r="Q395" s="160"/>
      <c r="R395" s="44"/>
    </row>
    <row r="396" spans="1:18" ht="35.25" customHeight="1">
      <c r="A396" s="15">
        <f t="shared" si="5"/>
        <v>386</v>
      </c>
      <c r="B396" s="43" t="s">
        <v>492</v>
      </c>
      <c r="C396" s="46" t="s">
        <v>493</v>
      </c>
      <c r="D396" s="156"/>
      <c r="E396" s="156"/>
      <c r="F396" s="156"/>
      <c r="G396" s="19" t="s">
        <v>494</v>
      </c>
      <c r="H396" s="141"/>
      <c r="I396" s="19" t="s">
        <v>18</v>
      </c>
      <c r="J396" s="13">
        <v>1</v>
      </c>
      <c r="K396" s="11" t="s">
        <v>730</v>
      </c>
      <c r="L396" s="43" t="s">
        <v>387</v>
      </c>
      <c r="M396" s="276" t="s">
        <v>3279</v>
      </c>
      <c r="N396" s="43" t="s">
        <v>481</v>
      </c>
      <c r="O396" s="66"/>
      <c r="P396" s="160"/>
      <c r="Q396" s="160"/>
      <c r="R396" s="44"/>
    </row>
    <row r="397" spans="1:18" ht="35.25" customHeight="1">
      <c r="A397" s="15">
        <f t="shared" si="5"/>
        <v>387</v>
      </c>
      <c r="B397" s="43" t="s">
        <v>495</v>
      </c>
      <c r="C397" s="46" t="s">
        <v>496</v>
      </c>
      <c r="D397" s="156"/>
      <c r="E397" s="156"/>
      <c r="F397" s="156"/>
      <c r="G397" s="46" t="s">
        <v>497</v>
      </c>
      <c r="H397" s="141"/>
      <c r="I397" s="19" t="s">
        <v>18</v>
      </c>
      <c r="J397" s="13">
        <v>1</v>
      </c>
      <c r="K397" s="11" t="s">
        <v>730</v>
      </c>
      <c r="L397" s="43" t="s">
        <v>387</v>
      </c>
      <c r="M397" s="276" t="s">
        <v>3279</v>
      </c>
      <c r="N397" s="43" t="s">
        <v>481</v>
      </c>
      <c r="O397" s="66"/>
      <c r="P397" s="160"/>
      <c r="Q397" s="160"/>
      <c r="R397" s="44"/>
    </row>
    <row r="398" spans="1:18" ht="35.25" customHeight="1">
      <c r="A398" s="15">
        <f t="shared" si="5"/>
        <v>388</v>
      </c>
      <c r="B398" s="43" t="s">
        <v>498</v>
      </c>
      <c r="C398" s="46" t="s">
        <v>499</v>
      </c>
      <c r="D398" s="156"/>
      <c r="E398" s="156"/>
      <c r="F398" s="156"/>
      <c r="G398" s="19" t="s">
        <v>500</v>
      </c>
      <c r="H398" s="141"/>
      <c r="I398" s="19" t="s">
        <v>18</v>
      </c>
      <c r="J398" s="13">
        <v>1</v>
      </c>
      <c r="K398" s="11" t="s">
        <v>730</v>
      </c>
      <c r="L398" s="43" t="s">
        <v>387</v>
      </c>
      <c r="M398" s="276" t="s">
        <v>3279</v>
      </c>
      <c r="N398" s="43" t="s">
        <v>481</v>
      </c>
      <c r="O398" s="66"/>
      <c r="P398" s="160"/>
      <c r="Q398" s="160"/>
      <c r="R398" s="44"/>
    </row>
    <row r="399" spans="1:18" ht="35.25" customHeight="1">
      <c r="A399" s="15">
        <f t="shared" si="5"/>
        <v>389</v>
      </c>
      <c r="B399" s="43" t="s">
        <v>501</v>
      </c>
      <c r="C399" s="46" t="s">
        <v>445</v>
      </c>
      <c r="D399" s="156"/>
      <c r="E399" s="156"/>
      <c r="F399" s="156"/>
      <c r="G399" s="19"/>
      <c r="H399" s="141"/>
      <c r="I399" s="13" t="s">
        <v>18</v>
      </c>
      <c r="J399" s="13">
        <v>1</v>
      </c>
      <c r="K399" s="11" t="s">
        <v>730</v>
      </c>
      <c r="L399" s="43" t="s">
        <v>387</v>
      </c>
      <c r="M399" s="276" t="s">
        <v>3279</v>
      </c>
      <c r="N399" s="43" t="s">
        <v>481</v>
      </c>
      <c r="O399" s="66"/>
      <c r="P399" s="160"/>
      <c r="Q399" s="160"/>
      <c r="R399" s="44"/>
    </row>
    <row r="400" spans="1:18" ht="35.25" customHeight="1">
      <c r="A400" s="15">
        <f t="shared" si="5"/>
        <v>390</v>
      </c>
      <c r="B400" s="43" t="s">
        <v>502</v>
      </c>
      <c r="C400" s="46" t="s">
        <v>419</v>
      </c>
      <c r="D400" s="156"/>
      <c r="E400" s="156"/>
      <c r="F400" s="156"/>
      <c r="G400" s="46" t="s">
        <v>503</v>
      </c>
      <c r="H400" s="141"/>
      <c r="I400" s="13" t="s">
        <v>18</v>
      </c>
      <c r="J400" s="13">
        <v>1</v>
      </c>
      <c r="K400" s="11" t="s">
        <v>730</v>
      </c>
      <c r="L400" s="43" t="s">
        <v>387</v>
      </c>
      <c r="M400" s="19"/>
      <c r="N400" s="43" t="s">
        <v>2531</v>
      </c>
      <c r="O400" s="66"/>
      <c r="P400" s="160"/>
      <c r="Q400" s="160"/>
      <c r="R400" s="44" t="s">
        <v>422</v>
      </c>
    </row>
    <row r="401" spans="1:18" ht="35.25" customHeight="1">
      <c r="A401" s="15">
        <f t="shared" si="5"/>
        <v>391</v>
      </c>
      <c r="B401" s="43" t="s">
        <v>505</v>
      </c>
      <c r="C401" s="46" t="s">
        <v>451</v>
      </c>
      <c r="D401" s="156"/>
      <c r="E401" s="156"/>
      <c r="F401" s="156"/>
      <c r="G401" s="46" t="s">
        <v>506</v>
      </c>
      <c r="H401" s="141"/>
      <c r="I401" s="13" t="s">
        <v>18</v>
      </c>
      <c r="J401" s="13">
        <v>1</v>
      </c>
      <c r="K401" s="11" t="s">
        <v>730</v>
      </c>
      <c r="L401" s="43" t="s">
        <v>387</v>
      </c>
      <c r="M401" s="19"/>
      <c r="N401" s="43" t="s">
        <v>2531</v>
      </c>
      <c r="O401" s="66"/>
      <c r="P401" s="160"/>
      <c r="Q401" s="160"/>
      <c r="R401" s="44"/>
    </row>
    <row r="402" spans="1:18" ht="35.25" customHeight="1">
      <c r="A402" s="15">
        <f t="shared" si="5"/>
        <v>392</v>
      </c>
      <c r="B402" s="43" t="s">
        <v>507</v>
      </c>
      <c r="C402" s="46" t="s">
        <v>454</v>
      </c>
      <c r="D402" s="156"/>
      <c r="E402" s="156"/>
      <c r="F402" s="156"/>
      <c r="G402" s="46" t="s">
        <v>508</v>
      </c>
      <c r="H402" s="141"/>
      <c r="I402" s="13" t="s">
        <v>18</v>
      </c>
      <c r="J402" s="13">
        <v>1</v>
      </c>
      <c r="K402" s="11" t="s">
        <v>730</v>
      </c>
      <c r="L402" s="43" t="s">
        <v>387</v>
      </c>
      <c r="M402" s="19"/>
      <c r="N402" s="43" t="s">
        <v>2531</v>
      </c>
      <c r="O402" s="66"/>
      <c r="P402" s="160"/>
      <c r="Q402" s="160"/>
      <c r="R402" s="44"/>
    </row>
    <row r="403" spans="1:18" ht="35.25" customHeight="1">
      <c r="A403" s="15">
        <f t="shared" ref="A403:A466" si="6">A402+1</f>
        <v>393</v>
      </c>
      <c r="B403" s="43" t="s">
        <v>509</v>
      </c>
      <c r="C403" s="46" t="s">
        <v>431</v>
      </c>
      <c r="D403" s="156"/>
      <c r="E403" s="156"/>
      <c r="F403" s="156"/>
      <c r="G403" s="46" t="s">
        <v>510</v>
      </c>
      <c r="H403" s="141"/>
      <c r="I403" s="13" t="s">
        <v>18</v>
      </c>
      <c r="J403" s="13">
        <v>1</v>
      </c>
      <c r="K403" s="11" t="s">
        <v>730</v>
      </c>
      <c r="L403" s="43" t="s">
        <v>387</v>
      </c>
      <c r="M403" s="19"/>
      <c r="N403" s="43" t="s">
        <v>2531</v>
      </c>
      <c r="O403" s="66"/>
      <c r="P403" s="160"/>
      <c r="Q403" s="160"/>
      <c r="R403" s="44"/>
    </row>
    <row r="404" spans="1:18" ht="35.25" customHeight="1">
      <c r="A404" s="15">
        <f t="shared" si="6"/>
        <v>394</v>
      </c>
      <c r="B404" s="43" t="s">
        <v>511</v>
      </c>
      <c r="C404" s="46" t="s">
        <v>147</v>
      </c>
      <c r="D404" s="156"/>
      <c r="E404" s="156"/>
      <c r="F404" s="156"/>
      <c r="G404" s="46" t="s">
        <v>438</v>
      </c>
      <c r="H404" s="141"/>
      <c r="I404" s="13" t="s">
        <v>18</v>
      </c>
      <c r="J404" s="13">
        <v>1</v>
      </c>
      <c r="K404" s="11" t="s">
        <v>730</v>
      </c>
      <c r="L404" s="43" t="s">
        <v>387</v>
      </c>
      <c r="M404" s="19"/>
      <c r="N404" s="43" t="s">
        <v>2531</v>
      </c>
      <c r="O404" s="66"/>
      <c r="P404" s="160"/>
      <c r="Q404" s="160"/>
      <c r="R404" s="44"/>
    </row>
    <row r="405" spans="1:18" ht="35.25" customHeight="1">
      <c r="A405" s="15">
        <f t="shared" si="6"/>
        <v>395</v>
      </c>
      <c r="B405" s="43" t="s">
        <v>512</v>
      </c>
      <c r="C405" s="46" t="s">
        <v>143</v>
      </c>
      <c r="D405" s="156"/>
      <c r="E405" s="156"/>
      <c r="F405" s="156"/>
      <c r="G405" s="46"/>
      <c r="H405" s="141"/>
      <c r="I405" s="13" t="s">
        <v>18</v>
      </c>
      <c r="J405" s="13">
        <v>1</v>
      </c>
      <c r="K405" s="11" t="s">
        <v>730</v>
      </c>
      <c r="L405" s="43" t="s">
        <v>387</v>
      </c>
      <c r="M405" s="19"/>
      <c r="N405" s="43" t="s">
        <v>2531</v>
      </c>
      <c r="O405" s="66"/>
      <c r="P405" s="160"/>
      <c r="Q405" s="160"/>
      <c r="R405" s="44"/>
    </row>
    <row r="406" spans="1:18" ht="35.25" customHeight="1">
      <c r="A406" s="15">
        <f t="shared" si="6"/>
        <v>396</v>
      </c>
      <c r="B406" s="43" t="s">
        <v>513</v>
      </c>
      <c r="C406" s="46" t="s">
        <v>32</v>
      </c>
      <c r="D406" s="156"/>
      <c r="E406" s="156"/>
      <c r="F406" s="156"/>
      <c r="G406" s="46"/>
      <c r="H406" s="141"/>
      <c r="I406" s="13" t="s">
        <v>18</v>
      </c>
      <c r="J406" s="13">
        <v>1</v>
      </c>
      <c r="K406" s="19" t="s">
        <v>514</v>
      </c>
      <c r="L406" s="43" t="s">
        <v>387</v>
      </c>
      <c r="M406" s="19"/>
      <c r="N406" s="43" t="s">
        <v>2531</v>
      </c>
      <c r="O406" s="66"/>
      <c r="P406" s="160"/>
      <c r="Q406" s="160"/>
      <c r="R406" s="44"/>
    </row>
    <row r="407" spans="1:18" ht="35.25" customHeight="1">
      <c r="A407" s="15">
        <f t="shared" si="6"/>
        <v>397</v>
      </c>
      <c r="B407" s="43" t="s">
        <v>515</v>
      </c>
      <c r="C407" s="46" t="s">
        <v>445</v>
      </c>
      <c r="D407" s="156"/>
      <c r="E407" s="156"/>
      <c r="F407" s="156"/>
      <c r="G407" s="19"/>
      <c r="H407" s="141"/>
      <c r="I407" s="13" t="s">
        <v>18</v>
      </c>
      <c r="J407" s="13">
        <v>1</v>
      </c>
      <c r="K407" s="19" t="s">
        <v>730</v>
      </c>
      <c r="L407" s="43" t="s">
        <v>387</v>
      </c>
      <c r="M407" s="19"/>
      <c r="N407" s="43" t="s">
        <v>2531</v>
      </c>
      <c r="O407" s="66"/>
      <c r="P407" s="160"/>
      <c r="Q407" s="160"/>
      <c r="R407" s="44"/>
    </row>
    <row r="408" spans="1:18" ht="35.25" customHeight="1">
      <c r="A408" s="15">
        <f t="shared" si="6"/>
        <v>398</v>
      </c>
      <c r="B408" s="43" t="s">
        <v>516</v>
      </c>
      <c r="C408" s="46" t="s">
        <v>419</v>
      </c>
      <c r="D408" s="156"/>
      <c r="E408" s="156"/>
      <c r="F408" s="156"/>
      <c r="G408" s="46" t="s">
        <v>517</v>
      </c>
      <c r="H408" s="141"/>
      <c r="I408" s="13" t="s">
        <v>18</v>
      </c>
      <c r="J408" s="13">
        <v>1</v>
      </c>
      <c r="K408" s="19" t="s">
        <v>730</v>
      </c>
      <c r="L408" s="43" t="s">
        <v>387</v>
      </c>
      <c r="M408" s="19"/>
      <c r="N408" s="43" t="s">
        <v>518</v>
      </c>
      <c r="O408" s="66"/>
      <c r="P408" s="160"/>
      <c r="Q408" s="160"/>
      <c r="R408" s="44" t="s">
        <v>519</v>
      </c>
    </row>
    <row r="409" spans="1:18" ht="35.25" customHeight="1">
      <c r="A409" s="15">
        <f t="shared" si="6"/>
        <v>399</v>
      </c>
      <c r="B409" s="43" t="s">
        <v>520</v>
      </c>
      <c r="C409" s="46" t="s">
        <v>451</v>
      </c>
      <c r="D409" s="156"/>
      <c r="E409" s="156"/>
      <c r="F409" s="156"/>
      <c r="G409" s="46" t="s">
        <v>521</v>
      </c>
      <c r="H409" s="141"/>
      <c r="I409" s="13" t="s">
        <v>18</v>
      </c>
      <c r="J409" s="13">
        <v>1</v>
      </c>
      <c r="K409" s="19" t="s">
        <v>730</v>
      </c>
      <c r="L409" s="43" t="s">
        <v>387</v>
      </c>
      <c r="M409" s="19"/>
      <c r="N409" s="43" t="s">
        <v>518</v>
      </c>
      <c r="O409" s="66"/>
      <c r="P409" s="160"/>
      <c r="Q409" s="160"/>
      <c r="R409" s="44"/>
    </row>
    <row r="410" spans="1:18" ht="35.25" customHeight="1">
      <c r="A410" s="15">
        <f t="shared" si="6"/>
        <v>400</v>
      </c>
      <c r="B410" s="43" t="s">
        <v>522</v>
      </c>
      <c r="C410" s="46" t="s">
        <v>523</v>
      </c>
      <c r="D410" s="156"/>
      <c r="E410" s="156"/>
      <c r="F410" s="156"/>
      <c r="G410" s="46" t="s">
        <v>524</v>
      </c>
      <c r="H410" s="141"/>
      <c r="I410" s="13" t="s">
        <v>18</v>
      </c>
      <c r="J410" s="13">
        <v>1</v>
      </c>
      <c r="K410" s="19" t="s">
        <v>730</v>
      </c>
      <c r="L410" s="43" t="s">
        <v>387</v>
      </c>
      <c r="M410" s="19"/>
      <c r="N410" s="43" t="s">
        <v>518</v>
      </c>
      <c r="O410" s="66"/>
      <c r="P410" s="160"/>
      <c r="Q410" s="160"/>
      <c r="R410" s="44"/>
    </row>
    <row r="411" spans="1:18" ht="35.25" customHeight="1">
      <c r="A411" s="15">
        <f t="shared" si="6"/>
        <v>401</v>
      </c>
      <c r="B411" s="43" t="s">
        <v>525</v>
      </c>
      <c r="C411" s="46" t="s">
        <v>431</v>
      </c>
      <c r="D411" s="156"/>
      <c r="E411" s="156"/>
      <c r="F411" s="156"/>
      <c r="G411" s="46" t="s">
        <v>526</v>
      </c>
      <c r="H411" s="141"/>
      <c r="I411" s="13" t="s">
        <v>18</v>
      </c>
      <c r="J411" s="13">
        <v>1</v>
      </c>
      <c r="K411" s="19" t="s">
        <v>730</v>
      </c>
      <c r="L411" s="43" t="s">
        <v>387</v>
      </c>
      <c r="M411" s="19"/>
      <c r="N411" s="43" t="s">
        <v>518</v>
      </c>
      <c r="O411" s="66"/>
      <c r="P411" s="160"/>
      <c r="Q411" s="160"/>
      <c r="R411" s="44"/>
    </row>
    <row r="412" spans="1:18" ht="35.25" customHeight="1">
      <c r="A412" s="15">
        <f t="shared" si="6"/>
        <v>402</v>
      </c>
      <c r="B412" s="43" t="s">
        <v>527</v>
      </c>
      <c r="C412" s="46" t="s">
        <v>147</v>
      </c>
      <c r="D412" s="156"/>
      <c r="E412" s="156"/>
      <c r="F412" s="156"/>
      <c r="G412" s="46" t="s">
        <v>528</v>
      </c>
      <c r="H412" s="141"/>
      <c r="I412" s="13" t="s">
        <v>18</v>
      </c>
      <c r="J412" s="13">
        <v>1</v>
      </c>
      <c r="K412" s="19" t="s">
        <v>730</v>
      </c>
      <c r="L412" s="43" t="s">
        <v>387</v>
      </c>
      <c r="M412" s="19"/>
      <c r="N412" s="43" t="s">
        <v>518</v>
      </c>
      <c r="O412" s="66"/>
      <c r="P412" s="160"/>
      <c r="Q412" s="160"/>
      <c r="R412" s="44"/>
    </row>
    <row r="413" spans="1:18" ht="35.25" customHeight="1">
      <c r="A413" s="15">
        <f t="shared" si="6"/>
        <v>403</v>
      </c>
      <c r="B413" s="43" t="s">
        <v>529</v>
      </c>
      <c r="C413" s="46" t="s">
        <v>143</v>
      </c>
      <c r="D413" s="156"/>
      <c r="E413" s="156"/>
      <c r="F413" s="156"/>
      <c r="G413" s="46"/>
      <c r="H413" s="141"/>
      <c r="I413" s="13" t="s">
        <v>18</v>
      </c>
      <c r="J413" s="13">
        <v>1</v>
      </c>
      <c r="K413" s="19" t="s">
        <v>530</v>
      </c>
      <c r="L413" s="43" t="s">
        <v>387</v>
      </c>
      <c r="M413" s="19"/>
      <c r="N413" s="43" t="s">
        <v>518</v>
      </c>
      <c r="O413" s="66"/>
      <c r="P413" s="160"/>
      <c r="Q413" s="160"/>
      <c r="R413" s="44"/>
    </row>
    <row r="414" spans="1:18" ht="35.25" customHeight="1">
      <c r="A414" s="15">
        <f t="shared" si="6"/>
        <v>404</v>
      </c>
      <c r="B414" s="43" t="s">
        <v>531</v>
      </c>
      <c r="C414" s="46" t="s">
        <v>32</v>
      </c>
      <c r="D414" s="156"/>
      <c r="E414" s="156"/>
      <c r="F414" s="156"/>
      <c r="G414" s="46"/>
      <c r="H414" s="141"/>
      <c r="I414" s="13" t="s">
        <v>18</v>
      </c>
      <c r="J414" s="13">
        <v>1</v>
      </c>
      <c r="K414" s="19" t="s">
        <v>532</v>
      </c>
      <c r="L414" s="43" t="s">
        <v>387</v>
      </c>
      <c r="M414" s="19"/>
      <c r="N414" s="43" t="s">
        <v>518</v>
      </c>
      <c r="O414" s="66"/>
      <c r="P414" s="160"/>
      <c r="Q414" s="160"/>
      <c r="R414" s="44"/>
    </row>
    <row r="415" spans="1:18" ht="35.25" customHeight="1">
      <c r="A415" s="15">
        <f t="shared" si="6"/>
        <v>405</v>
      </c>
      <c r="B415" s="43" t="s">
        <v>533</v>
      </c>
      <c r="C415" s="46" t="s">
        <v>476</v>
      </c>
      <c r="D415" s="156"/>
      <c r="E415" s="156"/>
      <c r="F415" s="156"/>
      <c r="G415" s="46" t="s">
        <v>534</v>
      </c>
      <c r="H415" s="141"/>
      <c r="I415" s="13" t="s">
        <v>18</v>
      </c>
      <c r="J415" s="13">
        <v>1</v>
      </c>
      <c r="K415" s="19" t="s">
        <v>730</v>
      </c>
      <c r="L415" s="43" t="s">
        <v>387</v>
      </c>
      <c r="M415" s="19"/>
      <c r="N415" s="43" t="s">
        <v>518</v>
      </c>
      <c r="O415" s="66"/>
      <c r="P415" s="160"/>
      <c r="Q415" s="160"/>
      <c r="R415" s="44"/>
    </row>
    <row r="416" spans="1:18" ht="35.25" customHeight="1">
      <c r="A416" s="15">
        <f t="shared" si="6"/>
        <v>406</v>
      </c>
      <c r="B416" s="43" t="s">
        <v>535</v>
      </c>
      <c r="C416" s="46" t="s">
        <v>445</v>
      </c>
      <c r="D416" s="156"/>
      <c r="E416" s="156"/>
      <c r="F416" s="156"/>
      <c r="G416" s="19"/>
      <c r="H416" s="141"/>
      <c r="I416" s="13" t="s">
        <v>18</v>
      </c>
      <c r="J416" s="13">
        <v>1</v>
      </c>
      <c r="K416" s="19" t="s">
        <v>730</v>
      </c>
      <c r="L416" s="43" t="s">
        <v>387</v>
      </c>
      <c r="M416" s="19"/>
      <c r="N416" s="43" t="s">
        <v>518</v>
      </c>
      <c r="O416" s="66"/>
      <c r="P416" s="160"/>
      <c r="Q416" s="160"/>
      <c r="R416" s="44"/>
    </row>
    <row r="417" spans="1:18" ht="35.25" customHeight="1">
      <c r="A417" s="15">
        <f t="shared" si="6"/>
        <v>407</v>
      </c>
      <c r="B417" s="43" t="s">
        <v>536</v>
      </c>
      <c r="C417" s="46" t="s">
        <v>419</v>
      </c>
      <c r="D417" s="156"/>
      <c r="E417" s="156"/>
      <c r="F417" s="156"/>
      <c r="G417" s="46" t="s">
        <v>537</v>
      </c>
      <c r="H417" s="141"/>
      <c r="I417" s="13" t="s">
        <v>18</v>
      </c>
      <c r="J417" s="13">
        <v>1</v>
      </c>
      <c r="K417" s="19" t="s">
        <v>730</v>
      </c>
      <c r="L417" s="43" t="s">
        <v>387</v>
      </c>
      <c r="M417" s="276" t="s">
        <v>3264</v>
      </c>
      <c r="N417" s="43" t="s">
        <v>538</v>
      </c>
      <c r="O417" s="66"/>
      <c r="P417" s="160"/>
      <c r="Q417" s="160"/>
      <c r="R417" s="44" t="s">
        <v>449</v>
      </c>
    </row>
    <row r="418" spans="1:18" ht="35.25" customHeight="1">
      <c r="A418" s="15">
        <f t="shared" si="6"/>
        <v>408</v>
      </c>
      <c r="B418" s="43" t="s">
        <v>539</v>
      </c>
      <c r="C418" s="46" t="s">
        <v>451</v>
      </c>
      <c r="D418" s="156"/>
      <c r="E418" s="156"/>
      <c r="F418" s="156"/>
      <c r="G418" s="46" t="s">
        <v>540</v>
      </c>
      <c r="H418" s="141"/>
      <c r="I418" s="13" t="s">
        <v>18</v>
      </c>
      <c r="J418" s="13">
        <v>1</v>
      </c>
      <c r="K418" s="19" t="s">
        <v>730</v>
      </c>
      <c r="L418" s="43" t="s">
        <v>387</v>
      </c>
      <c r="M418" s="276" t="s">
        <v>3264</v>
      </c>
      <c r="N418" s="43" t="s">
        <v>538</v>
      </c>
      <c r="O418" s="66"/>
      <c r="P418" s="160"/>
      <c r="Q418" s="160"/>
      <c r="R418" s="44"/>
    </row>
    <row r="419" spans="1:18" ht="35.25" customHeight="1">
      <c r="A419" s="15">
        <f t="shared" si="6"/>
        <v>409</v>
      </c>
      <c r="B419" s="43" t="s">
        <v>541</v>
      </c>
      <c r="C419" s="46" t="s">
        <v>523</v>
      </c>
      <c r="D419" s="156"/>
      <c r="E419" s="156"/>
      <c r="F419" s="156"/>
      <c r="G419" s="46" t="s">
        <v>542</v>
      </c>
      <c r="H419" s="141"/>
      <c r="I419" s="13" t="s">
        <v>18</v>
      </c>
      <c r="J419" s="13">
        <v>1</v>
      </c>
      <c r="K419" s="19" t="s">
        <v>730</v>
      </c>
      <c r="L419" s="43" t="s">
        <v>387</v>
      </c>
      <c r="M419" s="276" t="s">
        <v>3264</v>
      </c>
      <c r="N419" s="43" t="s">
        <v>538</v>
      </c>
      <c r="O419" s="66"/>
      <c r="P419" s="160"/>
      <c r="Q419" s="160"/>
      <c r="R419" s="44"/>
    </row>
    <row r="420" spans="1:18" ht="35.25" customHeight="1">
      <c r="A420" s="15">
        <f t="shared" si="6"/>
        <v>410</v>
      </c>
      <c r="B420" s="43" t="s">
        <v>543</v>
      </c>
      <c r="C420" s="66" t="s">
        <v>431</v>
      </c>
      <c r="D420" s="156"/>
      <c r="E420" s="156"/>
      <c r="F420" s="156"/>
      <c r="G420" s="66" t="s">
        <v>544</v>
      </c>
      <c r="H420" s="141"/>
      <c r="I420" s="13" t="s">
        <v>18</v>
      </c>
      <c r="J420" s="13">
        <v>1</v>
      </c>
      <c r="K420" s="19" t="s">
        <v>730</v>
      </c>
      <c r="L420" s="43" t="s">
        <v>387</v>
      </c>
      <c r="M420" s="276" t="s">
        <v>3264</v>
      </c>
      <c r="N420" s="43" t="s">
        <v>538</v>
      </c>
      <c r="O420" s="66"/>
      <c r="P420" s="160"/>
      <c r="Q420" s="160"/>
      <c r="R420" s="44"/>
    </row>
    <row r="421" spans="1:18" ht="35.25" customHeight="1">
      <c r="A421" s="15">
        <f t="shared" si="6"/>
        <v>411</v>
      </c>
      <c r="B421" s="43" t="s">
        <v>545</v>
      </c>
      <c r="C421" s="46" t="s">
        <v>147</v>
      </c>
      <c r="D421" s="156"/>
      <c r="E421" s="156"/>
      <c r="F421" s="156"/>
      <c r="G421" s="46" t="s">
        <v>438</v>
      </c>
      <c r="H421" s="141"/>
      <c r="I421" s="13" t="s">
        <v>18</v>
      </c>
      <c r="J421" s="13">
        <v>1</v>
      </c>
      <c r="K421" s="19" t="s">
        <v>730</v>
      </c>
      <c r="L421" s="43" t="s">
        <v>387</v>
      </c>
      <c r="M421" s="276" t="s">
        <v>3264</v>
      </c>
      <c r="N421" s="43" t="s">
        <v>538</v>
      </c>
      <c r="O421" s="66"/>
      <c r="P421" s="160"/>
      <c r="Q421" s="160"/>
      <c r="R421" s="44"/>
    </row>
    <row r="422" spans="1:18" ht="35.25" customHeight="1">
      <c r="A422" s="15">
        <f t="shared" si="6"/>
        <v>412</v>
      </c>
      <c r="B422" s="43" t="s">
        <v>546</v>
      </c>
      <c r="C422" s="46" t="s">
        <v>143</v>
      </c>
      <c r="D422" s="156"/>
      <c r="E422" s="156"/>
      <c r="F422" s="156"/>
      <c r="G422" s="46"/>
      <c r="H422" s="141"/>
      <c r="I422" s="13" t="s">
        <v>18</v>
      </c>
      <c r="J422" s="13">
        <v>1</v>
      </c>
      <c r="K422" s="19" t="s">
        <v>730</v>
      </c>
      <c r="L422" s="43" t="s">
        <v>387</v>
      </c>
      <c r="M422" s="276" t="s">
        <v>3264</v>
      </c>
      <c r="N422" s="43" t="s">
        <v>538</v>
      </c>
      <c r="O422" s="66"/>
      <c r="P422" s="160"/>
      <c r="Q422" s="160"/>
      <c r="R422" s="44"/>
    </row>
    <row r="423" spans="1:18" ht="35.25" customHeight="1">
      <c r="A423" s="15">
        <f t="shared" si="6"/>
        <v>413</v>
      </c>
      <c r="B423" s="43" t="s">
        <v>547</v>
      </c>
      <c r="C423" s="46" t="s">
        <v>32</v>
      </c>
      <c r="D423" s="156"/>
      <c r="E423" s="156"/>
      <c r="F423" s="156"/>
      <c r="G423" s="46"/>
      <c r="H423" s="141"/>
      <c r="I423" s="13" t="s">
        <v>18</v>
      </c>
      <c r="J423" s="13">
        <v>1</v>
      </c>
      <c r="K423" s="19" t="s">
        <v>730</v>
      </c>
      <c r="L423" s="43" t="s">
        <v>387</v>
      </c>
      <c r="M423" s="276" t="s">
        <v>3264</v>
      </c>
      <c r="N423" s="43" t="s">
        <v>538</v>
      </c>
      <c r="O423" s="66"/>
      <c r="P423" s="160"/>
      <c r="Q423" s="160"/>
      <c r="R423" s="44"/>
    </row>
    <row r="424" spans="1:18" ht="35.25" customHeight="1">
      <c r="A424" s="15">
        <f t="shared" si="6"/>
        <v>414</v>
      </c>
      <c r="B424" s="43" t="s">
        <v>548</v>
      </c>
      <c r="C424" s="46" t="s">
        <v>445</v>
      </c>
      <c r="D424" s="156"/>
      <c r="E424" s="156"/>
      <c r="F424" s="156"/>
      <c r="G424" s="19"/>
      <c r="H424" s="141"/>
      <c r="I424" s="13" t="s">
        <v>18</v>
      </c>
      <c r="J424" s="13">
        <v>1</v>
      </c>
      <c r="K424" s="19" t="s">
        <v>730</v>
      </c>
      <c r="L424" s="43" t="s">
        <v>387</v>
      </c>
      <c r="M424" s="276" t="s">
        <v>3264</v>
      </c>
      <c r="N424" s="43" t="s">
        <v>538</v>
      </c>
      <c r="O424" s="66"/>
      <c r="P424" s="160"/>
      <c r="Q424" s="160"/>
      <c r="R424" s="44"/>
    </row>
    <row r="425" spans="1:18" ht="35.25" customHeight="1">
      <c r="A425" s="15">
        <f t="shared" si="6"/>
        <v>415</v>
      </c>
      <c r="B425" s="43" t="s">
        <v>971</v>
      </c>
      <c r="C425" s="64" t="s">
        <v>559</v>
      </c>
      <c r="D425" s="156"/>
      <c r="E425" s="156"/>
      <c r="F425" s="156"/>
      <c r="G425" s="11"/>
      <c r="H425" s="141"/>
      <c r="I425" s="13" t="s">
        <v>18</v>
      </c>
      <c r="J425" s="15">
        <v>1</v>
      </c>
      <c r="K425" s="19" t="s">
        <v>730</v>
      </c>
      <c r="L425" s="43" t="s">
        <v>387</v>
      </c>
      <c r="M425" s="276" t="s">
        <v>3278</v>
      </c>
      <c r="N425" s="141" t="s">
        <v>448</v>
      </c>
      <c r="O425" s="146"/>
      <c r="P425" s="160"/>
      <c r="Q425" s="160"/>
      <c r="R425" s="398" t="s">
        <v>560</v>
      </c>
    </row>
    <row r="426" spans="1:18" ht="35.25" customHeight="1">
      <c r="A426" s="15">
        <f t="shared" si="6"/>
        <v>416</v>
      </c>
      <c r="B426" s="43" t="s">
        <v>972</v>
      </c>
      <c r="C426" s="64" t="s">
        <v>559</v>
      </c>
      <c r="D426" s="156"/>
      <c r="E426" s="156"/>
      <c r="F426" s="156"/>
      <c r="G426" s="11"/>
      <c r="H426" s="141"/>
      <c r="I426" s="13" t="s">
        <v>18</v>
      </c>
      <c r="J426" s="15">
        <v>1</v>
      </c>
      <c r="K426" s="19" t="s">
        <v>730</v>
      </c>
      <c r="L426" s="43" t="s">
        <v>387</v>
      </c>
      <c r="M426" s="276" t="s">
        <v>3278</v>
      </c>
      <c r="N426" s="141" t="s">
        <v>448</v>
      </c>
      <c r="O426" s="146"/>
      <c r="P426" s="160"/>
      <c r="Q426" s="160"/>
      <c r="R426" s="398"/>
    </row>
    <row r="427" spans="1:18" ht="35.25" customHeight="1">
      <c r="A427" s="15">
        <f t="shared" si="6"/>
        <v>417</v>
      </c>
      <c r="B427" s="43" t="s">
        <v>973</v>
      </c>
      <c r="C427" s="64" t="s">
        <v>559</v>
      </c>
      <c r="D427" s="156"/>
      <c r="E427" s="156"/>
      <c r="F427" s="156"/>
      <c r="G427" s="11"/>
      <c r="H427" s="141"/>
      <c r="I427" s="13" t="s">
        <v>18</v>
      </c>
      <c r="J427" s="15">
        <v>1</v>
      </c>
      <c r="K427" s="19" t="s">
        <v>730</v>
      </c>
      <c r="L427" s="43" t="s">
        <v>387</v>
      </c>
      <c r="M427" s="276" t="s">
        <v>3278</v>
      </c>
      <c r="N427" s="141" t="s">
        <v>448</v>
      </c>
      <c r="O427" s="146"/>
      <c r="P427" s="160"/>
      <c r="Q427" s="160"/>
      <c r="R427" s="398"/>
    </row>
    <row r="428" spans="1:18" ht="35.25" customHeight="1">
      <c r="A428" s="15">
        <f t="shared" si="6"/>
        <v>418</v>
      </c>
      <c r="B428" s="43" t="s">
        <v>974</v>
      </c>
      <c r="C428" s="64" t="s">
        <v>559</v>
      </c>
      <c r="D428" s="156"/>
      <c r="E428" s="156"/>
      <c r="F428" s="156"/>
      <c r="G428" s="11"/>
      <c r="H428" s="141"/>
      <c r="I428" s="13" t="s">
        <v>18</v>
      </c>
      <c r="J428" s="15">
        <v>1</v>
      </c>
      <c r="K428" s="19" t="s">
        <v>730</v>
      </c>
      <c r="L428" s="43" t="s">
        <v>387</v>
      </c>
      <c r="M428" s="276" t="s">
        <v>3278</v>
      </c>
      <c r="N428" s="141" t="s">
        <v>448</v>
      </c>
      <c r="O428" s="146"/>
      <c r="P428" s="160"/>
      <c r="Q428" s="160"/>
      <c r="R428" s="398"/>
    </row>
    <row r="429" spans="1:18" ht="35.25" customHeight="1">
      <c r="A429" s="15">
        <f t="shared" si="6"/>
        <v>419</v>
      </c>
      <c r="B429" s="43" t="s">
        <v>975</v>
      </c>
      <c r="C429" s="64" t="s">
        <v>559</v>
      </c>
      <c r="D429" s="156"/>
      <c r="E429" s="156"/>
      <c r="F429" s="156"/>
      <c r="G429" s="11"/>
      <c r="H429" s="141"/>
      <c r="I429" s="13" t="s">
        <v>18</v>
      </c>
      <c r="J429" s="15">
        <v>1</v>
      </c>
      <c r="K429" s="19" t="s">
        <v>730</v>
      </c>
      <c r="L429" s="43" t="s">
        <v>387</v>
      </c>
      <c r="M429" s="276" t="s">
        <v>3278</v>
      </c>
      <c r="N429" s="141" t="s">
        <v>448</v>
      </c>
      <c r="O429" s="146"/>
      <c r="P429" s="160"/>
      <c r="Q429" s="160"/>
      <c r="R429" s="398"/>
    </row>
    <row r="430" spans="1:18" ht="35.25" customHeight="1">
      <c r="A430" s="15">
        <f t="shared" si="6"/>
        <v>420</v>
      </c>
      <c r="B430" s="43" t="s">
        <v>976</v>
      </c>
      <c r="C430" s="64" t="s">
        <v>562</v>
      </c>
      <c r="D430" s="156"/>
      <c r="E430" s="156"/>
      <c r="F430" s="156"/>
      <c r="G430" s="11"/>
      <c r="H430" s="141"/>
      <c r="I430" s="13" t="s">
        <v>18</v>
      </c>
      <c r="J430" s="15">
        <v>1</v>
      </c>
      <c r="K430" s="19" t="s">
        <v>730</v>
      </c>
      <c r="L430" s="43" t="s">
        <v>387</v>
      </c>
      <c r="M430" s="276" t="s">
        <v>3278</v>
      </c>
      <c r="N430" s="141" t="s">
        <v>448</v>
      </c>
      <c r="O430" s="146"/>
      <c r="P430" s="160"/>
      <c r="Q430" s="160"/>
      <c r="R430" s="398"/>
    </row>
    <row r="431" spans="1:18" ht="35.25" customHeight="1">
      <c r="A431" s="15">
        <f t="shared" si="6"/>
        <v>421</v>
      </c>
      <c r="B431" s="43" t="s">
        <v>977</v>
      </c>
      <c r="C431" s="64" t="s">
        <v>562</v>
      </c>
      <c r="D431" s="156"/>
      <c r="E431" s="156"/>
      <c r="F431" s="156"/>
      <c r="G431" s="11"/>
      <c r="H431" s="141"/>
      <c r="I431" s="13" t="s">
        <v>18</v>
      </c>
      <c r="J431" s="15">
        <v>1</v>
      </c>
      <c r="K431" s="19" t="s">
        <v>730</v>
      </c>
      <c r="L431" s="43" t="s">
        <v>387</v>
      </c>
      <c r="M431" s="276" t="s">
        <v>3278</v>
      </c>
      <c r="N431" s="141" t="s">
        <v>448</v>
      </c>
      <c r="O431" s="146"/>
      <c r="P431" s="160"/>
      <c r="Q431" s="160"/>
      <c r="R431" s="398"/>
    </row>
    <row r="432" spans="1:18" ht="35.25" customHeight="1">
      <c r="A432" s="15">
        <f t="shared" si="6"/>
        <v>422</v>
      </c>
      <c r="B432" s="43" t="s">
        <v>978</v>
      </c>
      <c r="C432" s="64" t="s">
        <v>562</v>
      </c>
      <c r="D432" s="156"/>
      <c r="E432" s="156"/>
      <c r="F432" s="156"/>
      <c r="G432" s="11"/>
      <c r="H432" s="141"/>
      <c r="I432" s="13" t="s">
        <v>18</v>
      </c>
      <c r="J432" s="15">
        <v>1</v>
      </c>
      <c r="K432" s="19" t="s">
        <v>730</v>
      </c>
      <c r="L432" s="43" t="s">
        <v>387</v>
      </c>
      <c r="M432" s="276" t="s">
        <v>3278</v>
      </c>
      <c r="N432" s="141" t="s">
        <v>448</v>
      </c>
      <c r="O432" s="146"/>
      <c r="P432" s="160"/>
      <c r="Q432" s="160"/>
      <c r="R432" s="398"/>
    </row>
    <row r="433" spans="1:18" ht="35.25" customHeight="1">
      <c r="A433" s="15">
        <f t="shared" si="6"/>
        <v>423</v>
      </c>
      <c r="B433" s="43" t="s">
        <v>979</v>
      </c>
      <c r="C433" s="64" t="s">
        <v>562</v>
      </c>
      <c r="D433" s="156"/>
      <c r="E433" s="156"/>
      <c r="F433" s="156"/>
      <c r="G433" s="11"/>
      <c r="H433" s="141"/>
      <c r="I433" s="13" t="s">
        <v>18</v>
      </c>
      <c r="J433" s="15">
        <v>1</v>
      </c>
      <c r="K433" s="19" t="s">
        <v>730</v>
      </c>
      <c r="L433" s="43" t="s">
        <v>387</v>
      </c>
      <c r="M433" s="276" t="s">
        <v>3278</v>
      </c>
      <c r="N433" s="141" t="s">
        <v>448</v>
      </c>
      <c r="O433" s="146"/>
      <c r="P433" s="160"/>
      <c r="Q433" s="160"/>
      <c r="R433" s="398"/>
    </row>
    <row r="434" spans="1:18" ht="35.25" customHeight="1">
      <c r="A434" s="15">
        <f t="shared" si="6"/>
        <v>424</v>
      </c>
      <c r="B434" s="43" t="s">
        <v>980</v>
      </c>
      <c r="C434" s="64" t="s">
        <v>562</v>
      </c>
      <c r="D434" s="156"/>
      <c r="E434" s="156"/>
      <c r="F434" s="156"/>
      <c r="G434" s="11"/>
      <c r="H434" s="141"/>
      <c r="I434" s="13" t="s">
        <v>18</v>
      </c>
      <c r="J434" s="15">
        <v>1</v>
      </c>
      <c r="K434" s="19" t="s">
        <v>730</v>
      </c>
      <c r="L434" s="43" t="s">
        <v>387</v>
      </c>
      <c r="M434" s="276" t="s">
        <v>3278</v>
      </c>
      <c r="N434" s="141" t="s">
        <v>448</v>
      </c>
      <c r="O434" s="146"/>
      <c r="P434" s="160"/>
      <c r="Q434" s="160"/>
      <c r="R434" s="398"/>
    </row>
    <row r="435" spans="1:18" ht="35.25" customHeight="1">
      <c r="A435" s="15">
        <f t="shared" si="6"/>
        <v>425</v>
      </c>
      <c r="B435" s="43" t="s">
        <v>981</v>
      </c>
      <c r="C435" s="64" t="s">
        <v>562</v>
      </c>
      <c r="D435" s="156"/>
      <c r="E435" s="156"/>
      <c r="F435" s="156"/>
      <c r="G435" s="11"/>
      <c r="H435" s="141"/>
      <c r="I435" s="13" t="s">
        <v>18</v>
      </c>
      <c r="J435" s="15">
        <v>1</v>
      </c>
      <c r="K435" s="19" t="s">
        <v>730</v>
      </c>
      <c r="L435" s="43" t="s">
        <v>387</v>
      </c>
      <c r="M435" s="276" t="s">
        <v>3278</v>
      </c>
      <c r="N435" s="141" t="s">
        <v>448</v>
      </c>
      <c r="O435" s="146"/>
      <c r="P435" s="160"/>
      <c r="Q435" s="160"/>
      <c r="R435" s="398"/>
    </row>
    <row r="436" spans="1:18" ht="35.25" customHeight="1">
      <c r="A436" s="15">
        <f t="shared" si="6"/>
        <v>426</v>
      </c>
      <c r="B436" s="141" t="s">
        <v>982</v>
      </c>
      <c r="C436" s="64" t="s">
        <v>983</v>
      </c>
      <c r="D436" s="156"/>
      <c r="E436" s="156"/>
      <c r="F436" s="156"/>
      <c r="G436" s="64"/>
      <c r="H436" s="141"/>
      <c r="I436" s="13" t="s">
        <v>18</v>
      </c>
      <c r="J436" s="15">
        <v>1</v>
      </c>
      <c r="K436" s="19" t="s">
        <v>730</v>
      </c>
      <c r="L436" s="43" t="s">
        <v>387</v>
      </c>
      <c r="M436" s="276" t="s">
        <v>3279</v>
      </c>
      <c r="N436" s="141" t="s">
        <v>481</v>
      </c>
      <c r="O436" s="146"/>
      <c r="P436" s="160"/>
      <c r="Q436" s="160"/>
      <c r="R436" s="35"/>
    </row>
    <row r="437" spans="1:18" ht="35.25" customHeight="1">
      <c r="A437" s="15">
        <f t="shared" si="6"/>
        <v>427</v>
      </c>
      <c r="B437" s="141" t="s">
        <v>984</v>
      </c>
      <c r="C437" s="64" t="s">
        <v>985</v>
      </c>
      <c r="D437" s="156"/>
      <c r="E437" s="156"/>
      <c r="F437" s="156"/>
      <c r="G437" s="64"/>
      <c r="H437" s="141"/>
      <c r="I437" s="13" t="s">
        <v>18</v>
      </c>
      <c r="J437" s="15">
        <v>1</v>
      </c>
      <c r="K437" s="19" t="s">
        <v>3219</v>
      </c>
      <c r="L437" s="43" t="s">
        <v>17</v>
      </c>
      <c r="M437" s="19"/>
      <c r="N437" s="141" t="s">
        <v>176</v>
      </c>
      <c r="O437" s="263">
        <v>44977</v>
      </c>
      <c r="P437" s="160"/>
      <c r="Q437" s="160"/>
      <c r="R437" s="35" t="s">
        <v>3246</v>
      </c>
    </row>
    <row r="438" spans="1:18" ht="35.25" customHeight="1">
      <c r="A438" s="15">
        <f t="shared" si="6"/>
        <v>428</v>
      </c>
      <c r="B438" s="142" t="s">
        <v>563</v>
      </c>
      <c r="C438" s="150" t="s">
        <v>564</v>
      </c>
      <c r="D438" s="156"/>
      <c r="E438" s="156"/>
      <c r="F438" s="156"/>
      <c r="G438" s="143" t="s">
        <v>565</v>
      </c>
      <c r="H438" s="141"/>
      <c r="I438" s="153" t="s">
        <v>566</v>
      </c>
      <c r="J438" s="153">
        <v>1</v>
      </c>
      <c r="K438" s="19" t="s">
        <v>730</v>
      </c>
      <c r="L438" s="142" t="s">
        <v>567</v>
      </c>
      <c r="M438" s="19"/>
      <c r="N438" s="149" t="s">
        <v>568</v>
      </c>
      <c r="O438" s="149"/>
      <c r="P438" s="160"/>
      <c r="Q438" s="160"/>
      <c r="R438" s="140"/>
    </row>
    <row r="439" spans="1:18" ht="35.25" customHeight="1">
      <c r="A439" s="15">
        <f t="shared" si="6"/>
        <v>429</v>
      </c>
      <c r="B439" s="142" t="s">
        <v>569</v>
      </c>
      <c r="C439" s="150" t="s">
        <v>570</v>
      </c>
      <c r="D439" s="156"/>
      <c r="E439" s="156"/>
      <c r="F439" s="156"/>
      <c r="G439" s="143" t="s">
        <v>571</v>
      </c>
      <c r="H439" s="141"/>
      <c r="I439" s="153" t="s">
        <v>566</v>
      </c>
      <c r="J439" s="153">
        <v>1</v>
      </c>
      <c r="K439" s="19" t="s">
        <v>730</v>
      </c>
      <c r="L439" s="142" t="s">
        <v>567</v>
      </c>
      <c r="M439" s="19"/>
      <c r="N439" s="149" t="s">
        <v>568</v>
      </c>
      <c r="O439" s="149"/>
      <c r="P439" s="160"/>
      <c r="Q439" s="160"/>
      <c r="R439" s="140"/>
    </row>
    <row r="440" spans="1:18" ht="35.25" customHeight="1">
      <c r="A440" s="15">
        <f t="shared" si="6"/>
        <v>430</v>
      </c>
      <c r="B440" s="142" t="s">
        <v>572</v>
      </c>
      <c r="C440" s="150" t="s">
        <v>115</v>
      </c>
      <c r="D440" s="156"/>
      <c r="E440" s="156"/>
      <c r="F440" s="156"/>
      <c r="G440" s="143" t="s">
        <v>573</v>
      </c>
      <c r="H440" s="141"/>
      <c r="I440" s="153" t="s">
        <v>566</v>
      </c>
      <c r="J440" s="153">
        <v>1</v>
      </c>
      <c r="K440" s="19" t="s">
        <v>730</v>
      </c>
      <c r="L440" s="142" t="s">
        <v>567</v>
      </c>
      <c r="M440" s="19"/>
      <c r="N440" s="149" t="s">
        <v>568</v>
      </c>
      <c r="O440" s="149"/>
      <c r="P440" s="160"/>
      <c r="Q440" s="160"/>
      <c r="R440" s="140"/>
    </row>
    <row r="441" spans="1:18" ht="35.25" customHeight="1">
      <c r="A441" s="15">
        <f t="shared" si="6"/>
        <v>431</v>
      </c>
      <c r="B441" s="142" t="s">
        <v>574</v>
      </c>
      <c r="C441" s="150" t="s">
        <v>575</v>
      </c>
      <c r="D441" s="156"/>
      <c r="E441" s="156"/>
      <c r="F441" s="156"/>
      <c r="G441" s="143" t="s">
        <v>576</v>
      </c>
      <c r="H441" s="141"/>
      <c r="I441" s="153" t="s">
        <v>566</v>
      </c>
      <c r="J441" s="153">
        <v>1</v>
      </c>
      <c r="K441" s="19" t="s">
        <v>730</v>
      </c>
      <c r="L441" s="142" t="s">
        <v>567</v>
      </c>
      <c r="M441" s="19"/>
      <c r="N441" s="149" t="s">
        <v>568</v>
      </c>
      <c r="O441" s="149"/>
      <c r="P441" s="160"/>
      <c r="Q441" s="160"/>
      <c r="R441" s="140"/>
    </row>
    <row r="442" spans="1:18" ht="35.25" customHeight="1">
      <c r="A442" s="15">
        <f t="shared" si="6"/>
        <v>432</v>
      </c>
      <c r="B442" s="142" t="s">
        <v>577</v>
      </c>
      <c r="C442" s="150" t="s">
        <v>578</v>
      </c>
      <c r="D442" s="156"/>
      <c r="E442" s="156"/>
      <c r="F442" s="156"/>
      <c r="G442" s="143"/>
      <c r="H442" s="141"/>
      <c r="I442" s="153" t="s">
        <v>566</v>
      </c>
      <c r="J442" s="153">
        <v>1</v>
      </c>
      <c r="K442" s="19" t="s">
        <v>730</v>
      </c>
      <c r="L442" s="142" t="s">
        <v>567</v>
      </c>
      <c r="M442" s="19"/>
      <c r="N442" s="149" t="s">
        <v>568</v>
      </c>
      <c r="O442" s="149"/>
      <c r="P442" s="160"/>
      <c r="Q442" s="160"/>
      <c r="R442" s="140"/>
    </row>
    <row r="443" spans="1:18" ht="35.25" customHeight="1">
      <c r="A443" s="15">
        <f t="shared" si="6"/>
        <v>433</v>
      </c>
      <c r="B443" s="142" t="s">
        <v>579</v>
      </c>
      <c r="C443" s="150" t="s">
        <v>580</v>
      </c>
      <c r="D443" s="156"/>
      <c r="E443" s="156"/>
      <c r="F443" s="156"/>
      <c r="G443" s="143"/>
      <c r="H443" s="141"/>
      <c r="I443" s="153" t="s">
        <v>566</v>
      </c>
      <c r="J443" s="153">
        <v>1</v>
      </c>
      <c r="K443" s="19" t="s">
        <v>730</v>
      </c>
      <c r="L443" s="142" t="s">
        <v>567</v>
      </c>
      <c r="M443" s="19"/>
      <c r="N443" s="149" t="s">
        <v>568</v>
      </c>
      <c r="O443" s="149"/>
      <c r="P443" s="160"/>
      <c r="Q443" s="160"/>
      <c r="R443" s="140"/>
    </row>
    <row r="444" spans="1:18" ht="35.25" customHeight="1">
      <c r="A444" s="15">
        <f t="shared" si="6"/>
        <v>434</v>
      </c>
      <c r="B444" s="142" t="s">
        <v>581</v>
      </c>
      <c r="C444" s="150" t="s">
        <v>582</v>
      </c>
      <c r="D444" s="156"/>
      <c r="E444" s="156"/>
      <c r="F444" s="156"/>
      <c r="G444" s="143"/>
      <c r="H444" s="141"/>
      <c r="I444" s="153" t="s">
        <v>566</v>
      </c>
      <c r="J444" s="153">
        <v>1</v>
      </c>
      <c r="K444" s="19" t="s">
        <v>730</v>
      </c>
      <c r="L444" s="142" t="s">
        <v>567</v>
      </c>
      <c r="M444" s="19"/>
      <c r="N444" s="149" t="s">
        <v>568</v>
      </c>
      <c r="O444" s="149"/>
      <c r="P444" s="160"/>
      <c r="Q444" s="160"/>
      <c r="R444" s="140"/>
    </row>
    <row r="445" spans="1:18" ht="35.25" customHeight="1">
      <c r="A445" s="15">
        <f t="shared" si="6"/>
        <v>435</v>
      </c>
      <c r="B445" s="142" t="s">
        <v>986</v>
      </c>
      <c r="C445" s="150" t="s">
        <v>445</v>
      </c>
      <c r="D445" s="156"/>
      <c r="E445" s="156"/>
      <c r="F445" s="156"/>
      <c r="G445" s="143"/>
      <c r="H445" s="141"/>
      <c r="I445" s="153" t="s">
        <v>566</v>
      </c>
      <c r="J445" s="153">
        <v>1</v>
      </c>
      <c r="K445" s="19" t="s">
        <v>730</v>
      </c>
      <c r="L445" s="142" t="s">
        <v>567</v>
      </c>
      <c r="M445" s="19"/>
      <c r="N445" s="149" t="s">
        <v>568</v>
      </c>
      <c r="O445" s="149"/>
      <c r="P445" s="160"/>
      <c r="Q445" s="160"/>
      <c r="R445" s="140"/>
    </row>
    <row r="446" spans="1:18" ht="35.25" customHeight="1">
      <c r="A446" s="15">
        <f t="shared" si="6"/>
        <v>436</v>
      </c>
      <c r="B446" s="142" t="s">
        <v>585</v>
      </c>
      <c r="C446" s="150" t="s">
        <v>564</v>
      </c>
      <c r="D446" s="156"/>
      <c r="E446" s="156"/>
      <c r="F446" s="156"/>
      <c r="G446" s="143" t="s">
        <v>586</v>
      </c>
      <c r="H446" s="141"/>
      <c r="I446" s="153" t="s">
        <v>566</v>
      </c>
      <c r="J446" s="153">
        <v>1</v>
      </c>
      <c r="K446" s="19" t="s">
        <v>730</v>
      </c>
      <c r="L446" s="142" t="s">
        <v>567</v>
      </c>
      <c r="M446" s="19"/>
      <c r="N446" s="149" t="s">
        <v>587</v>
      </c>
      <c r="O446" s="149"/>
      <c r="P446" s="160"/>
      <c r="Q446" s="160"/>
      <c r="R446" s="150"/>
    </row>
    <row r="447" spans="1:18" ht="35.25" customHeight="1">
      <c r="A447" s="15">
        <f t="shared" si="6"/>
        <v>437</v>
      </c>
      <c r="B447" s="142" t="s">
        <v>588</v>
      </c>
      <c r="C447" s="150" t="s">
        <v>589</v>
      </c>
      <c r="D447" s="156"/>
      <c r="E447" s="156"/>
      <c r="F447" s="156"/>
      <c r="G447" s="143" t="s">
        <v>590</v>
      </c>
      <c r="H447" s="141"/>
      <c r="I447" s="153" t="s">
        <v>566</v>
      </c>
      <c r="J447" s="153">
        <v>1</v>
      </c>
      <c r="K447" s="154" t="s">
        <v>591</v>
      </c>
      <c r="L447" s="142" t="s">
        <v>567</v>
      </c>
      <c r="M447" s="19"/>
      <c r="N447" s="149" t="s">
        <v>587</v>
      </c>
      <c r="O447" s="149"/>
      <c r="P447" s="160"/>
      <c r="Q447" s="160"/>
      <c r="R447" s="150"/>
    </row>
    <row r="448" spans="1:18" ht="35.25" customHeight="1">
      <c r="A448" s="15">
        <f t="shared" si="6"/>
        <v>438</v>
      </c>
      <c r="B448" s="142" t="s">
        <v>592</v>
      </c>
      <c r="C448" s="150" t="s">
        <v>120</v>
      </c>
      <c r="D448" s="156"/>
      <c r="E448" s="156"/>
      <c r="F448" s="156"/>
      <c r="G448" s="143"/>
      <c r="H448" s="141"/>
      <c r="I448" s="153" t="s">
        <v>566</v>
      </c>
      <c r="J448" s="153">
        <v>1</v>
      </c>
      <c r="K448" s="144" t="s">
        <v>730</v>
      </c>
      <c r="L448" s="142" t="s">
        <v>567</v>
      </c>
      <c r="M448" s="19"/>
      <c r="N448" s="149" t="s">
        <v>587</v>
      </c>
      <c r="O448" s="149"/>
      <c r="P448" s="160"/>
      <c r="Q448" s="160"/>
      <c r="R448" s="150"/>
    </row>
    <row r="449" spans="1:18" ht="35.25" customHeight="1">
      <c r="A449" s="15">
        <f t="shared" si="6"/>
        <v>439</v>
      </c>
      <c r="B449" s="142" t="s">
        <v>593</v>
      </c>
      <c r="C449" s="150" t="s">
        <v>115</v>
      </c>
      <c r="D449" s="156"/>
      <c r="E449" s="156"/>
      <c r="F449" s="156"/>
      <c r="G449" s="143" t="s">
        <v>594</v>
      </c>
      <c r="H449" s="141"/>
      <c r="I449" s="153" t="s">
        <v>566</v>
      </c>
      <c r="J449" s="153">
        <v>1</v>
      </c>
      <c r="K449" s="144" t="s">
        <v>730</v>
      </c>
      <c r="L449" s="142" t="s">
        <v>567</v>
      </c>
      <c r="M449" s="19"/>
      <c r="N449" s="149" t="s">
        <v>587</v>
      </c>
      <c r="O449" s="149"/>
      <c r="P449" s="160"/>
      <c r="Q449" s="160"/>
      <c r="R449" s="150"/>
    </row>
    <row r="450" spans="1:18" ht="35.25" customHeight="1">
      <c r="A450" s="15">
        <f t="shared" si="6"/>
        <v>440</v>
      </c>
      <c r="B450" s="142" t="s">
        <v>595</v>
      </c>
      <c r="C450" s="150" t="s">
        <v>575</v>
      </c>
      <c r="D450" s="156"/>
      <c r="E450" s="156"/>
      <c r="F450" s="156"/>
      <c r="G450" s="143" t="s">
        <v>596</v>
      </c>
      <c r="H450" s="141"/>
      <c r="I450" s="153" t="s">
        <v>566</v>
      </c>
      <c r="J450" s="153">
        <v>1</v>
      </c>
      <c r="K450" s="144" t="s">
        <v>730</v>
      </c>
      <c r="L450" s="142" t="s">
        <v>567</v>
      </c>
      <c r="M450" s="19"/>
      <c r="N450" s="149" t="s">
        <v>587</v>
      </c>
      <c r="O450" s="149"/>
      <c r="P450" s="160"/>
      <c r="Q450" s="160"/>
      <c r="R450" s="150"/>
    </row>
    <row r="451" spans="1:18" ht="35.25" customHeight="1">
      <c r="A451" s="15">
        <f t="shared" si="6"/>
        <v>441</v>
      </c>
      <c r="B451" s="142" t="s">
        <v>597</v>
      </c>
      <c r="C451" s="150" t="s">
        <v>578</v>
      </c>
      <c r="D451" s="156"/>
      <c r="E451" s="156"/>
      <c r="F451" s="156"/>
      <c r="G451" s="143"/>
      <c r="H451" s="141"/>
      <c r="I451" s="153" t="s">
        <v>566</v>
      </c>
      <c r="J451" s="153">
        <v>1</v>
      </c>
      <c r="K451" s="144" t="s">
        <v>730</v>
      </c>
      <c r="L451" s="142" t="s">
        <v>567</v>
      </c>
      <c r="M451" s="19"/>
      <c r="N451" s="149" t="s">
        <v>587</v>
      </c>
      <c r="O451" s="149"/>
      <c r="P451" s="160"/>
      <c r="Q451" s="160"/>
      <c r="R451" s="150"/>
    </row>
    <row r="452" spans="1:18" ht="35.25" customHeight="1">
      <c r="A452" s="15">
        <f t="shared" si="6"/>
        <v>442</v>
      </c>
      <c r="B452" s="142" t="s">
        <v>598</v>
      </c>
      <c r="C452" s="150" t="s">
        <v>580</v>
      </c>
      <c r="D452" s="156"/>
      <c r="E452" s="156"/>
      <c r="F452" s="156"/>
      <c r="G452" s="143"/>
      <c r="H452" s="141"/>
      <c r="I452" s="153" t="s">
        <v>566</v>
      </c>
      <c r="J452" s="153">
        <v>1</v>
      </c>
      <c r="K452" s="144" t="s">
        <v>730</v>
      </c>
      <c r="L452" s="142" t="s">
        <v>567</v>
      </c>
      <c r="M452" s="19"/>
      <c r="N452" s="149" t="s">
        <v>587</v>
      </c>
      <c r="O452" s="149"/>
      <c r="P452" s="160"/>
      <c r="Q452" s="160"/>
      <c r="R452" s="150"/>
    </row>
    <row r="453" spans="1:18" ht="35.25" customHeight="1">
      <c r="A453" s="15">
        <f t="shared" si="6"/>
        <v>443</v>
      </c>
      <c r="B453" s="142" t="s">
        <v>599</v>
      </c>
      <c r="C453" s="150" t="s">
        <v>582</v>
      </c>
      <c r="D453" s="156"/>
      <c r="E453" s="156"/>
      <c r="F453" s="156"/>
      <c r="G453" s="143"/>
      <c r="H453" s="141"/>
      <c r="I453" s="153" t="s">
        <v>566</v>
      </c>
      <c r="J453" s="153">
        <v>1</v>
      </c>
      <c r="K453" s="144" t="s">
        <v>730</v>
      </c>
      <c r="L453" s="142" t="s">
        <v>567</v>
      </c>
      <c r="M453" s="19"/>
      <c r="N453" s="149" t="s">
        <v>587</v>
      </c>
      <c r="O453" s="149"/>
      <c r="P453" s="160"/>
      <c r="Q453" s="160"/>
      <c r="R453" s="150"/>
    </row>
    <row r="454" spans="1:18" ht="35.25" customHeight="1">
      <c r="A454" s="15">
        <f t="shared" si="6"/>
        <v>444</v>
      </c>
      <c r="B454" s="142" t="s">
        <v>600</v>
      </c>
      <c r="C454" s="150" t="s">
        <v>601</v>
      </c>
      <c r="D454" s="156"/>
      <c r="E454" s="156"/>
      <c r="F454" s="156"/>
      <c r="G454" s="143"/>
      <c r="H454" s="141"/>
      <c r="I454" s="153" t="s">
        <v>566</v>
      </c>
      <c r="J454" s="153">
        <v>1</v>
      </c>
      <c r="K454" s="144" t="s">
        <v>730</v>
      </c>
      <c r="L454" s="142" t="s">
        <v>567</v>
      </c>
      <c r="M454" s="276" t="s">
        <v>3258</v>
      </c>
      <c r="N454" s="149" t="s">
        <v>602</v>
      </c>
      <c r="O454" s="149"/>
      <c r="P454" s="160"/>
      <c r="Q454" s="160"/>
      <c r="R454" s="150"/>
    </row>
    <row r="455" spans="1:18" ht="35.25" customHeight="1">
      <c r="A455" s="15">
        <f t="shared" si="6"/>
        <v>445</v>
      </c>
      <c r="B455" s="142" t="s">
        <v>603</v>
      </c>
      <c r="C455" s="150" t="s">
        <v>601</v>
      </c>
      <c r="D455" s="156"/>
      <c r="E455" s="156"/>
      <c r="F455" s="156"/>
      <c r="G455" s="143"/>
      <c r="H455" s="141"/>
      <c r="I455" s="153" t="s">
        <v>566</v>
      </c>
      <c r="J455" s="153">
        <v>1</v>
      </c>
      <c r="K455" s="144" t="s">
        <v>730</v>
      </c>
      <c r="L455" s="142" t="s">
        <v>567</v>
      </c>
      <c r="M455" s="276" t="s">
        <v>3258</v>
      </c>
      <c r="N455" s="149" t="s">
        <v>602</v>
      </c>
      <c r="O455" s="149"/>
      <c r="P455" s="160"/>
      <c r="Q455" s="160"/>
      <c r="R455" s="150"/>
    </row>
    <row r="456" spans="1:18" ht="35.25" customHeight="1">
      <c r="A456" s="15">
        <f t="shared" si="6"/>
        <v>446</v>
      </c>
      <c r="B456" s="142" t="s">
        <v>604</v>
      </c>
      <c r="C456" s="150" t="s">
        <v>605</v>
      </c>
      <c r="D456" s="156"/>
      <c r="E456" s="156"/>
      <c r="F456" s="156"/>
      <c r="G456" s="143"/>
      <c r="H456" s="141"/>
      <c r="I456" s="153" t="s">
        <v>566</v>
      </c>
      <c r="J456" s="153">
        <v>1</v>
      </c>
      <c r="K456" s="144" t="s">
        <v>730</v>
      </c>
      <c r="L456" s="142" t="s">
        <v>567</v>
      </c>
      <c r="M456" s="276" t="s">
        <v>3258</v>
      </c>
      <c r="N456" s="149" t="s">
        <v>602</v>
      </c>
      <c r="O456" s="149"/>
      <c r="P456" s="160"/>
      <c r="Q456" s="160"/>
      <c r="R456" s="150"/>
    </row>
    <row r="457" spans="1:18" ht="35.25" customHeight="1">
      <c r="A457" s="15">
        <f t="shared" si="6"/>
        <v>447</v>
      </c>
      <c r="B457" s="142" t="s">
        <v>606</v>
      </c>
      <c r="C457" s="150" t="s">
        <v>605</v>
      </c>
      <c r="D457" s="156"/>
      <c r="E457" s="156"/>
      <c r="F457" s="156"/>
      <c r="G457" s="143"/>
      <c r="H457" s="141"/>
      <c r="I457" s="153" t="s">
        <v>566</v>
      </c>
      <c r="J457" s="153">
        <v>1</v>
      </c>
      <c r="K457" s="144" t="s">
        <v>730</v>
      </c>
      <c r="L457" s="142" t="s">
        <v>567</v>
      </c>
      <c r="M457" s="276" t="s">
        <v>3258</v>
      </c>
      <c r="N457" s="149" t="s">
        <v>602</v>
      </c>
      <c r="O457" s="149"/>
      <c r="P457" s="160"/>
      <c r="Q457" s="160"/>
      <c r="R457" s="150"/>
    </row>
    <row r="458" spans="1:18" ht="35.25" customHeight="1">
      <c r="A458" s="15">
        <f t="shared" si="6"/>
        <v>448</v>
      </c>
      <c r="B458" s="142" t="s">
        <v>607</v>
      </c>
      <c r="C458" s="150" t="s">
        <v>564</v>
      </c>
      <c r="D458" s="156"/>
      <c r="E458" s="156"/>
      <c r="F458" s="156"/>
      <c r="G458" s="143" t="s">
        <v>608</v>
      </c>
      <c r="H458" s="141"/>
      <c r="I458" s="153" t="s">
        <v>566</v>
      </c>
      <c r="J458" s="153">
        <v>1</v>
      </c>
      <c r="K458" s="144" t="s">
        <v>730</v>
      </c>
      <c r="L458" s="142" t="s">
        <v>567</v>
      </c>
      <c r="M458" s="276" t="s">
        <v>3258</v>
      </c>
      <c r="N458" s="149" t="s">
        <v>602</v>
      </c>
      <c r="O458" s="149"/>
      <c r="P458" s="160"/>
      <c r="Q458" s="160"/>
      <c r="R458" s="150"/>
    </row>
    <row r="459" spans="1:18" ht="35.25" customHeight="1">
      <c r="A459" s="15">
        <f t="shared" si="6"/>
        <v>449</v>
      </c>
      <c r="B459" s="142" t="s">
        <v>609</v>
      </c>
      <c r="C459" s="150" t="s">
        <v>610</v>
      </c>
      <c r="D459" s="156"/>
      <c r="E459" s="156"/>
      <c r="F459" s="156"/>
      <c r="G459" s="143"/>
      <c r="H459" s="141"/>
      <c r="I459" s="153" t="s">
        <v>566</v>
      </c>
      <c r="J459" s="153">
        <v>1</v>
      </c>
      <c r="K459" s="144" t="s">
        <v>730</v>
      </c>
      <c r="L459" s="142" t="s">
        <v>567</v>
      </c>
      <c r="M459" s="276" t="s">
        <v>3258</v>
      </c>
      <c r="N459" s="149" t="s">
        <v>602</v>
      </c>
      <c r="O459" s="149"/>
      <c r="P459" s="160"/>
      <c r="Q459" s="160"/>
      <c r="R459" s="150"/>
    </row>
    <row r="460" spans="1:18" ht="35.25" customHeight="1">
      <c r="A460" s="15">
        <f t="shared" si="6"/>
        <v>450</v>
      </c>
      <c r="B460" s="142" t="s">
        <v>611</v>
      </c>
      <c r="C460" s="150" t="s">
        <v>612</v>
      </c>
      <c r="D460" s="46"/>
      <c r="E460" s="46"/>
      <c r="F460" s="46"/>
      <c r="G460" s="143" t="s">
        <v>613</v>
      </c>
      <c r="H460" s="141"/>
      <c r="I460" s="153" t="s">
        <v>566</v>
      </c>
      <c r="J460" s="153">
        <v>1</v>
      </c>
      <c r="K460" s="144" t="s">
        <v>730</v>
      </c>
      <c r="L460" s="142" t="s">
        <v>567</v>
      </c>
      <c r="M460" s="276" t="s">
        <v>3258</v>
      </c>
      <c r="N460" s="149" t="s">
        <v>602</v>
      </c>
      <c r="O460" s="149"/>
      <c r="P460" s="160"/>
      <c r="Q460" s="160"/>
      <c r="R460" s="150"/>
    </row>
    <row r="461" spans="1:18" ht="35.25" customHeight="1">
      <c r="A461" s="15">
        <f t="shared" si="6"/>
        <v>451</v>
      </c>
      <c r="B461" s="142" t="s">
        <v>614</v>
      </c>
      <c r="C461" s="150" t="s">
        <v>615</v>
      </c>
      <c r="D461" s="46"/>
      <c r="E461" s="46"/>
      <c r="F461" s="46"/>
      <c r="G461" s="143"/>
      <c r="H461" s="141"/>
      <c r="I461" s="153" t="s">
        <v>566</v>
      </c>
      <c r="J461" s="153">
        <v>1</v>
      </c>
      <c r="K461" s="144" t="s">
        <v>730</v>
      </c>
      <c r="L461" s="142" t="s">
        <v>567</v>
      </c>
      <c r="M461" s="276" t="s">
        <v>3258</v>
      </c>
      <c r="N461" s="149" t="s">
        <v>602</v>
      </c>
      <c r="O461" s="149"/>
      <c r="P461" s="160"/>
      <c r="Q461" s="160"/>
      <c r="R461" s="150"/>
    </row>
    <row r="462" spans="1:18" ht="35.25" customHeight="1">
      <c r="A462" s="15">
        <f t="shared" si="6"/>
        <v>452</v>
      </c>
      <c r="B462" s="142" t="s">
        <v>616</v>
      </c>
      <c r="C462" s="150" t="s">
        <v>578</v>
      </c>
      <c r="D462" s="46"/>
      <c r="E462" s="46"/>
      <c r="F462" s="46"/>
      <c r="G462" s="143"/>
      <c r="H462" s="141"/>
      <c r="I462" s="153" t="s">
        <v>566</v>
      </c>
      <c r="J462" s="153">
        <v>1</v>
      </c>
      <c r="K462" s="144" t="s">
        <v>730</v>
      </c>
      <c r="L462" s="142" t="s">
        <v>567</v>
      </c>
      <c r="M462" s="276" t="s">
        <v>3258</v>
      </c>
      <c r="N462" s="149" t="s">
        <v>602</v>
      </c>
      <c r="O462" s="149"/>
      <c r="P462" s="160"/>
      <c r="Q462" s="160"/>
      <c r="R462" s="150"/>
    </row>
    <row r="463" spans="1:18" ht="35.25" customHeight="1">
      <c r="A463" s="15">
        <f t="shared" si="6"/>
        <v>453</v>
      </c>
      <c r="B463" s="142" t="s">
        <v>617</v>
      </c>
      <c r="C463" s="150" t="s">
        <v>580</v>
      </c>
      <c r="D463" s="156"/>
      <c r="E463" s="156"/>
      <c r="F463" s="156"/>
      <c r="G463" s="143"/>
      <c r="H463" s="141"/>
      <c r="I463" s="153" t="s">
        <v>566</v>
      </c>
      <c r="J463" s="153">
        <v>1</v>
      </c>
      <c r="K463" s="144" t="s">
        <v>730</v>
      </c>
      <c r="L463" s="142" t="s">
        <v>567</v>
      </c>
      <c r="M463" s="276" t="s">
        <v>3258</v>
      </c>
      <c r="N463" s="149" t="s">
        <v>602</v>
      </c>
      <c r="O463" s="149"/>
      <c r="P463" s="145"/>
      <c r="Q463" s="145"/>
      <c r="R463" s="150"/>
    </row>
    <row r="464" spans="1:18" ht="35.25" customHeight="1">
      <c r="A464" s="15">
        <f t="shared" si="6"/>
        <v>454</v>
      </c>
      <c r="B464" s="142" t="s">
        <v>618</v>
      </c>
      <c r="C464" s="150" t="s">
        <v>582</v>
      </c>
      <c r="D464" s="156"/>
      <c r="E464" s="156"/>
      <c r="F464" s="156"/>
      <c r="G464" s="143"/>
      <c r="H464" s="141"/>
      <c r="I464" s="153" t="s">
        <v>566</v>
      </c>
      <c r="J464" s="153">
        <v>1</v>
      </c>
      <c r="K464" s="144" t="s">
        <v>730</v>
      </c>
      <c r="L464" s="142" t="s">
        <v>567</v>
      </c>
      <c r="M464" s="276" t="s">
        <v>3258</v>
      </c>
      <c r="N464" s="149" t="s">
        <v>602</v>
      </c>
      <c r="O464" s="149"/>
      <c r="P464" s="145"/>
      <c r="Q464" s="145"/>
      <c r="R464" s="150"/>
    </row>
    <row r="465" spans="1:18" ht="35.25" customHeight="1">
      <c r="A465" s="15">
        <f t="shared" si="6"/>
        <v>455</v>
      </c>
      <c r="B465" s="142" t="s">
        <v>987</v>
      </c>
      <c r="C465" s="150" t="s">
        <v>445</v>
      </c>
      <c r="D465" s="156"/>
      <c r="E465" s="156"/>
      <c r="F465" s="156"/>
      <c r="G465" s="143"/>
      <c r="H465" s="141"/>
      <c r="I465" s="153" t="s">
        <v>566</v>
      </c>
      <c r="J465" s="153">
        <v>1</v>
      </c>
      <c r="K465" s="144" t="s">
        <v>730</v>
      </c>
      <c r="L465" s="142" t="s">
        <v>567</v>
      </c>
      <c r="M465" s="276" t="s">
        <v>3258</v>
      </c>
      <c r="N465" s="149" t="s">
        <v>602</v>
      </c>
      <c r="O465" s="149"/>
      <c r="P465" s="145"/>
      <c r="Q465" s="145"/>
      <c r="R465" s="150"/>
    </row>
    <row r="466" spans="1:18" ht="35.25" customHeight="1">
      <c r="A466" s="15">
        <f t="shared" si="6"/>
        <v>456</v>
      </c>
      <c r="B466" s="142" t="s">
        <v>619</v>
      </c>
      <c r="C466" s="150" t="s">
        <v>620</v>
      </c>
      <c r="D466" s="156"/>
      <c r="E466" s="156"/>
      <c r="F466" s="156"/>
      <c r="G466" s="143" t="s">
        <v>621</v>
      </c>
      <c r="H466" s="141"/>
      <c r="I466" s="153" t="s">
        <v>566</v>
      </c>
      <c r="J466" s="153">
        <v>1</v>
      </c>
      <c r="K466" s="144" t="s">
        <v>730</v>
      </c>
      <c r="L466" s="142" t="s">
        <v>567</v>
      </c>
      <c r="M466" s="19"/>
      <c r="N466" s="149" t="s">
        <v>622</v>
      </c>
      <c r="O466" s="149"/>
      <c r="P466" s="145"/>
      <c r="Q466" s="145"/>
      <c r="R466" s="150"/>
    </row>
    <row r="467" spans="1:18" ht="35.25" customHeight="1">
      <c r="A467" s="15">
        <f t="shared" ref="A467:A530" si="7">A466+1</f>
        <v>457</v>
      </c>
      <c r="B467" s="142" t="s">
        <v>623</v>
      </c>
      <c r="C467" s="150" t="s">
        <v>115</v>
      </c>
      <c r="D467" s="156"/>
      <c r="E467" s="156"/>
      <c r="F467" s="156"/>
      <c r="G467" s="143"/>
      <c r="H467" s="141"/>
      <c r="I467" s="153" t="s">
        <v>624</v>
      </c>
      <c r="J467" s="153">
        <v>1</v>
      </c>
      <c r="K467" s="144" t="s">
        <v>730</v>
      </c>
      <c r="L467" s="142" t="s">
        <v>567</v>
      </c>
      <c r="M467" s="19"/>
      <c r="N467" s="149" t="s">
        <v>622</v>
      </c>
      <c r="O467" s="149"/>
      <c r="P467" s="145"/>
      <c r="Q467" s="145"/>
      <c r="R467" s="150"/>
    </row>
    <row r="468" spans="1:18" ht="35.25" customHeight="1">
      <c r="A468" s="15">
        <f t="shared" si="7"/>
        <v>458</v>
      </c>
      <c r="B468" s="142" t="s">
        <v>625</v>
      </c>
      <c r="C468" s="150" t="s">
        <v>626</v>
      </c>
      <c r="D468" s="19"/>
      <c r="E468" s="19"/>
      <c r="F468" s="19"/>
      <c r="G468" s="143"/>
      <c r="H468" s="141"/>
      <c r="I468" s="153" t="s">
        <v>624</v>
      </c>
      <c r="J468" s="153">
        <v>1</v>
      </c>
      <c r="K468" s="144" t="s">
        <v>730</v>
      </c>
      <c r="L468" s="142" t="s">
        <v>567</v>
      </c>
      <c r="M468" s="19"/>
      <c r="N468" s="149" t="s">
        <v>622</v>
      </c>
      <c r="O468" s="149"/>
      <c r="P468" s="43"/>
      <c r="Q468" s="43"/>
      <c r="R468" s="150"/>
    </row>
    <row r="469" spans="1:18" ht="35.25" customHeight="1">
      <c r="A469" s="15">
        <f t="shared" si="7"/>
        <v>459</v>
      </c>
      <c r="B469" s="142" t="s">
        <v>627</v>
      </c>
      <c r="C469" s="150" t="s">
        <v>578</v>
      </c>
      <c r="D469" s="156"/>
      <c r="E469" s="156"/>
      <c r="F469" s="156"/>
      <c r="G469" s="143"/>
      <c r="H469" s="141"/>
      <c r="I469" s="153" t="s">
        <v>566</v>
      </c>
      <c r="J469" s="153">
        <v>1</v>
      </c>
      <c r="K469" s="144" t="s">
        <v>730</v>
      </c>
      <c r="L469" s="142" t="s">
        <v>567</v>
      </c>
      <c r="M469" s="19"/>
      <c r="N469" s="149" t="s">
        <v>622</v>
      </c>
      <c r="O469" s="149"/>
      <c r="P469" s="145"/>
      <c r="Q469" s="145"/>
      <c r="R469" s="150"/>
    </row>
    <row r="470" spans="1:18" ht="35.25" customHeight="1">
      <c r="A470" s="15">
        <f t="shared" si="7"/>
        <v>460</v>
      </c>
      <c r="B470" s="142" t="s">
        <v>628</v>
      </c>
      <c r="C470" s="150" t="s">
        <v>580</v>
      </c>
      <c r="D470" s="156"/>
      <c r="E470" s="156"/>
      <c r="F470" s="156"/>
      <c r="G470" s="143"/>
      <c r="H470" s="141"/>
      <c r="I470" s="153" t="s">
        <v>566</v>
      </c>
      <c r="J470" s="153">
        <v>1</v>
      </c>
      <c r="K470" s="144" t="s">
        <v>730</v>
      </c>
      <c r="L470" s="142" t="s">
        <v>567</v>
      </c>
      <c r="M470" s="19"/>
      <c r="N470" s="149" t="s">
        <v>622</v>
      </c>
      <c r="O470" s="149"/>
      <c r="P470" s="145"/>
      <c r="Q470" s="145"/>
      <c r="R470" s="150"/>
    </row>
    <row r="471" spans="1:18" ht="35.25" customHeight="1">
      <c r="A471" s="15">
        <f t="shared" si="7"/>
        <v>461</v>
      </c>
      <c r="B471" s="142" t="s">
        <v>629</v>
      </c>
      <c r="C471" s="150" t="s">
        <v>582</v>
      </c>
      <c r="D471" s="156"/>
      <c r="E471" s="156"/>
      <c r="F471" s="156"/>
      <c r="G471" s="143"/>
      <c r="H471" s="141"/>
      <c r="I471" s="153" t="s">
        <v>566</v>
      </c>
      <c r="J471" s="153">
        <v>1</v>
      </c>
      <c r="K471" s="144" t="s">
        <v>730</v>
      </c>
      <c r="L471" s="142" t="s">
        <v>567</v>
      </c>
      <c r="M471" s="19"/>
      <c r="N471" s="149" t="s">
        <v>622</v>
      </c>
      <c r="O471" s="149"/>
      <c r="P471" s="145"/>
      <c r="Q471" s="145"/>
      <c r="R471" s="150"/>
    </row>
    <row r="472" spans="1:18" ht="35.25" customHeight="1">
      <c r="A472" s="15">
        <f t="shared" si="7"/>
        <v>462</v>
      </c>
      <c r="B472" s="142" t="s">
        <v>630</v>
      </c>
      <c r="C472" s="150" t="s">
        <v>564</v>
      </c>
      <c r="D472" s="156"/>
      <c r="E472" s="156"/>
      <c r="F472" s="156"/>
      <c r="G472" s="143"/>
      <c r="H472" s="141"/>
      <c r="I472" s="153" t="s">
        <v>566</v>
      </c>
      <c r="J472" s="153">
        <v>1</v>
      </c>
      <c r="K472" s="144" t="s">
        <v>730</v>
      </c>
      <c r="L472" s="142" t="s">
        <v>567</v>
      </c>
      <c r="M472" s="276" t="s">
        <v>3276</v>
      </c>
      <c r="N472" s="149" t="s">
        <v>631</v>
      </c>
      <c r="O472" s="149"/>
      <c r="P472" s="145"/>
      <c r="Q472" s="145"/>
      <c r="R472" s="150"/>
    </row>
    <row r="473" spans="1:18" ht="35.25" customHeight="1">
      <c r="A473" s="15">
        <f t="shared" si="7"/>
        <v>463</v>
      </c>
      <c r="B473" s="142" t="s">
        <v>632</v>
      </c>
      <c r="C473" s="150" t="s">
        <v>633</v>
      </c>
      <c r="D473" s="156"/>
      <c r="E473" s="156"/>
      <c r="F473" s="156"/>
      <c r="G473" s="143" t="s">
        <v>634</v>
      </c>
      <c r="H473" s="141"/>
      <c r="I473" s="153" t="s">
        <v>566</v>
      </c>
      <c r="J473" s="153">
        <v>1</v>
      </c>
      <c r="K473" s="144" t="s">
        <v>730</v>
      </c>
      <c r="L473" s="142" t="s">
        <v>567</v>
      </c>
      <c r="M473" s="276" t="s">
        <v>3276</v>
      </c>
      <c r="N473" s="149" t="s">
        <v>631</v>
      </c>
      <c r="O473" s="149"/>
      <c r="P473" s="145"/>
      <c r="Q473" s="145"/>
      <c r="R473" s="150"/>
    </row>
    <row r="474" spans="1:18" ht="35.25" customHeight="1">
      <c r="A474" s="15">
        <f t="shared" si="7"/>
        <v>464</v>
      </c>
      <c r="B474" s="142" t="s">
        <v>635</v>
      </c>
      <c r="C474" s="150" t="s">
        <v>120</v>
      </c>
      <c r="D474" s="156"/>
      <c r="E474" s="156"/>
      <c r="F474" s="156"/>
      <c r="G474" s="143"/>
      <c r="H474" s="141"/>
      <c r="I474" s="153" t="s">
        <v>566</v>
      </c>
      <c r="J474" s="153">
        <v>1</v>
      </c>
      <c r="K474" s="144" t="s">
        <v>730</v>
      </c>
      <c r="L474" s="142" t="s">
        <v>567</v>
      </c>
      <c r="M474" s="276" t="s">
        <v>3276</v>
      </c>
      <c r="N474" s="149" t="s">
        <v>631</v>
      </c>
      <c r="O474" s="149"/>
      <c r="P474" s="145"/>
      <c r="Q474" s="145"/>
      <c r="R474" s="150"/>
    </row>
    <row r="475" spans="1:18" ht="35.25" customHeight="1">
      <c r="A475" s="15">
        <f t="shared" si="7"/>
        <v>465</v>
      </c>
      <c r="B475" s="142" t="s">
        <v>636</v>
      </c>
      <c r="C475" s="150" t="s">
        <v>578</v>
      </c>
      <c r="D475" s="156"/>
      <c r="E475" s="156"/>
      <c r="F475" s="156"/>
      <c r="G475" s="143"/>
      <c r="H475" s="141"/>
      <c r="I475" s="153" t="s">
        <v>566</v>
      </c>
      <c r="J475" s="153">
        <v>1</v>
      </c>
      <c r="K475" s="144" t="s">
        <v>730</v>
      </c>
      <c r="L475" s="142" t="s">
        <v>567</v>
      </c>
      <c r="M475" s="276" t="s">
        <v>3276</v>
      </c>
      <c r="N475" s="149" t="s">
        <v>631</v>
      </c>
      <c r="O475" s="149"/>
      <c r="P475" s="145"/>
      <c r="Q475" s="145"/>
      <c r="R475" s="150"/>
    </row>
    <row r="476" spans="1:18" ht="35.25" customHeight="1">
      <c r="A476" s="15">
        <f t="shared" si="7"/>
        <v>466</v>
      </c>
      <c r="B476" s="142" t="s">
        <v>637</v>
      </c>
      <c r="C476" s="150" t="s">
        <v>580</v>
      </c>
      <c r="D476" s="156"/>
      <c r="E476" s="156"/>
      <c r="F476" s="156"/>
      <c r="G476" s="143"/>
      <c r="H476" s="141"/>
      <c r="I476" s="153" t="s">
        <v>566</v>
      </c>
      <c r="J476" s="153">
        <v>1</v>
      </c>
      <c r="K476" s="144" t="s">
        <v>730</v>
      </c>
      <c r="L476" s="142" t="s">
        <v>567</v>
      </c>
      <c r="M476" s="276" t="s">
        <v>3276</v>
      </c>
      <c r="N476" s="149" t="s">
        <v>631</v>
      </c>
      <c r="O476" s="149"/>
      <c r="P476" s="145"/>
      <c r="Q476" s="145"/>
      <c r="R476" s="150"/>
    </row>
    <row r="477" spans="1:18" ht="35.25" customHeight="1">
      <c r="A477" s="15">
        <f t="shared" si="7"/>
        <v>467</v>
      </c>
      <c r="B477" s="142" t="s">
        <v>638</v>
      </c>
      <c r="C477" s="150" t="s">
        <v>582</v>
      </c>
      <c r="D477" s="156"/>
      <c r="E477" s="156"/>
      <c r="F477" s="156"/>
      <c r="G477" s="143"/>
      <c r="H477" s="141"/>
      <c r="I477" s="153" t="s">
        <v>566</v>
      </c>
      <c r="J477" s="153">
        <v>1</v>
      </c>
      <c r="K477" s="144" t="s">
        <v>730</v>
      </c>
      <c r="L477" s="142" t="s">
        <v>567</v>
      </c>
      <c r="M477" s="276" t="s">
        <v>3276</v>
      </c>
      <c r="N477" s="149" t="s">
        <v>631</v>
      </c>
      <c r="O477" s="149"/>
      <c r="P477" s="145"/>
      <c r="Q477" s="145"/>
      <c r="R477" s="150"/>
    </row>
    <row r="478" spans="1:18" ht="35.25" customHeight="1">
      <c r="A478" s="15">
        <f t="shared" si="7"/>
        <v>468</v>
      </c>
      <c r="B478" s="142" t="s">
        <v>639</v>
      </c>
      <c r="C478" s="150" t="s">
        <v>640</v>
      </c>
      <c r="D478" s="156"/>
      <c r="E478" s="156"/>
      <c r="F478" s="156"/>
      <c r="G478" s="143"/>
      <c r="H478" s="141"/>
      <c r="I478" s="153" t="s">
        <v>566</v>
      </c>
      <c r="J478" s="153">
        <v>1</v>
      </c>
      <c r="K478" s="144" t="s">
        <v>730</v>
      </c>
      <c r="L478" s="142" t="s">
        <v>567</v>
      </c>
      <c r="M478" s="276" t="s">
        <v>3276</v>
      </c>
      <c r="N478" s="149" t="s">
        <v>631</v>
      </c>
      <c r="O478" s="149"/>
      <c r="P478" s="145"/>
      <c r="Q478" s="145"/>
      <c r="R478" s="140"/>
    </row>
    <row r="479" spans="1:18" ht="35.25" customHeight="1">
      <c r="A479" s="15">
        <f t="shared" si="7"/>
        <v>469</v>
      </c>
      <c r="B479" s="142" t="s">
        <v>696</v>
      </c>
      <c r="C479" s="150" t="s">
        <v>641</v>
      </c>
      <c r="D479" s="156"/>
      <c r="E479" s="156"/>
      <c r="F479" s="156"/>
      <c r="G479" s="155" t="s">
        <v>642</v>
      </c>
      <c r="H479" s="141"/>
      <c r="I479" s="153" t="s">
        <v>566</v>
      </c>
      <c r="J479" s="153">
        <v>1</v>
      </c>
      <c r="K479" s="144" t="s">
        <v>730</v>
      </c>
      <c r="L479" s="142" t="s">
        <v>567</v>
      </c>
      <c r="M479" s="276" t="s">
        <v>3276</v>
      </c>
      <c r="N479" s="149" t="s">
        <v>631</v>
      </c>
      <c r="O479" s="149"/>
      <c r="P479" s="145"/>
      <c r="Q479" s="145"/>
      <c r="R479" s="140"/>
    </row>
    <row r="480" spans="1:18" ht="35.25" customHeight="1">
      <c r="A480" s="15">
        <f t="shared" si="7"/>
        <v>470</v>
      </c>
      <c r="B480" s="142" t="s">
        <v>643</v>
      </c>
      <c r="C480" s="150" t="s">
        <v>601</v>
      </c>
      <c r="D480" s="156"/>
      <c r="E480" s="156"/>
      <c r="F480" s="156"/>
      <c r="G480" s="155"/>
      <c r="H480" s="141"/>
      <c r="I480" s="153" t="s">
        <v>566</v>
      </c>
      <c r="J480" s="153">
        <v>1</v>
      </c>
      <c r="K480" s="144" t="s">
        <v>730</v>
      </c>
      <c r="L480" s="142" t="s">
        <v>567</v>
      </c>
      <c r="M480" s="276" t="s">
        <v>3276</v>
      </c>
      <c r="N480" s="149" t="s">
        <v>631</v>
      </c>
      <c r="O480" s="149"/>
      <c r="P480" s="145"/>
      <c r="Q480" s="145"/>
      <c r="R480" s="140"/>
    </row>
    <row r="481" spans="1:18" ht="35.25" customHeight="1">
      <c r="A481" s="15">
        <f t="shared" si="7"/>
        <v>471</v>
      </c>
      <c r="B481" s="142" t="s">
        <v>644</v>
      </c>
      <c r="C481" s="150" t="s">
        <v>451</v>
      </c>
      <c r="D481" s="156"/>
      <c r="E481" s="156"/>
      <c r="F481" s="156"/>
      <c r="G481" s="143" t="s">
        <v>645</v>
      </c>
      <c r="H481" s="141"/>
      <c r="I481" s="153" t="s">
        <v>566</v>
      </c>
      <c r="J481" s="153">
        <v>1</v>
      </c>
      <c r="K481" s="144" t="s">
        <v>730</v>
      </c>
      <c r="L481" s="142" t="s">
        <v>567</v>
      </c>
      <c r="M481" s="276" t="s">
        <v>3271</v>
      </c>
      <c r="N481" s="149" t="s">
        <v>646</v>
      </c>
      <c r="O481" s="149"/>
      <c r="P481" s="145"/>
      <c r="Q481" s="145"/>
      <c r="R481" s="150"/>
    </row>
    <row r="482" spans="1:18" ht="35.25" customHeight="1">
      <c r="A482" s="15">
        <f t="shared" si="7"/>
        <v>472</v>
      </c>
      <c r="B482" s="142" t="s">
        <v>647</v>
      </c>
      <c r="C482" s="150" t="s">
        <v>570</v>
      </c>
      <c r="D482" s="156"/>
      <c r="E482" s="156"/>
      <c r="F482" s="156"/>
      <c r="G482" s="143" t="s">
        <v>648</v>
      </c>
      <c r="H482" s="141"/>
      <c r="I482" s="153" t="s">
        <v>566</v>
      </c>
      <c r="J482" s="153">
        <v>1</v>
      </c>
      <c r="K482" s="144" t="s">
        <v>730</v>
      </c>
      <c r="L482" s="142" t="s">
        <v>567</v>
      </c>
      <c r="M482" s="276" t="s">
        <v>3271</v>
      </c>
      <c r="N482" s="187" t="s">
        <v>646</v>
      </c>
      <c r="O482" s="187"/>
      <c r="P482" s="145"/>
      <c r="Q482" s="145"/>
      <c r="R482" s="150"/>
    </row>
    <row r="483" spans="1:18" ht="35.25" customHeight="1">
      <c r="A483" s="15">
        <f t="shared" si="7"/>
        <v>473</v>
      </c>
      <c r="B483" s="142" t="s">
        <v>649</v>
      </c>
      <c r="C483" s="150" t="s">
        <v>575</v>
      </c>
      <c r="D483" s="156"/>
      <c r="E483" s="156"/>
      <c r="F483" s="156"/>
      <c r="G483" s="143" t="s">
        <v>650</v>
      </c>
      <c r="H483" s="141"/>
      <c r="I483" s="153" t="s">
        <v>566</v>
      </c>
      <c r="J483" s="153">
        <v>1</v>
      </c>
      <c r="K483" s="144" t="s">
        <v>730</v>
      </c>
      <c r="L483" s="142" t="s">
        <v>567</v>
      </c>
      <c r="M483" s="276" t="s">
        <v>3271</v>
      </c>
      <c r="N483" s="187" t="s">
        <v>646</v>
      </c>
      <c r="O483" s="187"/>
      <c r="P483" s="145"/>
      <c r="Q483" s="145"/>
      <c r="R483" s="150"/>
    </row>
    <row r="484" spans="1:18" ht="35.25" customHeight="1">
      <c r="A484" s="15">
        <f t="shared" si="7"/>
        <v>474</v>
      </c>
      <c r="B484" s="142" t="s">
        <v>988</v>
      </c>
      <c r="C484" s="150" t="s">
        <v>601</v>
      </c>
      <c r="D484" s="156"/>
      <c r="E484" s="156"/>
      <c r="F484" s="156"/>
      <c r="G484" s="143"/>
      <c r="H484" s="141"/>
      <c r="I484" s="153" t="s">
        <v>566</v>
      </c>
      <c r="J484" s="153">
        <v>1</v>
      </c>
      <c r="K484" s="144" t="s">
        <v>730</v>
      </c>
      <c r="L484" s="142" t="s">
        <v>567</v>
      </c>
      <c r="M484" s="276" t="s">
        <v>3271</v>
      </c>
      <c r="N484" s="187" t="s">
        <v>646</v>
      </c>
      <c r="O484" s="187"/>
      <c r="P484" s="145"/>
      <c r="Q484" s="145"/>
      <c r="R484" s="150"/>
    </row>
    <row r="485" spans="1:18" ht="35.25" customHeight="1">
      <c r="A485" s="15">
        <f t="shared" si="7"/>
        <v>475</v>
      </c>
      <c r="B485" s="142" t="s">
        <v>651</v>
      </c>
      <c r="C485" s="150" t="s">
        <v>578</v>
      </c>
      <c r="D485" s="156"/>
      <c r="E485" s="156"/>
      <c r="F485" s="156"/>
      <c r="G485" s="143"/>
      <c r="H485" s="141"/>
      <c r="I485" s="153" t="s">
        <v>566</v>
      </c>
      <c r="J485" s="153">
        <v>1</v>
      </c>
      <c r="K485" s="144" t="s">
        <v>730</v>
      </c>
      <c r="L485" s="142" t="s">
        <v>567</v>
      </c>
      <c r="M485" s="276" t="s">
        <v>3271</v>
      </c>
      <c r="N485" s="187" t="s">
        <v>646</v>
      </c>
      <c r="O485" s="187"/>
      <c r="P485" s="145"/>
      <c r="Q485" s="145"/>
      <c r="R485" s="150"/>
    </row>
    <row r="486" spans="1:18" ht="35.25" customHeight="1">
      <c r="A486" s="15">
        <f t="shared" si="7"/>
        <v>476</v>
      </c>
      <c r="B486" s="142" t="s">
        <v>652</v>
      </c>
      <c r="C486" s="150" t="s">
        <v>580</v>
      </c>
      <c r="D486" s="156"/>
      <c r="E486" s="156"/>
      <c r="F486" s="156"/>
      <c r="G486" s="143"/>
      <c r="H486" s="141"/>
      <c r="I486" s="153" t="s">
        <v>566</v>
      </c>
      <c r="J486" s="153">
        <v>1</v>
      </c>
      <c r="K486" s="144" t="s">
        <v>730</v>
      </c>
      <c r="L486" s="142" t="s">
        <v>567</v>
      </c>
      <c r="M486" s="276" t="s">
        <v>3271</v>
      </c>
      <c r="N486" s="187" t="s">
        <v>646</v>
      </c>
      <c r="O486" s="187"/>
      <c r="P486" s="145"/>
      <c r="Q486" s="145"/>
      <c r="R486" s="150"/>
    </row>
    <row r="487" spans="1:18" ht="35.25" customHeight="1">
      <c r="A487" s="15">
        <f t="shared" si="7"/>
        <v>477</v>
      </c>
      <c r="B487" s="142" t="s">
        <v>653</v>
      </c>
      <c r="C487" s="150" t="s">
        <v>582</v>
      </c>
      <c r="D487" s="156"/>
      <c r="E487" s="156"/>
      <c r="F487" s="156"/>
      <c r="G487" s="143"/>
      <c r="H487" s="141"/>
      <c r="I487" s="153" t="s">
        <v>566</v>
      </c>
      <c r="J487" s="153">
        <v>1</v>
      </c>
      <c r="K487" s="144" t="s">
        <v>730</v>
      </c>
      <c r="L487" s="142" t="s">
        <v>567</v>
      </c>
      <c r="M487" s="276" t="s">
        <v>3271</v>
      </c>
      <c r="N487" s="187" t="s">
        <v>646</v>
      </c>
      <c r="O487" s="187"/>
      <c r="P487" s="145"/>
      <c r="Q487" s="145"/>
      <c r="R487" s="150"/>
    </row>
    <row r="488" spans="1:18" ht="35.25" customHeight="1">
      <c r="A488" s="15">
        <f t="shared" si="7"/>
        <v>478</v>
      </c>
      <c r="B488" s="142" t="s">
        <v>989</v>
      </c>
      <c r="C488" s="150" t="s">
        <v>445</v>
      </c>
      <c r="D488" s="156"/>
      <c r="E488" s="156"/>
      <c r="F488" s="156"/>
      <c r="G488" s="143"/>
      <c r="H488" s="141"/>
      <c r="I488" s="153" t="s">
        <v>566</v>
      </c>
      <c r="J488" s="153">
        <v>1</v>
      </c>
      <c r="K488" s="144" t="s">
        <v>730</v>
      </c>
      <c r="L488" s="142" t="s">
        <v>567</v>
      </c>
      <c r="M488" s="276" t="s">
        <v>3271</v>
      </c>
      <c r="N488" s="187" t="s">
        <v>646</v>
      </c>
      <c r="O488" s="187"/>
      <c r="P488" s="145"/>
      <c r="Q488" s="145"/>
      <c r="R488" s="150"/>
    </row>
    <row r="489" spans="1:18" ht="35.25" customHeight="1">
      <c r="A489" s="15">
        <f t="shared" si="7"/>
        <v>479</v>
      </c>
      <c r="B489" s="142" t="s">
        <v>990</v>
      </c>
      <c r="C489" s="150" t="s">
        <v>991</v>
      </c>
      <c r="D489" s="156"/>
      <c r="E489" s="156"/>
      <c r="F489" s="156"/>
      <c r="G489" s="149" t="s">
        <v>2338</v>
      </c>
      <c r="H489" s="141"/>
      <c r="I489" s="153" t="s">
        <v>566</v>
      </c>
      <c r="J489" s="153">
        <v>1</v>
      </c>
      <c r="K489" s="144" t="s">
        <v>730</v>
      </c>
      <c r="L489" s="142" t="s">
        <v>567</v>
      </c>
      <c r="M489" s="276" t="s">
        <v>3271</v>
      </c>
      <c r="N489" s="187" t="s">
        <v>646</v>
      </c>
      <c r="O489" s="235">
        <v>44991</v>
      </c>
      <c r="P489" s="145"/>
      <c r="Q489" s="145"/>
      <c r="R489" s="150" t="s">
        <v>2657</v>
      </c>
    </row>
    <row r="490" spans="1:18" ht="35.25" customHeight="1">
      <c r="A490" s="15">
        <f t="shared" si="7"/>
        <v>480</v>
      </c>
      <c r="B490" s="142" t="s">
        <v>992</v>
      </c>
      <c r="C490" s="150" t="s">
        <v>991</v>
      </c>
      <c r="D490" s="156"/>
      <c r="E490" s="156"/>
      <c r="F490" s="156"/>
      <c r="G490" s="149" t="s">
        <v>2339</v>
      </c>
      <c r="H490" s="141"/>
      <c r="I490" s="153" t="s">
        <v>566</v>
      </c>
      <c r="J490" s="153">
        <v>1</v>
      </c>
      <c r="K490" s="144" t="s">
        <v>730</v>
      </c>
      <c r="L490" s="142" t="s">
        <v>567</v>
      </c>
      <c r="M490" s="276" t="s">
        <v>3271</v>
      </c>
      <c r="N490" s="187" t="s">
        <v>646</v>
      </c>
      <c r="O490" s="235">
        <v>44991</v>
      </c>
      <c r="P490" s="145"/>
      <c r="Q490" s="145"/>
      <c r="R490" s="150"/>
    </row>
    <row r="491" spans="1:18" ht="35.25" customHeight="1">
      <c r="A491" s="15">
        <f t="shared" si="7"/>
        <v>481</v>
      </c>
      <c r="B491" s="142" t="s">
        <v>993</v>
      </c>
      <c r="C491" s="150" t="s">
        <v>991</v>
      </c>
      <c r="D491" s="156"/>
      <c r="E491" s="156"/>
      <c r="F491" s="156"/>
      <c r="G491" s="149" t="s">
        <v>2340</v>
      </c>
      <c r="H491" s="141"/>
      <c r="I491" s="153" t="s">
        <v>566</v>
      </c>
      <c r="J491" s="153">
        <v>1</v>
      </c>
      <c r="K491" s="144" t="s">
        <v>730</v>
      </c>
      <c r="L491" s="142" t="s">
        <v>567</v>
      </c>
      <c r="M491" s="276" t="s">
        <v>3271</v>
      </c>
      <c r="N491" s="187" t="s">
        <v>646</v>
      </c>
      <c r="O491" s="235">
        <v>44991</v>
      </c>
      <c r="P491" s="145"/>
      <c r="Q491" s="145"/>
      <c r="R491" s="150"/>
    </row>
    <row r="492" spans="1:18" ht="35.25" customHeight="1">
      <c r="A492" s="15">
        <f t="shared" si="7"/>
        <v>482</v>
      </c>
      <c r="B492" s="142" t="s">
        <v>994</v>
      </c>
      <c r="C492" s="150" t="s">
        <v>991</v>
      </c>
      <c r="D492" s="156"/>
      <c r="E492" s="156"/>
      <c r="F492" s="156"/>
      <c r="G492" s="149" t="s">
        <v>2341</v>
      </c>
      <c r="H492" s="141"/>
      <c r="I492" s="153" t="s">
        <v>566</v>
      </c>
      <c r="J492" s="153">
        <v>1</v>
      </c>
      <c r="K492" s="144" t="s">
        <v>730</v>
      </c>
      <c r="L492" s="142" t="s">
        <v>567</v>
      </c>
      <c r="M492" s="276" t="s">
        <v>3271</v>
      </c>
      <c r="N492" s="187" t="s">
        <v>646</v>
      </c>
      <c r="O492" s="235">
        <v>44996</v>
      </c>
      <c r="P492" s="145"/>
      <c r="Q492" s="145"/>
      <c r="R492" s="169" t="s">
        <v>2658</v>
      </c>
    </row>
    <row r="493" spans="1:18" ht="35.25" customHeight="1">
      <c r="A493" s="15">
        <f t="shared" si="7"/>
        <v>483</v>
      </c>
      <c r="B493" s="142" t="s">
        <v>995</v>
      </c>
      <c r="C493" s="14" t="s">
        <v>996</v>
      </c>
      <c r="D493" s="156"/>
      <c r="E493" s="156"/>
      <c r="F493" s="156"/>
      <c r="G493" s="14" t="s">
        <v>996</v>
      </c>
      <c r="H493" s="141"/>
      <c r="I493" s="153" t="s">
        <v>566</v>
      </c>
      <c r="J493" s="153">
        <v>1</v>
      </c>
      <c r="K493" s="144" t="s">
        <v>730</v>
      </c>
      <c r="L493" s="142" t="s">
        <v>567</v>
      </c>
      <c r="M493" s="276" t="s">
        <v>3271</v>
      </c>
      <c r="N493" s="187" t="s">
        <v>646</v>
      </c>
      <c r="O493" s="235"/>
      <c r="P493" s="145"/>
      <c r="Q493" s="145"/>
      <c r="R493" s="169"/>
    </row>
    <row r="494" spans="1:18" ht="35.25" customHeight="1">
      <c r="A494" s="15">
        <f t="shared" si="7"/>
        <v>484</v>
      </c>
      <c r="B494" s="9" t="s">
        <v>997</v>
      </c>
      <c r="C494" s="14" t="s">
        <v>998</v>
      </c>
      <c r="D494" s="156"/>
      <c r="E494" s="156"/>
      <c r="F494" s="156"/>
      <c r="G494" s="14"/>
      <c r="H494" s="141"/>
      <c r="I494" s="153" t="s">
        <v>566</v>
      </c>
      <c r="J494" s="153">
        <v>1</v>
      </c>
      <c r="K494" s="144" t="s">
        <v>730</v>
      </c>
      <c r="L494" s="142" t="s">
        <v>567</v>
      </c>
      <c r="M494" s="276" t="s">
        <v>3271</v>
      </c>
      <c r="N494" s="187" t="s">
        <v>646</v>
      </c>
      <c r="O494" s="235"/>
      <c r="P494" s="145"/>
      <c r="Q494" s="145"/>
      <c r="R494" s="169"/>
    </row>
    <row r="495" spans="1:18" ht="35.25" customHeight="1">
      <c r="A495" s="15">
        <f t="shared" si="7"/>
        <v>485</v>
      </c>
      <c r="B495" s="142" t="s">
        <v>654</v>
      </c>
      <c r="C495" s="150" t="s">
        <v>564</v>
      </c>
      <c r="D495" s="156"/>
      <c r="E495" s="156"/>
      <c r="F495" s="156"/>
      <c r="G495" s="143" t="s">
        <v>655</v>
      </c>
      <c r="H495" s="141"/>
      <c r="I495" s="153" t="s">
        <v>566</v>
      </c>
      <c r="J495" s="153">
        <v>1</v>
      </c>
      <c r="K495" s="144" t="s">
        <v>730</v>
      </c>
      <c r="L495" s="142" t="s">
        <v>567</v>
      </c>
      <c r="M495" s="276" t="s">
        <v>3284</v>
      </c>
      <c r="N495" s="149" t="s">
        <v>656</v>
      </c>
      <c r="O495" s="149"/>
      <c r="P495" s="145"/>
      <c r="Q495" s="145"/>
      <c r="R495" s="150"/>
    </row>
    <row r="496" spans="1:18" ht="35.25" customHeight="1">
      <c r="A496" s="15">
        <f t="shared" si="7"/>
        <v>486</v>
      </c>
      <c r="B496" s="142" t="s">
        <v>657</v>
      </c>
      <c r="C496" s="150" t="s">
        <v>620</v>
      </c>
      <c r="D496" s="156"/>
      <c r="E496" s="156"/>
      <c r="F496" s="156"/>
      <c r="G496" s="143" t="s">
        <v>658</v>
      </c>
      <c r="H496" s="141"/>
      <c r="I496" s="153" t="s">
        <v>566</v>
      </c>
      <c r="J496" s="153">
        <v>1</v>
      </c>
      <c r="K496" s="144" t="s">
        <v>730</v>
      </c>
      <c r="L496" s="142" t="s">
        <v>567</v>
      </c>
      <c r="M496" s="276" t="s">
        <v>3284</v>
      </c>
      <c r="N496" s="149" t="s">
        <v>656</v>
      </c>
      <c r="O496" s="149"/>
      <c r="P496" s="145"/>
      <c r="Q496" s="145"/>
      <c r="R496" s="150"/>
    </row>
    <row r="497" spans="1:18" ht="35.25" customHeight="1">
      <c r="A497" s="15">
        <f t="shared" si="7"/>
        <v>487</v>
      </c>
      <c r="B497" s="142" t="s">
        <v>659</v>
      </c>
      <c r="C497" s="150" t="s">
        <v>120</v>
      </c>
      <c r="D497" s="156"/>
      <c r="E497" s="156"/>
      <c r="F497" s="156"/>
      <c r="G497" s="143"/>
      <c r="H497" s="141"/>
      <c r="I497" s="153" t="s">
        <v>566</v>
      </c>
      <c r="J497" s="153">
        <v>1</v>
      </c>
      <c r="K497" s="144" t="s">
        <v>730</v>
      </c>
      <c r="L497" s="142" t="s">
        <v>567</v>
      </c>
      <c r="M497" s="276" t="s">
        <v>3284</v>
      </c>
      <c r="N497" s="149" t="s">
        <v>656</v>
      </c>
      <c r="O497" s="149"/>
      <c r="P497" s="145"/>
      <c r="Q497" s="145"/>
      <c r="R497" s="150"/>
    </row>
    <row r="498" spans="1:18" ht="35.25" customHeight="1">
      <c r="A498" s="15">
        <f t="shared" si="7"/>
        <v>488</v>
      </c>
      <c r="B498" s="142" t="s">
        <v>697</v>
      </c>
      <c r="C498" s="150" t="s">
        <v>999</v>
      </c>
      <c r="D498" s="156"/>
      <c r="E498" s="156"/>
      <c r="F498" s="156"/>
      <c r="G498" s="155" t="s">
        <v>662</v>
      </c>
      <c r="H498" s="141"/>
      <c r="I498" s="153" t="s">
        <v>566</v>
      </c>
      <c r="J498" s="153">
        <v>1</v>
      </c>
      <c r="K498" s="144" t="s">
        <v>730</v>
      </c>
      <c r="L498" s="142" t="s">
        <v>567</v>
      </c>
      <c r="M498" s="276" t="s">
        <v>3284</v>
      </c>
      <c r="N498" s="149" t="s">
        <v>656</v>
      </c>
      <c r="O498" s="149"/>
      <c r="P498" s="145"/>
      <c r="Q498" s="145"/>
      <c r="R498" s="150"/>
    </row>
    <row r="499" spans="1:18" ht="35.25" customHeight="1">
      <c r="A499" s="15">
        <f t="shared" si="7"/>
        <v>489</v>
      </c>
      <c r="B499" s="145" t="s">
        <v>711</v>
      </c>
      <c r="C499" s="169" t="s">
        <v>663</v>
      </c>
      <c r="D499" s="156"/>
      <c r="E499" s="156"/>
      <c r="F499" s="156"/>
      <c r="G499" s="157" t="s">
        <v>662</v>
      </c>
      <c r="H499" s="141"/>
      <c r="I499" s="158" t="s">
        <v>566</v>
      </c>
      <c r="J499" s="158">
        <v>1</v>
      </c>
      <c r="K499" s="144" t="s">
        <v>730</v>
      </c>
      <c r="L499" s="145" t="s">
        <v>567</v>
      </c>
      <c r="M499" s="276" t="s">
        <v>3284</v>
      </c>
      <c r="N499" s="160" t="s">
        <v>656</v>
      </c>
      <c r="O499" s="160"/>
      <c r="P499" s="145"/>
      <c r="Q499" s="145"/>
      <c r="R499" s="169"/>
    </row>
    <row r="500" spans="1:18" ht="35.25" customHeight="1">
      <c r="A500" s="15">
        <f t="shared" si="7"/>
        <v>490</v>
      </c>
      <c r="B500" s="142" t="s">
        <v>664</v>
      </c>
      <c r="C500" s="150" t="s">
        <v>578</v>
      </c>
      <c r="D500" s="156"/>
      <c r="E500" s="156"/>
      <c r="F500" s="156"/>
      <c r="G500" s="143"/>
      <c r="H500" s="141"/>
      <c r="I500" s="153" t="s">
        <v>566</v>
      </c>
      <c r="J500" s="153">
        <v>1</v>
      </c>
      <c r="K500" s="144" t="s">
        <v>730</v>
      </c>
      <c r="L500" s="142" t="s">
        <v>567</v>
      </c>
      <c r="M500" s="276" t="s">
        <v>3284</v>
      </c>
      <c r="N500" s="149" t="s">
        <v>656</v>
      </c>
      <c r="O500" s="149"/>
      <c r="P500" s="145"/>
      <c r="Q500" s="145"/>
      <c r="R500" s="150"/>
    </row>
    <row r="501" spans="1:18" ht="35.25" customHeight="1">
      <c r="A501" s="15">
        <f t="shared" si="7"/>
        <v>491</v>
      </c>
      <c r="B501" s="142" t="s">
        <v>665</v>
      </c>
      <c r="C501" s="150" t="s">
        <v>580</v>
      </c>
      <c r="D501" s="156"/>
      <c r="E501" s="156"/>
      <c r="F501" s="156"/>
      <c r="G501" s="143"/>
      <c r="H501" s="141"/>
      <c r="I501" s="153" t="s">
        <v>566</v>
      </c>
      <c r="J501" s="153">
        <v>1</v>
      </c>
      <c r="K501" s="144" t="s">
        <v>730</v>
      </c>
      <c r="L501" s="142" t="s">
        <v>567</v>
      </c>
      <c r="M501" s="276" t="s">
        <v>3284</v>
      </c>
      <c r="N501" s="149" t="s">
        <v>656</v>
      </c>
      <c r="O501" s="149"/>
      <c r="P501" s="145"/>
      <c r="Q501" s="145"/>
      <c r="R501" s="150"/>
    </row>
    <row r="502" spans="1:18" ht="35.25" customHeight="1">
      <c r="A502" s="15">
        <f t="shared" si="7"/>
        <v>492</v>
      </c>
      <c r="B502" s="142" t="s">
        <v>666</v>
      </c>
      <c r="C502" s="150" t="s">
        <v>582</v>
      </c>
      <c r="D502" s="156"/>
      <c r="E502" s="156"/>
      <c r="F502" s="156"/>
      <c r="G502" s="143"/>
      <c r="H502" s="141"/>
      <c r="I502" s="153" t="s">
        <v>566</v>
      </c>
      <c r="J502" s="153">
        <v>1</v>
      </c>
      <c r="K502" s="144" t="s">
        <v>730</v>
      </c>
      <c r="L502" s="142" t="s">
        <v>567</v>
      </c>
      <c r="M502" s="276" t="s">
        <v>3284</v>
      </c>
      <c r="N502" s="149" t="s">
        <v>656</v>
      </c>
      <c r="O502" s="149"/>
      <c r="P502" s="145"/>
      <c r="Q502" s="145"/>
      <c r="R502" s="150"/>
    </row>
    <row r="503" spans="1:18" ht="35.25" customHeight="1">
      <c r="A503" s="15">
        <f t="shared" si="7"/>
        <v>493</v>
      </c>
      <c r="B503" s="142" t="s">
        <v>667</v>
      </c>
      <c r="C503" s="150" t="s">
        <v>601</v>
      </c>
      <c r="D503" s="156"/>
      <c r="E503" s="156"/>
      <c r="F503" s="156"/>
      <c r="G503" s="143"/>
      <c r="H503" s="141"/>
      <c r="I503" s="153" t="s">
        <v>566</v>
      </c>
      <c r="J503" s="153">
        <v>1</v>
      </c>
      <c r="K503" s="144" t="s">
        <v>730</v>
      </c>
      <c r="L503" s="142" t="s">
        <v>567</v>
      </c>
      <c r="M503" s="276" t="s">
        <v>3284</v>
      </c>
      <c r="N503" s="149" t="s">
        <v>656</v>
      </c>
      <c r="O503" s="149"/>
      <c r="P503" s="145"/>
      <c r="Q503" s="145"/>
      <c r="R503" s="150"/>
    </row>
    <row r="504" spans="1:18" ht="35.25" customHeight="1">
      <c r="A504" s="15">
        <f t="shared" si="7"/>
        <v>494</v>
      </c>
      <c r="B504" s="142" t="s">
        <v>668</v>
      </c>
      <c r="C504" s="150" t="s">
        <v>605</v>
      </c>
      <c r="D504" s="156"/>
      <c r="E504" s="156"/>
      <c r="F504" s="156"/>
      <c r="G504" s="143"/>
      <c r="H504" s="141"/>
      <c r="I504" s="153" t="s">
        <v>566</v>
      </c>
      <c r="J504" s="153">
        <v>1</v>
      </c>
      <c r="K504" s="144" t="s">
        <v>730</v>
      </c>
      <c r="L504" s="142" t="s">
        <v>567</v>
      </c>
      <c r="M504" s="276" t="s">
        <v>3284</v>
      </c>
      <c r="N504" s="149" t="s">
        <v>656</v>
      </c>
      <c r="O504" s="149"/>
      <c r="P504" s="145"/>
      <c r="Q504" s="145"/>
      <c r="R504" s="150"/>
    </row>
    <row r="505" spans="1:18" ht="35.25" customHeight="1">
      <c r="A505" s="15">
        <f t="shared" si="7"/>
        <v>495</v>
      </c>
      <c r="B505" s="142" t="s">
        <v>669</v>
      </c>
      <c r="C505" s="150" t="s">
        <v>670</v>
      </c>
      <c r="D505" s="156"/>
      <c r="E505" s="156"/>
      <c r="F505" s="156"/>
      <c r="G505" s="143"/>
      <c r="H505" s="141"/>
      <c r="I505" s="144" t="s">
        <v>18</v>
      </c>
      <c r="J505" s="153">
        <v>1</v>
      </c>
      <c r="K505" s="144" t="s">
        <v>730</v>
      </c>
      <c r="L505" s="142" t="s">
        <v>567</v>
      </c>
      <c r="M505" s="276" t="s">
        <v>3271</v>
      </c>
      <c r="N505" s="149" t="s">
        <v>646</v>
      </c>
      <c r="O505" s="149"/>
      <c r="P505" s="145"/>
      <c r="Q505" s="145"/>
      <c r="R505" s="149" t="s">
        <v>272</v>
      </c>
    </row>
    <row r="506" spans="1:18" ht="35.25" customHeight="1">
      <c r="A506" s="15">
        <f t="shared" si="7"/>
        <v>496</v>
      </c>
      <c r="B506" s="142" t="s">
        <v>712</v>
      </c>
      <c r="C506" s="150" t="s">
        <v>713</v>
      </c>
      <c r="D506" s="156"/>
      <c r="E506" s="156"/>
      <c r="F506" s="156"/>
      <c r="G506" s="143"/>
      <c r="H506" s="141"/>
      <c r="I506" s="144" t="s">
        <v>18</v>
      </c>
      <c r="J506" s="153">
        <v>5</v>
      </c>
      <c r="K506" s="144" t="s">
        <v>730</v>
      </c>
      <c r="L506" s="142" t="s">
        <v>567</v>
      </c>
      <c r="M506" s="276" t="s">
        <v>3271</v>
      </c>
      <c r="N506" s="149" t="s">
        <v>646</v>
      </c>
      <c r="O506" s="149"/>
      <c r="P506" s="145"/>
      <c r="Q506" s="145"/>
      <c r="R506" s="149" t="s">
        <v>272</v>
      </c>
    </row>
    <row r="507" spans="1:18" ht="35.25" customHeight="1">
      <c r="A507" s="15">
        <f t="shared" si="7"/>
        <v>497</v>
      </c>
      <c r="B507" s="142" t="s">
        <v>671</v>
      </c>
      <c r="C507" s="150" t="s">
        <v>672</v>
      </c>
      <c r="D507" s="156"/>
      <c r="E507" s="156"/>
      <c r="F507" s="156"/>
      <c r="G507" s="143"/>
      <c r="H507" s="141"/>
      <c r="I507" s="153" t="s">
        <v>673</v>
      </c>
      <c r="J507" s="153">
        <v>1</v>
      </c>
      <c r="K507" s="144" t="s">
        <v>730</v>
      </c>
      <c r="L507" s="142" t="s">
        <v>567</v>
      </c>
      <c r="M507" s="276" t="s">
        <v>3271</v>
      </c>
      <c r="N507" s="149" t="s">
        <v>646</v>
      </c>
      <c r="O507" s="149"/>
      <c r="P507" s="145"/>
      <c r="Q507" s="145"/>
      <c r="R507" s="149" t="s">
        <v>272</v>
      </c>
    </row>
    <row r="508" spans="1:18" ht="35.25" customHeight="1">
      <c r="A508" s="15">
        <f t="shared" si="7"/>
        <v>498</v>
      </c>
      <c r="B508" s="142" t="s">
        <v>674</v>
      </c>
      <c r="C508" s="150" t="s">
        <v>675</v>
      </c>
      <c r="D508" s="156"/>
      <c r="E508" s="156"/>
      <c r="F508" s="156"/>
      <c r="G508" s="143"/>
      <c r="H508" s="141"/>
      <c r="I508" s="153" t="s">
        <v>624</v>
      </c>
      <c r="J508" s="153">
        <v>1</v>
      </c>
      <c r="K508" s="144" t="s">
        <v>730</v>
      </c>
      <c r="L508" s="142" t="s">
        <v>567</v>
      </c>
      <c r="M508" s="276" t="s">
        <v>3271</v>
      </c>
      <c r="N508" s="149" t="s">
        <v>646</v>
      </c>
      <c r="O508" s="149"/>
      <c r="P508" s="145"/>
      <c r="Q508" s="145"/>
      <c r="R508" s="149" t="s">
        <v>272</v>
      </c>
    </row>
    <row r="509" spans="1:18" ht="35.25" customHeight="1">
      <c r="A509" s="15">
        <f t="shared" si="7"/>
        <v>499</v>
      </c>
      <c r="B509" s="142" t="s">
        <v>676</v>
      </c>
      <c r="C509" s="150" t="s">
        <v>675</v>
      </c>
      <c r="D509" s="156"/>
      <c r="E509" s="156"/>
      <c r="F509" s="156"/>
      <c r="G509" s="143"/>
      <c r="H509" s="141"/>
      <c r="I509" s="153" t="s">
        <v>624</v>
      </c>
      <c r="J509" s="153">
        <v>1</v>
      </c>
      <c r="K509" s="144" t="s">
        <v>730</v>
      </c>
      <c r="L509" s="142" t="s">
        <v>567</v>
      </c>
      <c r="M509" s="276" t="s">
        <v>3271</v>
      </c>
      <c r="N509" s="149" t="s">
        <v>646</v>
      </c>
      <c r="O509" s="149"/>
      <c r="P509" s="145"/>
      <c r="Q509" s="145"/>
      <c r="R509" s="149" t="s">
        <v>272</v>
      </c>
    </row>
    <row r="510" spans="1:18" ht="35.25" customHeight="1">
      <c r="A510" s="15">
        <f t="shared" si="7"/>
        <v>500</v>
      </c>
      <c r="B510" s="142" t="s">
        <v>677</v>
      </c>
      <c r="C510" s="150" t="s">
        <v>675</v>
      </c>
      <c r="D510" s="156"/>
      <c r="E510" s="156"/>
      <c r="F510" s="156"/>
      <c r="G510" s="143"/>
      <c r="H510" s="141"/>
      <c r="I510" s="153" t="s">
        <v>624</v>
      </c>
      <c r="J510" s="153">
        <v>1</v>
      </c>
      <c r="K510" s="144" t="s">
        <v>730</v>
      </c>
      <c r="L510" s="142" t="s">
        <v>567</v>
      </c>
      <c r="M510" s="276" t="s">
        <v>3271</v>
      </c>
      <c r="N510" s="149" t="s">
        <v>646</v>
      </c>
      <c r="O510" s="149"/>
      <c r="P510" s="145"/>
      <c r="Q510" s="145"/>
      <c r="R510" s="149" t="s">
        <v>272</v>
      </c>
    </row>
    <row r="511" spans="1:18" ht="35.25" customHeight="1">
      <c r="A511" s="15">
        <f t="shared" si="7"/>
        <v>501</v>
      </c>
      <c r="B511" s="142" t="s">
        <v>678</v>
      </c>
      <c r="C511" s="150" t="s">
        <v>679</v>
      </c>
      <c r="D511" s="156"/>
      <c r="E511" s="156"/>
      <c r="F511" s="156"/>
      <c r="G511" s="143"/>
      <c r="H511" s="141"/>
      <c r="I511" s="153" t="s">
        <v>624</v>
      </c>
      <c r="J511" s="153">
        <v>1</v>
      </c>
      <c r="K511" s="144" t="s">
        <v>730</v>
      </c>
      <c r="L511" s="142" t="s">
        <v>567</v>
      </c>
      <c r="M511" s="19"/>
      <c r="N511" s="149" t="s">
        <v>680</v>
      </c>
      <c r="O511" s="149"/>
      <c r="P511" s="145"/>
      <c r="Q511" s="145"/>
      <c r="R511" s="150"/>
    </row>
    <row r="512" spans="1:18" ht="35.25" customHeight="1">
      <c r="A512" s="15">
        <f t="shared" si="7"/>
        <v>502</v>
      </c>
      <c r="B512" s="142" t="s">
        <v>681</v>
      </c>
      <c r="C512" s="150" t="s">
        <v>582</v>
      </c>
      <c r="D512" s="156"/>
      <c r="E512" s="156"/>
      <c r="F512" s="156"/>
      <c r="G512" s="143"/>
      <c r="H512" s="141"/>
      <c r="I512" s="153" t="s">
        <v>624</v>
      </c>
      <c r="J512" s="153">
        <v>1</v>
      </c>
      <c r="K512" s="144" t="s">
        <v>730</v>
      </c>
      <c r="L512" s="142" t="s">
        <v>567</v>
      </c>
      <c r="M512" s="19"/>
      <c r="N512" s="149" t="s">
        <v>680</v>
      </c>
      <c r="O512" s="149"/>
      <c r="P512" s="145"/>
      <c r="Q512" s="145"/>
      <c r="R512" s="150"/>
    </row>
    <row r="513" spans="1:18" ht="35.25" customHeight="1">
      <c r="A513" s="15">
        <f t="shared" si="7"/>
        <v>503</v>
      </c>
      <c r="B513" s="142" t="s">
        <v>1000</v>
      </c>
      <c r="C513" s="150" t="s">
        <v>582</v>
      </c>
      <c r="D513" s="156"/>
      <c r="E513" s="156"/>
      <c r="F513" s="156"/>
      <c r="G513" s="143"/>
      <c r="H513" s="141"/>
      <c r="I513" s="153" t="s">
        <v>624</v>
      </c>
      <c r="J513" s="153">
        <v>1</v>
      </c>
      <c r="K513" s="144" t="s">
        <v>730</v>
      </c>
      <c r="L513" s="142" t="s">
        <v>567</v>
      </c>
      <c r="M513" s="19"/>
      <c r="N513" s="149" t="s">
        <v>2532</v>
      </c>
      <c r="O513" s="194">
        <v>44977</v>
      </c>
      <c r="P513" s="145"/>
      <c r="Q513" s="145"/>
      <c r="R513" s="150"/>
    </row>
    <row r="514" spans="1:18" ht="35.25" customHeight="1">
      <c r="A514" s="15">
        <f t="shared" si="7"/>
        <v>504</v>
      </c>
      <c r="B514" s="142" t="s">
        <v>1001</v>
      </c>
      <c r="C514" s="150" t="s">
        <v>1002</v>
      </c>
      <c r="D514" s="19"/>
      <c r="E514" s="19"/>
      <c r="F514" s="19"/>
      <c r="G514" s="143"/>
      <c r="H514" s="141"/>
      <c r="I514" s="153" t="s">
        <v>181</v>
      </c>
      <c r="J514" s="153">
        <v>1</v>
      </c>
      <c r="K514" s="144" t="s">
        <v>730</v>
      </c>
      <c r="L514" s="142" t="s">
        <v>567</v>
      </c>
      <c r="M514" s="19"/>
      <c r="N514" s="149" t="s">
        <v>2532</v>
      </c>
      <c r="O514" s="194">
        <v>44981</v>
      </c>
      <c r="P514" s="43"/>
      <c r="Q514" s="43"/>
      <c r="R514" s="150"/>
    </row>
    <row r="515" spans="1:18" ht="35.25" customHeight="1">
      <c r="A515" s="15">
        <f t="shared" si="7"/>
        <v>505</v>
      </c>
      <c r="B515" s="142" t="s">
        <v>1003</v>
      </c>
      <c r="C515" s="150" t="s">
        <v>564</v>
      </c>
      <c r="D515" s="19"/>
      <c r="E515" s="19"/>
      <c r="F515" s="19"/>
      <c r="G515" s="143"/>
      <c r="H515" s="141"/>
      <c r="I515" s="153" t="s">
        <v>18</v>
      </c>
      <c r="J515" s="153">
        <v>1</v>
      </c>
      <c r="K515" s="144" t="s">
        <v>730</v>
      </c>
      <c r="L515" s="142" t="s">
        <v>567</v>
      </c>
      <c r="M515" s="19"/>
      <c r="N515" s="149" t="s">
        <v>2532</v>
      </c>
      <c r="O515" s="194">
        <v>44981</v>
      </c>
      <c r="P515" s="43"/>
      <c r="Q515" s="43"/>
      <c r="R515" s="150"/>
    </row>
    <row r="516" spans="1:18" ht="35.25" customHeight="1">
      <c r="A516" s="15">
        <f t="shared" si="7"/>
        <v>506</v>
      </c>
      <c r="B516" s="142" t="s">
        <v>682</v>
      </c>
      <c r="C516" s="150" t="s">
        <v>679</v>
      </c>
      <c r="D516" s="19"/>
      <c r="E516" s="19"/>
      <c r="F516" s="19"/>
      <c r="G516" s="143"/>
      <c r="H516" s="141"/>
      <c r="I516" s="153" t="s">
        <v>624</v>
      </c>
      <c r="J516" s="153">
        <v>1</v>
      </c>
      <c r="K516" s="144" t="s">
        <v>730</v>
      </c>
      <c r="L516" s="142" t="s">
        <v>567</v>
      </c>
      <c r="M516" s="276" t="s">
        <v>3271</v>
      </c>
      <c r="N516" s="149" t="s">
        <v>646</v>
      </c>
      <c r="O516" s="149"/>
      <c r="P516" s="43"/>
      <c r="Q516" s="43"/>
      <c r="R516" s="149" t="s">
        <v>272</v>
      </c>
    </row>
    <row r="517" spans="1:18" ht="35.25" customHeight="1">
      <c r="A517" s="15">
        <f t="shared" si="7"/>
        <v>507</v>
      </c>
      <c r="B517" s="142" t="s">
        <v>683</v>
      </c>
      <c r="C517" s="150" t="s">
        <v>679</v>
      </c>
      <c r="D517" s="156"/>
      <c r="E517" s="156"/>
      <c r="F517" s="156"/>
      <c r="G517" s="143"/>
      <c r="H517" s="141"/>
      <c r="I517" s="153" t="s">
        <v>624</v>
      </c>
      <c r="J517" s="153">
        <v>1</v>
      </c>
      <c r="K517" s="144" t="s">
        <v>730</v>
      </c>
      <c r="L517" s="142" t="s">
        <v>567</v>
      </c>
      <c r="M517" s="276" t="s">
        <v>3271</v>
      </c>
      <c r="N517" s="149" t="s">
        <v>646</v>
      </c>
      <c r="O517" s="149"/>
      <c r="P517" s="145"/>
      <c r="Q517" s="145"/>
      <c r="R517" s="149" t="s">
        <v>272</v>
      </c>
    </row>
    <row r="518" spans="1:18" ht="35.25" customHeight="1">
      <c r="A518" s="15">
        <f t="shared" si="7"/>
        <v>508</v>
      </c>
      <c r="B518" s="142" t="s">
        <v>684</v>
      </c>
      <c r="C518" s="150" t="s">
        <v>32</v>
      </c>
      <c r="D518" s="156"/>
      <c r="E518" s="156"/>
      <c r="F518" s="156"/>
      <c r="G518" s="143"/>
      <c r="H518" s="141"/>
      <c r="I518" s="153" t="s">
        <v>624</v>
      </c>
      <c r="J518" s="153">
        <v>1</v>
      </c>
      <c r="K518" s="144" t="s">
        <v>730</v>
      </c>
      <c r="L518" s="142" t="s">
        <v>567</v>
      </c>
      <c r="M518" s="19"/>
      <c r="N518" s="149" t="s">
        <v>680</v>
      </c>
      <c r="O518" s="149"/>
      <c r="P518" s="145"/>
      <c r="Q518" s="145"/>
      <c r="R518" s="150"/>
    </row>
    <row r="519" spans="1:18" ht="35.25" customHeight="1">
      <c r="A519" s="15">
        <f t="shared" si="7"/>
        <v>509</v>
      </c>
      <c r="B519" s="142" t="s">
        <v>1004</v>
      </c>
      <c r="C519" s="150" t="s">
        <v>723</v>
      </c>
      <c r="D519" s="156"/>
      <c r="E519" s="156"/>
      <c r="F519" s="156"/>
      <c r="G519" s="143"/>
      <c r="H519" s="141"/>
      <c r="I519" s="153" t="s">
        <v>624</v>
      </c>
      <c r="J519" s="153">
        <v>1</v>
      </c>
      <c r="K519" s="144" t="s">
        <v>730</v>
      </c>
      <c r="L519" s="142" t="s">
        <v>567</v>
      </c>
      <c r="M519" s="276" t="s">
        <v>3271</v>
      </c>
      <c r="N519" s="149" t="s">
        <v>646</v>
      </c>
      <c r="O519" s="149"/>
      <c r="P519" s="145"/>
      <c r="Q519" s="145"/>
      <c r="R519" s="150"/>
    </row>
    <row r="520" spans="1:18" ht="35.25" customHeight="1">
      <c r="A520" s="15">
        <f t="shared" si="7"/>
        <v>510</v>
      </c>
      <c r="B520" s="142" t="s">
        <v>1005</v>
      </c>
      <c r="C520" s="150" t="s">
        <v>723</v>
      </c>
      <c r="D520" s="156"/>
      <c r="E520" s="156"/>
      <c r="F520" s="156"/>
      <c r="G520" s="143"/>
      <c r="H520" s="141"/>
      <c r="I520" s="153" t="s">
        <v>624</v>
      </c>
      <c r="J520" s="153">
        <v>1</v>
      </c>
      <c r="K520" s="144" t="s">
        <v>730</v>
      </c>
      <c r="L520" s="142" t="s">
        <v>567</v>
      </c>
      <c r="M520" s="276" t="s">
        <v>3271</v>
      </c>
      <c r="N520" s="149" t="s">
        <v>646</v>
      </c>
      <c r="O520" s="149"/>
      <c r="P520" s="145"/>
      <c r="Q520" s="145"/>
      <c r="R520" s="150"/>
    </row>
    <row r="521" spans="1:18" ht="35.25" customHeight="1">
      <c r="A521" s="15">
        <f t="shared" si="7"/>
        <v>511</v>
      </c>
      <c r="B521" s="142" t="s">
        <v>411</v>
      </c>
      <c r="C521" s="150" t="s">
        <v>723</v>
      </c>
      <c r="D521" s="156"/>
      <c r="E521" s="156"/>
      <c r="F521" s="156"/>
      <c r="G521" s="143"/>
      <c r="H521" s="141"/>
      <c r="I521" s="153" t="s">
        <v>624</v>
      </c>
      <c r="J521" s="153">
        <v>1</v>
      </c>
      <c r="K521" s="144" t="s">
        <v>730</v>
      </c>
      <c r="L521" s="142" t="s">
        <v>567</v>
      </c>
      <c r="M521" s="276" t="s">
        <v>3271</v>
      </c>
      <c r="N521" s="149" t="s">
        <v>646</v>
      </c>
      <c r="O521" s="149"/>
      <c r="P521" s="145"/>
      <c r="Q521" s="145"/>
      <c r="R521" s="150"/>
    </row>
    <row r="522" spans="1:18" ht="35.25" customHeight="1">
      <c r="A522" s="15">
        <f t="shared" si="7"/>
        <v>512</v>
      </c>
      <c r="B522" s="142" t="s">
        <v>549</v>
      </c>
      <c r="C522" s="150" t="s">
        <v>723</v>
      </c>
      <c r="D522" s="156"/>
      <c r="E522" s="156"/>
      <c r="F522" s="156"/>
      <c r="G522" s="143"/>
      <c r="H522" s="141"/>
      <c r="I522" s="153" t="s">
        <v>624</v>
      </c>
      <c r="J522" s="153">
        <v>1</v>
      </c>
      <c r="K522" s="144" t="s">
        <v>730</v>
      </c>
      <c r="L522" s="142" t="s">
        <v>567</v>
      </c>
      <c r="M522" s="276" t="s">
        <v>3271</v>
      </c>
      <c r="N522" s="149" t="s">
        <v>646</v>
      </c>
      <c r="O522" s="149"/>
      <c r="P522" s="145"/>
      <c r="Q522" s="145"/>
      <c r="R522" s="150"/>
    </row>
    <row r="523" spans="1:18" ht="35.25" customHeight="1">
      <c r="A523" s="15">
        <f t="shared" si="7"/>
        <v>513</v>
      </c>
      <c r="B523" s="142" t="s">
        <v>552</v>
      </c>
      <c r="C523" s="150" t="s">
        <v>723</v>
      </c>
      <c r="D523" s="156"/>
      <c r="E523" s="156"/>
      <c r="F523" s="156"/>
      <c r="G523" s="143"/>
      <c r="H523" s="141"/>
      <c r="I523" s="153" t="s">
        <v>624</v>
      </c>
      <c r="J523" s="153">
        <v>1</v>
      </c>
      <c r="K523" s="144" t="s">
        <v>730</v>
      </c>
      <c r="L523" s="142" t="s">
        <v>567</v>
      </c>
      <c r="M523" s="276" t="s">
        <v>3271</v>
      </c>
      <c r="N523" s="149" t="s">
        <v>646</v>
      </c>
      <c r="O523" s="149"/>
      <c r="P523" s="145"/>
      <c r="Q523" s="145"/>
      <c r="R523" s="150"/>
    </row>
    <row r="524" spans="1:18" ht="35.25" customHeight="1">
      <c r="A524" s="15">
        <f t="shared" si="7"/>
        <v>514</v>
      </c>
      <c r="B524" s="142" t="s">
        <v>553</v>
      </c>
      <c r="C524" s="150" t="s">
        <v>723</v>
      </c>
      <c r="D524" s="156"/>
      <c r="E524" s="156"/>
      <c r="F524" s="156"/>
      <c r="G524" s="143"/>
      <c r="H524" s="141"/>
      <c r="I524" s="153" t="s">
        <v>624</v>
      </c>
      <c r="J524" s="153">
        <v>1</v>
      </c>
      <c r="K524" s="144" t="s">
        <v>730</v>
      </c>
      <c r="L524" s="142" t="s">
        <v>567</v>
      </c>
      <c r="M524" s="276" t="s">
        <v>3271</v>
      </c>
      <c r="N524" s="149" t="s">
        <v>646</v>
      </c>
      <c r="O524" s="149"/>
      <c r="P524" s="145"/>
      <c r="Q524" s="145"/>
      <c r="R524" s="150"/>
    </row>
    <row r="525" spans="1:18" ht="35.25" customHeight="1">
      <c r="A525" s="15">
        <f t="shared" si="7"/>
        <v>515</v>
      </c>
      <c r="B525" s="142" t="s">
        <v>554</v>
      </c>
      <c r="C525" s="150" t="s">
        <v>723</v>
      </c>
      <c r="D525" s="156"/>
      <c r="E525" s="156"/>
      <c r="F525" s="156"/>
      <c r="G525" s="143"/>
      <c r="H525" s="141"/>
      <c r="I525" s="153" t="s">
        <v>624</v>
      </c>
      <c r="J525" s="153">
        <v>1</v>
      </c>
      <c r="K525" s="144" t="s">
        <v>730</v>
      </c>
      <c r="L525" s="142" t="s">
        <v>567</v>
      </c>
      <c r="M525" s="276" t="s">
        <v>3271</v>
      </c>
      <c r="N525" s="149" t="s">
        <v>646</v>
      </c>
      <c r="O525" s="149"/>
      <c r="P525" s="145"/>
      <c r="Q525" s="145"/>
      <c r="R525" s="150"/>
    </row>
    <row r="526" spans="1:18" ht="35.25" customHeight="1">
      <c r="A526" s="15">
        <f t="shared" si="7"/>
        <v>516</v>
      </c>
      <c r="B526" s="142" t="s">
        <v>555</v>
      </c>
      <c r="C526" s="150" t="s">
        <v>723</v>
      </c>
      <c r="D526" s="156"/>
      <c r="E526" s="156"/>
      <c r="F526" s="156"/>
      <c r="G526" s="143"/>
      <c r="H526" s="141"/>
      <c r="I526" s="153" t="s">
        <v>624</v>
      </c>
      <c r="J526" s="153">
        <v>1</v>
      </c>
      <c r="K526" s="144" t="s">
        <v>730</v>
      </c>
      <c r="L526" s="142" t="s">
        <v>567</v>
      </c>
      <c r="M526" s="276" t="s">
        <v>3271</v>
      </c>
      <c r="N526" s="149" t="s">
        <v>646</v>
      </c>
      <c r="O526" s="149"/>
      <c r="P526" s="145"/>
      <c r="Q526" s="145"/>
      <c r="R526" s="150"/>
    </row>
    <row r="527" spans="1:18" ht="35.25" customHeight="1">
      <c r="A527" s="15">
        <f t="shared" si="7"/>
        <v>517</v>
      </c>
      <c r="B527" s="142" t="s">
        <v>556</v>
      </c>
      <c r="C527" s="150" t="s">
        <v>723</v>
      </c>
      <c r="D527" s="156"/>
      <c r="E527" s="156"/>
      <c r="F527" s="156"/>
      <c r="G527" s="143"/>
      <c r="H527" s="141"/>
      <c r="I527" s="153" t="s">
        <v>624</v>
      </c>
      <c r="J527" s="153">
        <v>1</v>
      </c>
      <c r="K527" s="144" t="s">
        <v>730</v>
      </c>
      <c r="L527" s="142" t="s">
        <v>567</v>
      </c>
      <c r="M527" s="276" t="s">
        <v>3271</v>
      </c>
      <c r="N527" s="149" t="s">
        <v>646</v>
      </c>
      <c r="O527" s="149"/>
      <c r="P527" s="145"/>
      <c r="Q527" s="145"/>
      <c r="R527" s="150"/>
    </row>
    <row r="528" spans="1:18" ht="35.25" customHeight="1">
      <c r="A528" s="15">
        <f t="shared" si="7"/>
        <v>518</v>
      </c>
      <c r="B528" s="142" t="s">
        <v>557</v>
      </c>
      <c r="C528" s="150" t="s">
        <v>723</v>
      </c>
      <c r="D528" s="156"/>
      <c r="E528" s="156"/>
      <c r="F528" s="156"/>
      <c r="G528" s="143"/>
      <c r="H528" s="141"/>
      <c r="I528" s="153" t="s">
        <v>624</v>
      </c>
      <c r="J528" s="153">
        <v>1</v>
      </c>
      <c r="K528" s="144" t="s">
        <v>730</v>
      </c>
      <c r="L528" s="142" t="s">
        <v>567</v>
      </c>
      <c r="M528" s="276" t="s">
        <v>3271</v>
      </c>
      <c r="N528" s="149" t="s">
        <v>646</v>
      </c>
      <c r="O528" s="149"/>
      <c r="P528" s="145"/>
      <c r="Q528" s="145"/>
      <c r="R528" s="150"/>
    </row>
    <row r="529" spans="1:18" ht="35.25" customHeight="1">
      <c r="A529" s="15">
        <f t="shared" si="7"/>
        <v>519</v>
      </c>
      <c r="B529" s="142" t="s">
        <v>1006</v>
      </c>
      <c r="C529" s="150" t="s">
        <v>723</v>
      </c>
      <c r="D529" s="156"/>
      <c r="E529" s="156"/>
      <c r="F529" s="156"/>
      <c r="G529" s="143"/>
      <c r="H529" s="141"/>
      <c r="I529" s="153" t="s">
        <v>624</v>
      </c>
      <c r="J529" s="153">
        <v>1</v>
      </c>
      <c r="K529" s="144" t="s">
        <v>730</v>
      </c>
      <c r="L529" s="142" t="s">
        <v>567</v>
      </c>
      <c r="M529" s="276" t="s">
        <v>3271</v>
      </c>
      <c r="N529" s="149" t="s">
        <v>646</v>
      </c>
      <c r="O529" s="149"/>
      <c r="P529" s="145"/>
      <c r="Q529" s="145"/>
      <c r="R529" s="150"/>
    </row>
    <row r="530" spans="1:18" ht="35.25" customHeight="1">
      <c r="A530" s="15">
        <f t="shared" si="7"/>
        <v>520</v>
      </c>
      <c r="B530" s="142" t="s">
        <v>1007</v>
      </c>
      <c r="C530" s="150" t="s">
        <v>723</v>
      </c>
      <c r="D530" s="156"/>
      <c r="E530" s="156"/>
      <c r="F530" s="156"/>
      <c r="G530" s="143"/>
      <c r="H530" s="141"/>
      <c r="I530" s="153" t="s">
        <v>624</v>
      </c>
      <c r="J530" s="153">
        <v>1</v>
      </c>
      <c r="K530" s="144" t="s">
        <v>730</v>
      </c>
      <c r="L530" s="142" t="s">
        <v>567</v>
      </c>
      <c r="M530" s="276" t="s">
        <v>3271</v>
      </c>
      <c r="N530" s="149" t="s">
        <v>646</v>
      </c>
      <c r="O530" s="149"/>
      <c r="P530" s="145"/>
      <c r="Q530" s="145"/>
      <c r="R530" s="150"/>
    </row>
    <row r="531" spans="1:18" ht="35.25" customHeight="1">
      <c r="A531" s="15">
        <f t="shared" ref="A531:A594" si="8">A530+1</f>
        <v>521</v>
      </c>
      <c r="B531" s="142" t="s">
        <v>1008</v>
      </c>
      <c r="C531" s="150" t="s">
        <v>723</v>
      </c>
      <c r="D531" s="156"/>
      <c r="E531" s="156"/>
      <c r="F531" s="156"/>
      <c r="G531" s="143"/>
      <c r="H531" s="141"/>
      <c r="I531" s="153" t="s">
        <v>624</v>
      </c>
      <c r="J531" s="153">
        <v>1</v>
      </c>
      <c r="K531" s="144" t="s">
        <v>730</v>
      </c>
      <c r="L531" s="142" t="s">
        <v>567</v>
      </c>
      <c r="M531" s="276" t="s">
        <v>3271</v>
      </c>
      <c r="N531" s="149" t="s">
        <v>646</v>
      </c>
      <c r="O531" s="149"/>
      <c r="P531" s="145"/>
      <c r="Q531" s="145"/>
      <c r="R531" s="150"/>
    </row>
    <row r="532" spans="1:18" ht="35.25" customHeight="1">
      <c r="A532" s="15">
        <f t="shared" si="8"/>
        <v>522</v>
      </c>
      <c r="B532" s="142" t="s">
        <v>1009</v>
      </c>
      <c r="C532" s="150" t="s">
        <v>723</v>
      </c>
      <c r="D532" s="156"/>
      <c r="E532" s="156"/>
      <c r="F532" s="156"/>
      <c r="G532" s="143"/>
      <c r="H532" s="141"/>
      <c r="I532" s="153" t="s">
        <v>624</v>
      </c>
      <c r="J532" s="153">
        <v>1</v>
      </c>
      <c r="K532" s="144" t="s">
        <v>730</v>
      </c>
      <c r="L532" s="142" t="s">
        <v>567</v>
      </c>
      <c r="M532" s="276" t="s">
        <v>3271</v>
      </c>
      <c r="N532" s="149" t="s">
        <v>646</v>
      </c>
      <c r="O532" s="149"/>
      <c r="P532" s="145"/>
      <c r="Q532" s="145"/>
      <c r="R532" s="150"/>
    </row>
    <row r="533" spans="1:18" ht="35.25" customHeight="1">
      <c r="A533" s="15">
        <f t="shared" si="8"/>
        <v>523</v>
      </c>
      <c r="B533" s="142" t="s">
        <v>1010</v>
      </c>
      <c r="C533" s="150" t="s">
        <v>723</v>
      </c>
      <c r="D533" s="19"/>
      <c r="E533" s="19"/>
      <c r="F533" s="19"/>
      <c r="G533" s="143"/>
      <c r="H533" s="141"/>
      <c r="I533" s="153" t="s">
        <v>624</v>
      </c>
      <c r="J533" s="153">
        <v>1</v>
      </c>
      <c r="K533" s="144" t="s">
        <v>730</v>
      </c>
      <c r="L533" s="142" t="s">
        <v>567</v>
      </c>
      <c r="M533" s="276" t="s">
        <v>3271</v>
      </c>
      <c r="N533" s="149" t="s">
        <v>646</v>
      </c>
      <c r="O533" s="149"/>
      <c r="P533" s="43"/>
      <c r="Q533" s="43"/>
      <c r="R533" s="150"/>
    </row>
    <row r="534" spans="1:18" ht="35.25" customHeight="1">
      <c r="A534" s="15">
        <f t="shared" si="8"/>
        <v>524</v>
      </c>
      <c r="B534" s="142" t="s">
        <v>1011</v>
      </c>
      <c r="C534" s="150" t="s">
        <v>723</v>
      </c>
      <c r="D534" s="19"/>
      <c r="E534" s="19"/>
      <c r="F534" s="19"/>
      <c r="G534" s="143"/>
      <c r="H534" s="141"/>
      <c r="I534" s="153" t="s">
        <v>624</v>
      </c>
      <c r="J534" s="153">
        <v>1</v>
      </c>
      <c r="K534" s="144" t="s">
        <v>730</v>
      </c>
      <c r="L534" s="142" t="s">
        <v>567</v>
      </c>
      <c r="M534" s="276" t="s">
        <v>3271</v>
      </c>
      <c r="N534" s="149" t="s">
        <v>646</v>
      </c>
      <c r="O534" s="149"/>
      <c r="P534" s="43"/>
      <c r="Q534" s="43"/>
      <c r="R534" s="150"/>
    </row>
    <row r="535" spans="1:18" ht="35.25" customHeight="1">
      <c r="A535" s="15">
        <f t="shared" si="8"/>
        <v>525</v>
      </c>
      <c r="B535" s="142" t="s">
        <v>1012</v>
      </c>
      <c r="C535" s="150" t="s">
        <v>723</v>
      </c>
      <c r="D535" s="19"/>
      <c r="E535" s="19"/>
      <c r="F535" s="19"/>
      <c r="G535" s="143"/>
      <c r="H535" s="141"/>
      <c r="I535" s="153" t="s">
        <v>624</v>
      </c>
      <c r="J535" s="153">
        <v>1</v>
      </c>
      <c r="K535" s="144" t="s">
        <v>730</v>
      </c>
      <c r="L535" s="142" t="s">
        <v>567</v>
      </c>
      <c r="M535" s="276" t="s">
        <v>3271</v>
      </c>
      <c r="N535" s="149" t="s">
        <v>646</v>
      </c>
      <c r="O535" s="149"/>
      <c r="P535" s="43"/>
      <c r="Q535" s="43"/>
      <c r="R535" s="150"/>
    </row>
    <row r="536" spans="1:18" ht="35.25" customHeight="1">
      <c r="A536" s="15">
        <f t="shared" si="8"/>
        <v>526</v>
      </c>
      <c r="B536" s="142" t="s">
        <v>1013</v>
      </c>
      <c r="C536" s="150" t="s">
        <v>723</v>
      </c>
      <c r="D536" s="156"/>
      <c r="E536" s="156"/>
      <c r="F536" s="156"/>
      <c r="G536" s="143"/>
      <c r="H536" s="141"/>
      <c r="I536" s="153" t="s">
        <v>624</v>
      </c>
      <c r="J536" s="153">
        <v>1</v>
      </c>
      <c r="K536" s="144" t="s">
        <v>730</v>
      </c>
      <c r="L536" s="142" t="s">
        <v>567</v>
      </c>
      <c r="M536" s="276" t="s">
        <v>3271</v>
      </c>
      <c r="N536" s="149" t="s">
        <v>646</v>
      </c>
      <c r="O536" s="149"/>
      <c r="P536" s="145"/>
      <c r="Q536" s="145"/>
      <c r="R536" s="150"/>
    </row>
    <row r="537" spans="1:18" ht="35.25" customHeight="1">
      <c r="A537" s="15">
        <f t="shared" si="8"/>
        <v>527</v>
      </c>
      <c r="B537" s="142" t="s">
        <v>1014</v>
      </c>
      <c r="C537" s="150" t="s">
        <v>723</v>
      </c>
      <c r="D537" s="156"/>
      <c r="E537" s="156"/>
      <c r="F537" s="156"/>
      <c r="G537" s="143"/>
      <c r="H537" s="141"/>
      <c r="I537" s="153" t="s">
        <v>624</v>
      </c>
      <c r="J537" s="153">
        <v>1</v>
      </c>
      <c r="K537" s="144" t="s">
        <v>730</v>
      </c>
      <c r="L537" s="142" t="s">
        <v>567</v>
      </c>
      <c r="M537" s="276" t="s">
        <v>3271</v>
      </c>
      <c r="N537" s="149" t="s">
        <v>646</v>
      </c>
      <c r="O537" s="149"/>
      <c r="P537" s="145"/>
      <c r="Q537" s="145"/>
      <c r="R537" s="150"/>
    </row>
    <row r="538" spans="1:18" ht="35.25" customHeight="1">
      <c r="A538" s="15">
        <f t="shared" si="8"/>
        <v>528</v>
      </c>
      <c r="B538" s="142" t="s">
        <v>1015</v>
      </c>
      <c r="C538" s="150" t="s">
        <v>723</v>
      </c>
      <c r="D538" s="156"/>
      <c r="E538" s="156"/>
      <c r="F538" s="156"/>
      <c r="G538" s="143"/>
      <c r="H538" s="141"/>
      <c r="I538" s="153" t="s">
        <v>624</v>
      </c>
      <c r="J538" s="153">
        <v>1</v>
      </c>
      <c r="K538" s="144" t="s">
        <v>730</v>
      </c>
      <c r="L538" s="142" t="s">
        <v>567</v>
      </c>
      <c r="M538" s="276" t="s">
        <v>3271</v>
      </c>
      <c r="N538" s="149" t="s">
        <v>646</v>
      </c>
      <c r="O538" s="149"/>
      <c r="P538" s="145"/>
      <c r="Q538" s="145"/>
      <c r="R538" s="150"/>
    </row>
    <row r="539" spans="1:18" ht="35.25" customHeight="1">
      <c r="A539" s="15">
        <f t="shared" si="8"/>
        <v>529</v>
      </c>
      <c r="B539" s="142" t="s">
        <v>1016</v>
      </c>
      <c r="C539" s="150" t="s">
        <v>723</v>
      </c>
      <c r="D539" s="156"/>
      <c r="E539" s="156"/>
      <c r="F539" s="156"/>
      <c r="G539" s="143"/>
      <c r="H539" s="141"/>
      <c r="I539" s="153" t="s">
        <v>624</v>
      </c>
      <c r="J539" s="153">
        <v>1</v>
      </c>
      <c r="K539" s="144" t="s">
        <v>730</v>
      </c>
      <c r="L539" s="142" t="s">
        <v>567</v>
      </c>
      <c r="M539" s="276" t="s">
        <v>3271</v>
      </c>
      <c r="N539" s="149" t="s">
        <v>646</v>
      </c>
      <c r="O539" s="149"/>
      <c r="P539" s="145"/>
      <c r="Q539" s="145"/>
      <c r="R539" s="150"/>
    </row>
    <row r="540" spans="1:18" ht="35.25" customHeight="1">
      <c r="A540" s="15">
        <f t="shared" si="8"/>
        <v>530</v>
      </c>
      <c r="B540" s="142" t="s">
        <v>1017</v>
      </c>
      <c r="C540" s="150" t="s">
        <v>723</v>
      </c>
      <c r="D540" s="156"/>
      <c r="E540" s="156"/>
      <c r="F540" s="156"/>
      <c r="G540" s="143"/>
      <c r="H540" s="141"/>
      <c r="I540" s="153" t="s">
        <v>624</v>
      </c>
      <c r="J540" s="153">
        <v>1</v>
      </c>
      <c r="K540" s="144" t="s">
        <v>730</v>
      </c>
      <c r="L540" s="142" t="s">
        <v>567</v>
      </c>
      <c r="M540" s="276" t="s">
        <v>3271</v>
      </c>
      <c r="N540" s="149" t="s">
        <v>646</v>
      </c>
      <c r="O540" s="149"/>
      <c r="P540" s="145"/>
      <c r="Q540" s="145"/>
      <c r="R540" s="150"/>
    </row>
    <row r="541" spans="1:18" ht="35.25" customHeight="1">
      <c r="A541" s="15">
        <f t="shared" si="8"/>
        <v>531</v>
      </c>
      <c r="B541" s="142" t="s">
        <v>1018</v>
      </c>
      <c r="C541" s="150" t="s">
        <v>723</v>
      </c>
      <c r="D541" s="156"/>
      <c r="E541" s="156"/>
      <c r="F541" s="156"/>
      <c r="G541" s="143"/>
      <c r="H541" s="141"/>
      <c r="I541" s="153" t="s">
        <v>624</v>
      </c>
      <c r="J541" s="153">
        <v>1</v>
      </c>
      <c r="K541" s="144" t="s">
        <v>730</v>
      </c>
      <c r="L541" s="142" t="s">
        <v>567</v>
      </c>
      <c r="M541" s="276" t="s">
        <v>3271</v>
      </c>
      <c r="N541" s="149" t="s">
        <v>646</v>
      </c>
      <c r="O541" s="149"/>
      <c r="P541" s="145"/>
      <c r="Q541" s="145"/>
      <c r="R541" s="150"/>
    </row>
    <row r="542" spans="1:18" ht="35.25" customHeight="1">
      <c r="A542" s="15">
        <f t="shared" si="8"/>
        <v>532</v>
      </c>
      <c r="B542" s="142" t="s">
        <v>1019</v>
      </c>
      <c r="C542" s="150" t="s">
        <v>723</v>
      </c>
      <c r="D542" s="156"/>
      <c r="E542" s="156"/>
      <c r="F542" s="156"/>
      <c r="G542" s="143"/>
      <c r="H542" s="141"/>
      <c r="I542" s="153" t="s">
        <v>624</v>
      </c>
      <c r="J542" s="153">
        <v>1</v>
      </c>
      <c r="K542" s="144" t="s">
        <v>730</v>
      </c>
      <c r="L542" s="142" t="s">
        <v>567</v>
      </c>
      <c r="M542" s="276" t="s">
        <v>3271</v>
      </c>
      <c r="N542" s="149" t="s">
        <v>646</v>
      </c>
      <c r="O542" s="149"/>
      <c r="P542" s="145"/>
      <c r="Q542" s="145"/>
      <c r="R542" s="150"/>
    </row>
    <row r="543" spans="1:18" ht="35.25" customHeight="1">
      <c r="A543" s="15">
        <f t="shared" si="8"/>
        <v>533</v>
      </c>
      <c r="B543" s="142" t="s">
        <v>1020</v>
      </c>
      <c r="C543" s="150" t="s">
        <v>723</v>
      </c>
      <c r="D543" s="156"/>
      <c r="E543" s="156"/>
      <c r="F543" s="156"/>
      <c r="G543" s="143"/>
      <c r="H543" s="141"/>
      <c r="I543" s="153" t="s">
        <v>624</v>
      </c>
      <c r="J543" s="153">
        <v>1</v>
      </c>
      <c r="K543" s="144" t="s">
        <v>730</v>
      </c>
      <c r="L543" s="142" t="s">
        <v>567</v>
      </c>
      <c r="M543" s="276" t="s">
        <v>3271</v>
      </c>
      <c r="N543" s="149" t="s">
        <v>646</v>
      </c>
      <c r="O543" s="149"/>
      <c r="P543" s="145"/>
      <c r="Q543" s="145"/>
      <c r="R543" s="150"/>
    </row>
    <row r="544" spans="1:18" ht="35.25" customHeight="1">
      <c r="A544" s="15">
        <f t="shared" si="8"/>
        <v>534</v>
      </c>
      <c r="B544" s="142" t="s">
        <v>1021</v>
      </c>
      <c r="C544" s="150" t="s">
        <v>723</v>
      </c>
      <c r="D544" s="169"/>
      <c r="E544" s="169"/>
      <c r="F544" s="169"/>
      <c r="G544" s="143"/>
      <c r="H544" s="141"/>
      <c r="I544" s="153" t="s">
        <v>624</v>
      </c>
      <c r="J544" s="153">
        <v>1</v>
      </c>
      <c r="K544" s="144" t="s">
        <v>730</v>
      </c>
      <c r="L544" s="142" t="s">
        <v>567</v>
      </c>
      <c r="M544" s="276" t="s">
        <v>3271</v>
      </c>
      <c r="N544" s="149" t="s">
        <v>646</v>
      </c>
      <c r="O544" s="149"/>
      <c r="P544" s="145"/>
      <c r="Q544" s="145"/>
      <c r="R544" s="150"/>
    </row>
    <row r="545" spans="1:39" ht="35.25" customHeight="1">
      <c r="A545" s="15">
        <f t="shared" si="8"/>
        <v>535</v>
      </c>
      <c r="B545" s="142" t="s">
        <v>1022</v>
      </c>
      <c r="C545" s="150" t="s">
        <v>723</v>
      </c>
      <c r="D545" s="156"/>
      <c r="E545" s="156"/>
      <c r="F545" s="156"/>
      <c r="G545" s="143"/>
      <c r="H545" s="141"/>
      <c r="I545" s="153" t="s">
        <v>624</v>
      </c>
      <c r="J545" s="153">
        <v>1</v>
      </c>
      <c r="K545" s="144" t="s">
        <v>730</v>
      </c>
      <c r="L545" s="142" t="s">
        <v>567</v>
      </c>
      <c r="M545" s="276" t="s">
        <v>3271</v>
      </c>
      <c r="N545" s="149" t="s">
        <v>646</v>
      </c>
      <c r="O545" s="149"/>
      <c r="P545" s="145"/>
      <c r="Q545" s="145"/>
      <c r="R545" s="150"/>
    </row>
    <row r="546" spans="1:39" ht="35.25" customHeight="1">
      <c r="A546" s="15">
        <f t="shared" si="8"/>
        <v>536</v>
      </c>
      <c r="B546" s="142" t="s">
        <v>1023</v>
      </c>
      <c r="C546" s="150" t="s">
        <v>723</v>
      </c>
      <c r="D546" s="156"/>
      <c r="E546" s="156"/>
      <c r="F546" s="156"/>
      <c r="G546" s="143"/>
      <c r="H546" s="141"/>
      <c r="I546" s="153" t="s">
        <v>624</v>
      </c>
      <c r="J546" s="153">
        <v>1</v>
      </c>
      <c r="K546" s="144" t="s">
        <v>730</v>
      </c>
      <c r="L546" s="142" t="s">
        <v>567</v>
      </c>
      <c r="M546" s="276" t="s">
        <v>3271</v>
      </c>
      <c r="N546" s="149" t="s">
        <v>646</v>
      </c>
      <c r="O546" s="149"/>
      <c r="P546" s="145"/>
      <c r="Q546" s="145"/>
      <c r="R546" s="150"/>
    </row>
    <row r="547" spans="1:39" ht="35.25" customHeight="1">
      <c r="A547" s="15">
        <f t="shared" si="8"/>
        <v>537</v>
      </c>
      <c r="B547" s="142" t="s">
        <v>1024</v>
      </c>
      <c r="C547" s="150" t="s">
        <v>723</v>
      </c>
      <c r="D547" s="156"/>
      <c r="E547" s="156"/>
      <c r="F547" s="156"/>
      <c r="G547" s="143"/>
      <c r="H547" s="141"/>
      <c r="I547" s="153" t="s">
        <v>624</v>
      </c>
      <c r="J547" s="153">
        <v>1</v>
      </c>
      <c r="K547" s="144" t="s">
        <v>730</v>
      </c>
      <c r="L547" s="142" t="s">
        <v>567</v>
      </c>
      <c r="M547" s="276" t="s">
        <v>3271</v>
      </c>
      <c r="N547" s="149" t="s">
        <v>646</v>
      </c>
      <c r="O547" s="149"/>
      <c r="P547" s="145"/>
      <c r="Q547" s="145"/>
      <c r="R547" s="150"/>
    </row>
    <row r="548" spans="1:39" ht="35.25" customHeight="1">
      <c r="A548" s="15">
        <f t="shared" si="8"/>
        <v>538</v>
      </c>
      <c r="B548" s="142" t="s">
        <v>1025</v>
      </c>
      <c r="C548" s="150" t="s">
        <v>723</v>
      </c>
      <c r="D548" s="156"/>
      <c r="E548" s="156"/>
      <c r="F548" s="156"/>
      <c r="G548" s="143"/>
      <c r="H548" s="141"/>
      <c r="I548" s="153" t="s">
        <v>624</v>
      </c>
      <c r="J548" s="153">
        <v>1</v>
      </c>
      <c r="K548" s="144" t="s">
        <v>730</v>
      </c>
      <c r="L548" s="142" t="s">
        <v>567</v>
      </c>
      <c r="M548" s="276" t="s">
        <v>3271</v>
      </c>
      <c r="N548" s="149" t="s">
        <v>646</v>
      </c>
      <c r="O548" s="149"/>
      <c r="P548" s="145"/>
      <c r="Q548" s="145"/>
      <c r="R548" s="150"/>
    </row>
    <row r="549" spans="1:39" s="136" customFormat="1" ht="35.25" customHeight="1">
      <c r="A549" s="15">
        <f t="shared" si="8"/>
        <v>539</v>
      </c>
      <c r="B549" s="142" t="s">
        <v>1026</v>
      </c>
      <c r="C549" s="150" t="s">
        <v>723</v>
      </c>
      <c r="D549" s="156"/>
      <c r="E549" s="156"/>
      <c r="F549" s="156"/>
      <c r="G549" s="143"/>
      <c r="H549" s="141"/>
      <c r="I549" s="153" t="s">
        <v>624</v>
      </c>
      <c r="J549" s="153">
        <v>1</v>
      </c>
      <c r="K549" s="144" t="s">
        <v>730</v>
      </c>
      <c r="L549" s="142" t="s">
        <v>567</v>
      </c>
      <c r="M549" s="276" t="s">
        <v>3271</v>
      </c>
      <c r="N549" s="149" t="s">
        <v>646</v>
      </c>
      <c r="O549" s="149"/>
      <c r="P549" s="145"/>
      <c r="Q549" s="145"/>
      <c r="R549" s="150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</row>
    <row r="550" spans="1:39" s="136" customFormat="1" ht="35.25" customHeight="1">
      <c r="A550" s="15">
        <f t="shared" si="8"/>
        <v>540</v>
      </c>
      <c r="B550" s="142" t="s">
        <v>1027</v>
      </c>
      <c r="C550" s="150" t="s">
        <v>723</v>
      </c>
      <c r="D550" s="156"/>
      <c r="E550" s="156"/>
      <c r="F550" s="156"/>
      <c r="G550" s="143"/>
      <c r="H550" s="141"/>
      <c r="I550" s="153" t="s">
        <v>624</v>
      </c>
      <c r="J550" s="153">
        <v>1</v>
      </c>
      <c r="K550" s="144" t="s">
        <v>730</v>
      </c>
      <c r="L550" s="142" t="s">
        <v>567</v>
      </c>
      <c r="M550" s="276" t="s">
        <v>3271</v>
      </c>
      <c r="N550" s="149" t="s">
        <v>646</v>
      </c>
      <c r="O550" s="149"/>
      <c r="P550" s="145"/>
      <c r="Q550" s="145"/>
      <c r="R550" s="1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</row>
    <row r="551" spans="1:39" ht="35.25" customHeight="1">
      <c r="A551" s="15">
        <f t="shared" si="8"/>
        <v>541</v>
      </c>
      <c r="B551" s="142" t="s">
        <v>1028</v>
      </c>
      <c r="C551" s="150" t="s">
        <v>723</v>
      </c>
      <c r="D551" s="156"/>
      <c r="E551" s="156"/>
      <c r="F551" s="156"/>
      <c r="G551" s="143"/>
      <c r="H551" s="141"/>
      <c r="I551" s="153" t="s">
        <v>624</v>
      </c>
      <c r="J551" s="153">
        <v>1</v>
      </c>
      <c r="K551" s="144" t="s">
        <v>730</v>
      </c>
      <c r="L551" s="142" t="s">
        <v>567</v>
      </c>
      <c r="M551" s="276" t="s">
        <v>3271</v>
      </c>
      <c r="N551" s="149" t="s">
        <v>646</v>
      </c>
      <c r="O551" s="149"/>
      <c r="P551" s="145"/>
      <c r="Q551" s="145"/>
      <c r="R551" s="150"/>
    </row>
    <row r="552" spans="1:39" s="136" customFormat="1" ht="35.25" customHeight="1">
      <c r="A552" s="15">
        <f t="shared" si="8"/>
        <v>542</v>
      </c>
      <c r="B552" s="142" t="s">
        <v>1029</v>
      </c>
      <c r="C552" s="150" t="s">
        <v>723</v>
      </c>
      <c r="D552" s="156"/>
      <c r="E552" s="156"/>
      <c r="F552" s="156"/>
      <c r="G552" s="143"/>
      <c r="H552" s="141"/>
      <c r="I552" s="153" t="s">
        <v>624</v>
      </c>
      <c r="J552" s="153">
        <v>1</v>
      </c>
      <c r="K552" s="144" t="s">
        <v>730</v>
      </c>
      <c r="L552" s="142" t="s">
        <v>567</v>
      </c>
      <c r="M552" s="276" t="s">
        <v>3271</v>
      </c>
      <c r="N552" s="149" t="s">
        <v>646</v>
      </c>
      <c r="O552" s="149"/>
      <c r="P552" s="145"/>
      <c r="Q552" s="145"/>
      <c r="R552" s="150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</row>
    <row r="553" spans="1:39" s="136" customFormat="1" ht="35.25" customHeight="1">
      <c r="A553" s="15">
        <f t="shared" si="8"/>
        <v>543</v>
      </c>
      <c r="B553" s="142" t="s">
        <v>1030</v>
      </c>
      <c r="C553" s="150" t="s">
        <v>723</v>
      </c>
      <c r="D553" s="156"/>
      <c r="E553" s="156"/>
      <c r="F553" s="156"/>
      <c r="G553" s="143"/>
      <c r="H553" s="141"/>
      <c r="I553" s="153" t="s">
        <v>624</v>
      </c>
      <c r="J553" s="153">
        <v>1</v>
      </c>
      <c r="K553" s="144" t="s">
        <v>730</v>
      </c>
      <c r="L553" s="142" t="s">
        <v>567</v>
      </c>
      <c r="M553" s="276" t="s">
        <v>3271</v>
      </c>
      <c r="N553" s="149" t="s">
        <v>646</v>
      </c>
      <c r="O553" s="149"/>
      <c r="P553" s="145"/>
      <c r="Q553" s="145"/>
      <c r="R553" s="150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</row>
    <row r="554" spans="1:39" s="136" customFormat="1" ht="35.25" customHeight="1">
      <c r="A554" s="15">
        <f t="shared" si="8"/>
        <v>544</v>
      </c>
      <c r="B554" s="142" t="s">
        <v>1031</v>
      </c>
      <c r="C554" s="150" t="s">
        <v>723</v>
      </c>
      <c r="D554" s="156"/>
      <c r="E554" s="156"/>
      <c r="F554" s="156"/>
      <c r="G554" s="143"/>
      <c r="H554" s="141"/>
      <c r="I554" s="153" t="s">
        <v>624</v>
      </c>
      <c r="J554" s="153">
        <v>1</v>
      </c>
      <c r="K554" s="144" t="s">
        <v>730</v>
      </c>
      <c r="L554" s="142" t="s">
        <v>567</v>
      </c>
      <c r="M554" s="276" t="s">
        <v>3271</v>
      </c>
      <c r="N554" s="149" t="s">
        <v>646</v>
      </c>
      <c r="O554" s="149"/>
      <c r="P554" s="145"/>
      <c r="Q554" s="145"/>
      <c r="R554" s="150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</row>
    <row r="555" spans="1:39" s="136" customFormat="1" ht="35.25" customHeight="1">
      <c r="A555" s="15">
        <f t="shared" si="8"/>
        <v>545</v>
      </c>
      <c r="B555" s="142" t="s">
        <v>1032</v>
      </c>
      <c r="C555" s="150" t="s">
        <v>723</v>
      </c>
      <c r="D555" s="156"/>
      <c r="E555" s="156"/>
      <c r="F555" s="156"/>
      <c r="G555" s="143"/>
      <c r="H555" s="141"/>
      <c r="I555" s="153" t="s">
        <v>624</v>
      </c>
      <c r="J555" s="153">
        <v>1</v>
      </c>
      <c r="K555" s="144" t="s">
        <v>730</v>
      </c>
      <c r="L555" s="142" t="s">
        <v>567</v>
      </c>
      <c r="M555" s="276" t="s">
        <v>3271</v>
      </c>
      <c r="N555" s="149" t="s">
        <v>646</v>
      </c>
      <c r="O555" s="149"/>
      <c r="P555" s="145"/>
      <c r="Q555" s="145"/>
      <c r="R555" s="150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</row>
    <row r="556" spans="1:39" s="136" customFormat="1" ht="35.25" customHeight="1">
      <c r="A556" s="15">
        <f t="shared" si="8"/>
        <v>546</v>
      </c>
      <c r="B556" s="142" t="s">
        <v>1033</v>
      </c>
      <c r="C556" s="150" t="s">
        <v>723</v>
      </c>
      <c r="D556" s="156"/>
      <c r="E556" s="156"/>
      <c r="F556" s="156"/>
      <c r="G556" s="143"/>
      <c r="H556" s="141"/>
      <c r="I556" s="153" t="s">
        <v>624</v>
      </c>
      <c r="J556" s="153">
        <v>1</v>
      </c>
      <c r="K556" s="144" t="s">
        <v>730</v>
      </c>
      <c r="L556" s="142" t="s">
        <v>567</v>
      </c>
      <c r="M556" s="276" t="s">
        <v>3271</v>
      </c>
      <c r="N556" s="149" t="s">
        <v>646</v>
      </c>
      <c r="O556" s="149"/>
      <c r="P556" s="145"/>
      <c r="Q556" s="145"/>
      <c r="R556" s="150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</row>
    <row r="557" spans="1:39" s="136" customFormat="1" ht="35.25" customHeight="1">
      <c r="A557" s="15">
        <f t="shared" si="8"/>
        <v>547</v>
      </c>
      <c r="B557" s="142" t="s">
        <v>1034</v>
      </c>
      <c r="C557" s="150" t="s">
        <v>723</v>
      </c>
      <c r="D557" s="156"/>
      <c r="E557" s="156"/>
      <c r="F557" s="156"/>
      <c r="G557" s="143"/>
      <c r="H557" s="141"/>
      <c r="I557" s="153" t="s">
        <v>624</v>
      </c>
      <c r="J557" s="153">
        <v>1</v>
      </c>
      <c r="K557" s="144" t="s">
        <v>730</v>
      </c>
      <c r="L557" s="142" t="s">
        <v>567</v>
      </c>
      <c r="M557" s="276" t="s">
        <v>3271</v>
      </c>
      <c r="N557" s="149" t="s">
        <v>646</v>
      </c>
      <c r="O557" s="149"/>
      <c r="P557" s="145"/>
      <c r="Q557" s="145"/>
      <c r="R557" s="150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</row>
    <row r="558" spans="1:39" ht="35.25" customHeight="1">
      <c r="A558" s="15">
        <f t="shared" si="8"/>
        <v>548</v>
      </c>
      <c r="B558" s="142" t="s">
        <v>1035</v>
      </c>
      <c r="C558" s="150" t="s">
        <v>723</v>
      </c>
      <c r="D558" s="156"/>
      <c r="E558" s="156"/>
      <c r="F558" s="156"/>
      <c r="G558" s="143"/>
      <c r="H558" s="141"/>
      <c r="I558" s="153" t="s">
        <v>624</v>
      </c>
      <c r="J558" s="153">
        <v>1</v>
      </c>
      <c r="K558" s="144" t="s">
        <v>730</v>
      </c>
      <c r="L558" s="142" t="s">
        <v>567</v>
      </c>
      <c r="M558" s="276" t="s">
        <v>3271</v>
      </c>
      <c r="N558" s="149" t="s">
        <v>646</v>
      </c>
      <c r="O558" s="149"/>
      <c r="P558" s="145"/>
      <c r="Q558" s="145"/>
      <c r="R558" s="150"/>
    </row>
    <row r="559" spans="1:39" ht="35.25" customHeight="1">
      <c r="A559" s="15">
        <f t="shared" si="8"/>
        <v>549</v>
      </c>
      <c r="B559" s="142" t="s">
        <v>1036</v>
      </c>
      <c r="C559" s="150" t="s">
        <v>723</v>
      </c>
      <c r="D559" s="156"/>
      <c r="E559" s="156"/>
      <c r="F559" s="156"/>
      <c r="G559" s="143"/>
      <c r="H559" s="141"/>
      <c r="I559" s="153" t="s">
        <v>624</v>
      </c>
      <c r="J559" s="153">
        <v>1</v>
      </c>
      <c r="K559" s="144" t="s">
        <v>730</v>
      </c>
      <c r="L559" s="142" t="s">
        <v>567</v>
      </c>
      <c r="M559" s="276" t="s">
        <v>3271</v>
      </c>
      <c r="N559" s="149" t="s">
        <v>646</v>
      </c>
      <c r="O559" s="149"/>
      <c r="P559" s="145"/>
      <c r="Q559" s="145"/>
      <c r="R559" s="150"/>
    </row>
    <row r="560" spans="1:39" ht="35.25" customHeight="1">
      <c r="A560" s="15">
        <f t="shared" si="8"/>
        <v>550</v>
      </c>
      <c r="B560" s="142" t="s">
        <v>1037</v>
      </c>
      <c r="C560" s="150" t="s">
        <v>723</v>
      </c>
      <c r="D560" s="156"/>
      <c r="E560" s="156"/>
      <c r="F560" s="156"/>
      <c r="G560" s="143"/>
      <c r="H560" s="141"/>
      <c r="I560" s="153" t="s">
        <v>624</v>
      </c>
      <c r="J560" s="153">
        <v>1</v>
      </c>
      <c r="K560" s="144" t="s">
        <v>730</v>
      </c>
      <c r="L560" s="142" t="s">
        <v>567</v>
      </c>
      <c r="M560" s="276" t="s">
        <v>3271</v>
      </c>
      <c r="N560" s="149" t="s">
        <v>646</v>
      </c>
      <c r="O560" s="149"/>
      <c r="P560" s="145"/>
      <c r="Q560" s="145"/>
      <c r="R560" s="150"/>
    </row>
    <row r="561" spans="1:18" ht="35.25" customHeight="1">
      <c r="A561" s="15">
        <f t="shared" si="8"/>
        <v>551</v>
      </c>
      <c r="B561" s="142" t="s">
        <v>1038</v>
      </c>
      <c r="C561" s="150" t="s">
        <v>723</v>
      </c>
      <c r="D561" s="145"/>
      <c r="E561" s="145"/>
      <c r="F561" s="145"/>
      <c r="G561" s="143"/>
      <c r="H561" s="141"/>
      <c r="I561" s="153" t="s">
        <v>624</v>
      </c>
      <c r="J561" s="153">
        <v>1</v>
      </c>
      <c r="K561" s="144" t="s">
        <v>730</v>
      </c>
      <c r="L561" s="142" t="s">
        <v>567</v>
      </c>
      <c r="M561" s="276" t="s">
        <v>3271</v>
      </c>
      <c r="N561" s="149" t="s">
        <v>646</v>
      </c>
      <c r="O561" s="149"/>
      <c r="P561" s="145"/>
      <c r="Q561" s="145"/>
      <c r="R561" s="150"/>
    </row>
    <row r="562" spans="1:18" ht="35.25" customHeight="1">
      <c r="A562" s="15">
        <f t="shared" si="8"/>
        <v>552</v>
      </c>
      <c r="B562" s="142" t="s">
        <v>1039</v>
      </c>
      <c r="C562" s="150" t="s">
        <v>723</v>
      </c>
      <c r="D562" s="156"/>
      <c r="E562" s="156"/>
      <c r="F562" s="156"/>
      <c r="G562" s="143"/>
      <c r="H562" s="141"/>
      <c r="I562" s="153" t="s">
        <v>624</v>
      </c>
      <c r="J562" s="153">
        <v>1</v>
      </c>
      <c r="K562" s="144" t="s">
        <v>730</v>
      </c>
      <c r="L562" s="142" t="s">
        <v>567</v>
      </c>
      <c r="M562" s="276" t="s">
        <v>3271</v>
      </c>
      <c r="N562" s="149" t="s">
        <v>646</v>
      </c>
      <c r="O562" s="149"/>
      <c r="P562" s="145"/>
      <c r="Q562" s="145"/>
      <c r="R562" s="150"/>
    </row>
    <row r="563" spans="1:18" ht="35.25" customHeight="1">
      <c r="A563" s="15">
        <f t="shared" si="8"/>
        <v>553</v>
      </c>
      <c r="B563" s="142" t="s">
        <v>1040</v>
      </c>
      <c r="C563" s="150" t="s">
        <v>723</v>
      </c>
      <c r="D563" s="156"/>
      <c r="E563" s="156"/>
      <c r="F563" s="156"/>
      <c r="G563" s="143"/>
      <c r="H563" s="141"/>
      <c r="I563" s="153" t="s">
        <v>624</v>
      </c>
      <c r="J563" s="153">
        <v>1</v>
      </c>
      <c r="K563" s="144" t="s">
        <v>730</v>
      </c>
      <c r="L563" s="142" t="s">
        <v>567</v>
      </c>
      <c r="M563" s="276" t="s">
        <v>3271</v>
      </c>
      <c r="N563" s="149" t="s">
        <v>646</v>
      </c>
      <c r="O563" s="149"/>
      <c r="P563" s="145"/>
      <c r="Q563" s="145"/>
      <c r="R563" s="150"/>
    </row>
    <row r="564" spans="1:18" ht="35.25" customHeight="1">
      <c r="A564" s="15">
        <f t="shared" si="8"/>
        <v>554</v>
      </c>
      <c r="B564" s="142" t="s">
        <v>1041</v>
      </c>
      <c r="C564" s="150" t="s">
        <v>723</v>
      </c>
      <c r="D564" s="156"/>
      <c r="E564" s="156"/>
      <c r="F564" s="156"/>
      <c r="G564" s="143"/>
      <c r="H564" s="141"/>
      <c r="I564" s="153" t="s">
        <v>624</v>
      </c>
      <c r="J564" s="153">
        <v>1</v>
      </c>
      <c r="K564" s="144" t="s">
        <v>730</v>
      </c>
      <c r="L564" s="142" t="s">
        <v>567</v>
      </c>
      <c r="M564" s="276" t="s">
        <v>3271</v>
      </c>
      <c r="N564" s="149" t="s">
        <v>646</v>
      </c>
      <c r="O564" s="149"/>
      <c r="P564" s="145"/>
      <c r="Q564" s="145"/>
      <c r="R564" s="150"/>
    </row>
    <row r="565" spans="1:18" ht="35.25" customHeight="1">
      <c r="A565" s="15">
        <f t="shared" si="8"/>
        <v>555</v>
      </c>
      <c r="B565" s="142" t="s">
        <v>1042</v>
      </c>
      <c r="C565" s="150" t="s">
        <v>723</v>
      </c>
      <c r="D565" s="156"/>
      <c r="E565" s="156"/>
      <c r="F565" s="156"/>
      <c r="G565" s="143"/>
      <c r="H565" s="141"/>
      <c r="I565" s="153" t="s">
        <v>624</v>
      </c>
      <c r="J565" s="153">
        <v>1</v>
      </c>
      <c r="K565" s="144" t="s">
        <v>730</v>
      </c>
      <c r="L565" s="142" t="s">
        <v>567</v>
      </c>
      <c r="M565" s="276" t="s">
        <v>3271</v>
      </c>
      <c r="N565" s="149" t="s">
        <v>646</v>
      </c>
      <c r="O565" s="149"/>
      <c r="P565" s="145"/>
      <c r="Q565" s="145"/>
      <c r="R565" s="150"/>
    </row>
    <row r="566" spans="1:18" ht="35.25" customHeight="1">
      <c r="A566" s="15">
        <f t="shared" si="8"/>
        <v>556</v>
      </c>
      <c r="B566" s="142" t="s">
        <v>1043</v>
      </c>
      <c r="C566" s="150" t="s">
        <v>723</v>
      </c>
      <c r="D566" s="156"/>
      <c r="E566" s="156"/>
      <c r="F566" s="156"/>
      <c r="G566" s="143"/>
      <c r="H566" s="141"/>
      <c r="I566" s="153" t="s">
        <v>624</v>
      </c>
      <c r="J566" s="153">
        <v>1</v>
      </c>
      <c r="K566" s="144" t="s">
        <v>730</v>
      </c>
      <c r="L566" s="142" t="s">
        <v>567</v>
      </c>
      <c r="M566" s="276" t="s">
        <v>3271</v>
      </c>
      <c r="N566" s="149" t="s">
        <v>646</v>
      </c>
      <c r="O566" s="149"/>
      <c r="P566" s="145"/>
      <c r="Q566" s="145"/>
      <c r="R566" s="150"/>
    </row>
    <row r="567" spans="1:18" ht="35.25" customHeight="1">
      <c r="A567" s="15">
        <f t="shared" si="8"/>
        <v>557</v>
      </c>
      <c r="B567" s="142" t="s">
        <v>1044</v>
      </c>
      <c r="C567" s="150" t="s">
        <v>723</v>
      </c>
      <c r="D567" s="156"/>
      <c r="E567" s="156"/>
      <c r="F567" s="156"/>
      <c r="G567" s="143"/>
      <c r="H567" s="141"/>
      <c r="I567" s="153" t="s">
        <v>624</v>
      </c>
      <c r="J567" s="153">
        <v>1</v>
      </c>
      <c r="K567" s="144" t="s">
        <v>730</v>
      </c>
      <c r="L567" s="142" t="s">
        <v>567</v>
      </c>
      <c r="M567" s="276" t="s">
        <v>3271</v>
      </c>
      <c r="N567" s="149" t="s">
        <v>646</v>
      </c>
      <c r="O567" s="149"/>
      <c r="P567" s="145"/>
      <c r="Q567" s="145"/>
      <c r="R567" s="150"/>
    </row>
    <row r="568" spans="1:18" ht="35.25" customHeight="1">
      <c r="A568" s="15">
        <f t="shared" si="8"/>
        <v>558</v>
      </c>
      <c r="B568" s="142" t="s">
        <v>1045</v>
      </c>
      <c r="C568" s="150" t="s">
        <v>723</v>
      </c>
      <c r="D568" s="156"/>
      <c r="E568" s="156"/>
      <c r="F568" s="156"/>
      <c r="G568" s="143"/>
      <c r="H568" s="141"/>
      <c r="I568" s="153" t="s">
        <v>624</v>
      </c>
      <c r="J568" s="153">
        <v>1</v>
      </c>
      <c r="K568" s="144" t="s">
        <v>730</v>
      </c>
      <c r="L568" s="142" t="s">
        <v>567</v>
      </c>
      <c r="M568" s="276" t="s">
        <v>3271</v>
      </c>
      <c r="N568" s="149" t="s">
        <v>646</v>
      </c>
      <c r="O568" s="149"/>
      <c r="P568" s="145"/>
      <c r="Q568" s="145"/>
      <c r="R568" s="150"/>
    </row>
    <row r="569" spans="1:18" ht="35.25" customHeight="1">
      <c r="A569" s="15">
        <f t="shared" si="8"/>
        <v>559</v>
      </c>
      <c r="B569" s="142" t="s">
        <v>1046</v>
      </c>
      <c r="C569" s="150" t="s">
        <v>723</v>
      </c>
      <c r="D569" s="156"/>
      <c r="E569" s="156"/>
      <c r="F569" s="156"/>
      <c r="G569" s="143"/>
      <c r="H569" s="141"/>
      <c r="I569" s="153" t="s">
        <v>624</v>
      </c>
      <c r="J569" s="153">
        <v>1</v>
      </c>
      <c r="K569" s="144" t="s">
        <v>730</v>
      </c>
      <c r="L569" s="142" t="s">
        <v>567</v>
      </c>
      <c r="M569" s="276" t="s">
        <v>3271</v>
      </c>
      <c r="N569" s="149" t="s">
        <v>646</v>
      </c>
      <c r="O569" s="149"/>
      <c r="P569" s="145"/>
      <c r="Q569" s="145"/>
      <c r="R569" s="150"/>
    </row>
    <row r="570" spans="1:18" ht="35.25" customHeight="1">
      <c r="A570" s="15">
        <f t="shared" si="8"/>
        <v>560</v>
      </c>
      <c r="B570" s="142" t="s">
        <v>1047</v>
      </c>
      <c r="C570" s="150" t="s">
        <v>723</v>
      </c>
      <c r="D570" s="156"/>
      <c r="E570" s="156"/>
      <c r="F570" s="156"/>
      <c r="G570" s="143"/>
      <c r="H570" s="141"/>
      <c r="I570" s="153" t="s">
        <v>624</v>
      </c>
      <c r="J570" s="153">
        <v>1</v>
      </c>
      <c r="K570" s="144" t="s">
        <v>730</v>
      </c>
      <c r="L570" s="142" t="s">
        <v>567</v>
      </c>
      <c r="M570" s="276" t="s">
        <v>3271</v>
      </c>
      <c r="N570" s="149" t="s">
        <v>646</v>
      </c>
      <c r="O570" s="149"/>
      <c r="P570" s="145"/>
      <c r="Q570" s="145"/>
      <c r="R570" s="150"/>
    </row>
    <row r="571" spans="1:18" ht="35.25" customHeight="1">
      <c r="A571" s="15">
        <f t="shared" si="8"/>
        <v>561</v>
      </c>
      <c r="B571" s="142" t="s">
        <v>1048</v>
      </c>
      <c r="C571" s="150" t="s">
        <v>723</v>
      </c>
      <c r="D571" s="156"/>
      <c r="E571" s="156"/>
      <c r="F571" s="156"/>
      <c r="G571" s="143"/>
      <c r="H571" s="141"/>
      <c r="I571" s="153" t="s">
        <v>624</v>
      </c>
      <c r="J571" s="153">
        <v>1</v>
      </c>
      <c r="K571" s="144" t="s">
        <v>730</v>
      </c>
      <c r="L571" s="142" t="s">
        <v>567</v>
      </c>
      <c r="M571" s="276" t="s">
        <v>3271</v>
      </c>
      <c r="N571" s="149" t="s">
        <v>646</v>
      </c>
      <c r="O571" s="149"/>
      <c r="P571" s="145"/>
      <c r="Q571" s="145"/>
      <c r="R571" s="150"/>
    </row>
    <row r="572" spans="1:18" ht="35.25" customHeight="1">
      <c r="A572" s="15">
        <f t="shared" si="8"/>
        <v>562</v>
      </c>
      <c r="B572" s="142" t="s">
        <v>1049</v>
      </c>
      <c r="C572" s="150" t="s">
        <v>723</v>
      </c>
      <c r="D572" s="156"/>
      <c r="E572" s="156"/>
      <c r="F572" s="156"/>
      <c r="G572" s="143"/>
      <c r="H572" s="141"/>
      <c r="I572" s="153" t="s">
        <v>624</v>
      </c>
      <c r="J572" s="153">
        <v>1</v>
      </c>
      <c r="K572" s="144" t="s">
        <v>730</v>
      </c>
      <c r="L572" s="142" t="s">
        <v>567</v>
      </c>
      <c r="M572" s="276" t="s">
        <v>3271</v>
      </c>
      <c r="N572" s="149" t="s">
        <v>646</v>
      </c>
      <c r="O572" s="149"/>
      <c r="P572" s="145"/>
      <c r="Q572" s="145"/>
      <c r="R572" s="150"/>
    </row>
    <row r="573" spans="1:18" ht="35.25" customHeight="1">
      <c r="A573" s="15">
        <f t="shared" si="8"/>
        <v>563</v>
      </c>
      <c r="B573" s="142" t="s">
        <v>1050</v>
      </c>
      <c r="C573" s="150" t="s">
        <v>723</v>
      </c>
      <c r="D573" s="156"/>
      <c r="E573" s="156"/>
      <c r="F573" s="156"/>
      <c r="G573" s="143"/>
      <c r="H573" s="141"/>
      <c r="I573" s="153" t="s">
        <v>624</v>
      </c>
      <c r="J573" s="153">
        <v>1</v>
      </c>
      <c r="K573" s="144" t="s">
        <v>730</v>
      </c>
      <c r="L573" s="142" t="s">
        <v>567</v>
      </c>
      <c r="M573" s="276" t="s">
        <v>3271</v>
      </c>
      <c r="N573" s="149" t="s">
        <v>646</v>
      </c>
      <c r="O573" s="149"/>
      <c r="P573" s="145"/>
      <c r="Q573" s="145"/>
      <c r="R573" s="150"/>
    </row>
    <row r="574" spans="1:18" ht="35.25" customHeight="1">
      <c r="A574" s="15">
        <f t="shared" si="8"/>
        <v>564</v>
      </c>
      <c r="B574" s="142" t="s">
        <v>1051</v>
      </c>
      <c r="C574" s="150" t="s">
        <v>723</v>
      </c>
      <c r="D574" s="156"/>
      <c r="E574" s="156"/>
      <c r="F574" s="156"/>
      <c r="G574" s="143"/>
      <c r="H574" s="141"/>
      <c r="I574" s="153" t="s">
        <v>624</v>
      </c>
      <c r="J574" s="153">
        <v>1</v>
      </c>
      <c r="K574" s="144" t="s">
        <v>730</v>
      </c>
      <c r="L574" s="142" t="s">
        <v>567</v>
      </c>
      <c r="M574" s="276" t="s">
        <v>3271</v>
      </c>
      <c r="N574" s="149" t="s">
        <v>646</v>
      </c>
      <c r="O574" s="149"/>
      <c r="P574" s="145"/>
      <c r="Q574" s="145"/>
      <c r="R574" s="150"/>
    </row>
    <row r="575" spans="1:18" ht="35.25" customHeight="1">
      <c r="A575" s="15">
        <f t="shared" si="8"/>
        <v>565</v>
      </c>
      <c r="B575" s="142" t="s">
        <v>1052</v>
      </c>
      <c r="C575" s="150" t="s">
        <v>723</v>
      </c>
      <c r="D575" s="156"/>
      <c r="E575" s="156"/>
      <c r="F575" s="156"/>
      <c r="G575" s="143"/>
      <c r="H575" s="141"/>
      <c r="I575" s="153" t="s">
        <v>624</v>
      </c>
      <c r="J575" s="153">
        <v>1</v>
      </c>
      <c r="K575" s="144" t="s">
        <v>730</v>
      </c>
      <c r="L575" s="142" t="s">
        <v>567</v>
      </c>
      <c r="M575" s="276" t="s">
        <v>3271</v>
      </c>
      <c r="N575" s="149" t="s">
        <v>646</v>
      </c>
      <c r="O575" s="149"/>
      <c r="P575" s="145"/>
      <c r="Q575" s="145"/>
      <c r="R575" s="150"/>
    </row>
    <row r="576" spans="1:18" ht="35.25" customHeight="1">
      <c r="A576" s="15">
        <f t="shared" si="8"/>
        <v>566</v>
      </c>
      <c r="B576" s="142" t="s">
        <v>1053</v>
      </c>
      <c r="C576" s="150" t="s">
        <v>723</v>
      </c>
      <c r="D576" s="156"/>
      <c r="E576" s="156"/>
      <c r="F576" s="156"/>
      <c r="G576" s="143"/>
      <c r="H576" s="141"/>
      <c r="I576" s="153" t="s">
        <v>624</v>
      </c>
      <c r="J576" s="153">
        <v>1</v>
      </c>
      <c r="K576" s="144" t="s">
        <v>730</v>
      </c>
      <c r="L576" s="142" t="s">
        <v>567</v>
      </c>
      <c r="M576" s="276" t="s">
        <v>3271</v>
      </c>
      <c r="N576" s="149" t="s">
        <v>646</v>
      </c>
      <c r="O576" s="149"/>
      <c r="P576" s="145"/>
      <c r="Q576" s="145"/>
      <c r="R576" s="150"/>
    </row>
    <row r="577" spans="1:39" ht="35.25" customHeight="1">
      <c r="A577" s="15">
        <f t="shared" si="8"/>
        <v>567</v>
      </c>
      <c r="B577" s="142" t="s">
        <v>1054</v>
      </c>
      <c r="C577" s="150" t="s">
        <v>723</v>
      </c>
      <c r="D577" s="156"/>
      <c r="E577" s="156"/>
      <c r="F577" s="156"/>
      <c r="G577" s="143"/>
      <c r="H577" s="141"/>
      <c r="I577" s="153" t="s">
        <v>624</v>
      </c>
      <c r="J577" s="153">
        <v>1</v>
      </c>
      <c r="K577" s="144" t="s">
        <v>730</v>
      </c>
      <c r="L577" s="142" t="s">
        <v>567</v>
      </c>
      <c r="M577" s="276" t="s">
        <v>3271</v>
      </c>
      <c r="N577" s="149" t="s">
        <v>646</v>
      </c>
      <c r="O577" s="149"/>
      <c r="P577" s="145"/>
      <c r="Q577" s="145"/>
      <c r="R577" s="150"/>
    </row>
    <row r="578" spans="1:39" ht="35.25" customHeight="1">
      <c r="A578" s="15">
        <f t="shared" si="8"/>
        <v>568</v>
      </c>
      <c r="B578" s="142" t="s">
        <v>1055</v>
      </c>
      <c r="C578" s="150" t="s">
        <v>723</v>
      </c>
      <c r="D578" s="156"/>
      <c r="E578" s="156"/>
      <c r="F578" s="156"/>
      <c r="G578" s="143"/>
      <c r="H578" s="141"/>
      <c r="I578" s="153" t="s">
        <v>624</v>
      </c>
      <c r="J578" s="153">
        <v>1</v>
      </c>
      <c r="K578" s="144" t="s">
        <v>730</v>
      </c>
      <c r="L578" s="142" t="s">
        <v>567</v>
      </c>
      <c r="M578" s="276" t="s">
        <v>3271</v>
      </c>
      <c r="N578" s="149" t="s">
        <v>646</v>
      </c>
      <c r="O578" s="149"/>
      <c r="P578" s="145"/>
      <c r="Q578" s="145"/>
      <c r="R578" s="150"/>
    </row>
    <row r="579" spans="1:39" ht="35.25" customHeight="1">
      <c r="A579" s="15">
        <f t="shared" si="8"/>
        <v>569</v>
      </c>
      <c r="B579" s="142" t="s">
        <v>1056</v>
      </c>
      <c r="C579" s="150" t="s">
        <v>723</v>
      </c>
      <c r="D579" s="156"/>
      <c r="E579" s="156"/>
      <c r="F579" s="156"/>
      <c r="G579" s="143"/>
      <c r="H579" s="141"/>
      <c r="I579" s="153" t="s">
        <v>624</v>
      </c>
      <c r="J579" s="153">
        <v>1</v>
      </c>
      <c r="K579" s="144" t="s">
        <v>730</v>
      </c>
      <c r="L579" s="142" t="s">
        <v>567</v>
      </c>
      <c r="M579" s="276" t="s">
        <v>3271</v>
      </c>
      <c r="N579" s="149" t="s">
        <v>646</v>
      </c>
      <c r="O579" s="149"/>
      <c r="P579" s="145"/>
      <c r="Q579" s="145"/>
      <c r="R579" s="150"/>
    </row>
    <row r="580" spans="1:39" ht="35.25" customHeight="1">
      <c r="A580" s="15">
        <f t="shared" si="8"/>
        <v>570</v>
      </c>
      <c r="B580" s="142" t="s">
        <v>1057</v>
      </c>
      <c r="C580" s="150" t="s">
        <v>723</v>
      </c>
      <c r="D580" s="156"/>
      <c r="E580" s="156"/>
      <c r="F580" s="156"/>
      <c r="G580" s="143"/>
      <c r="H580" s="141"/>
      <c r="I580" s="153" t="s">
        <v>624</v>
      </c>
      <c r="J580" s="153">
        <v>1</v>
      </c>
      <c r="K580" s="144" t="s">
        <v>730</v>
      </c>
      <c r="L580" s="142" t="s">
        <v>567</v>
      </c>
      <c r="M580" s="276" t="s">
        <v>3271</v>
      </c>
      <c r="N580" s="149" t="s">
        <v>646</v>
      </c>
      <c r="O580" s="149"/>
      <c r="P580" s="145"/>
      <c r="Q580" s="145"/>
      <c r="R580" s="150"/>
    </row>
    <row r="581" spans="1:39" ht="35.25" customHeight="1">
      <c r="A581" s="15">
        <f t="shared" si="8"/>
        <v>571</v>
      </c>
      <c r="B581" s="142" t="s">
        <v>1058</v>
      </c>
      <c r="C581" s="150" t="s">
        <v>723</v>
      </c>
      <c r="D581" s="156"/>
      <c r="E581" s="156"/>
      <c r="F581" s="156"/>
      <c r="G581" s="143"/>
      <c r="H581" s="141"/>
      <c r="I581" s="153" t="s">
        <v>624</v>
      </c>
      <c r="J581" s="153">
        <v>1</v>
      </c>
      <c r="K581" s="144" t="s">
        <v>730</v>
      </c>
      <c r="L581" s="142" t="s">
        <v>567</v>
      </c>
      <c r="M581" s="276" t="s">
        <v>3271</v>
      </c>
      <c r="N581" s="149" t="s">
        <v>646</v>
      </c>
      <c r="O581" s="149"/>
      <c r="P581" s="145"/>
      <c r="Q581" s="145"/>
      <c r="R581" s="150"/>
    </row>
    <row r="582" spans="1:39" ht="35.25" customHeight="1">
      <c r="A582" s="15">
        <f t="shared" si="8"/>
        <v>572</v>
      </c>
      <c r="B582" s="142" t="s">
        <v>1059</v>
      </c>
      <c r="C582" s="150" t="s">
        <v>723</v>
      </c>
      <c r="D582" s="156"/>
      <c r="E582" s="156"/>
      <c r="F582" s="156"/>
      <c r="G582" s="143"/>
      <c r="H582" s="141"/>
      <c r="I582" s="153" t="s">
        <v>624</v>
      </c>
      <c r="J582" s="153">
        <v>1</v>
      </c>
      <c r="K582" s="144" t="s">
        <v>730</v>
      </c>
      <c r="L582" s="142" t="s">
        <v>567</v>
      </c>
      <c r="M582" s="276" t="s">
        <v>3271</v>
      </c>
      <c r="N582" s="149" t="s">
        <v>646</v>
      </c>
      <c r="O582" s="149"/>
      <c r="P582" s="145"/>
      <c r="Q582" s="145"/>
      <c r="R582" s="150"/>
    </row>
    <row r="583" spans="1:39" ht="35.25" customHeight="1">
      <c r="A583" s="15">
        <f t="shared" si="8"/>
        <v>573</v>
      </c>
      <c r="B583" s="142" t="s">
        <v>1060</v>
      </c>
      <c r="C583" s="150" t="s">
        <v>723</v>
      </c>
      <c r="D583" s="156"/>
      <c r="E583" s="156"/>
      <c r="F583" s="156"/>
      <c r="G583" s="143"/>
      <c r="H583" s="141"/>
      <c r="I583" s="153" t="s">
        <v>624</v>
      </c>
      <c r="J583" s="153">
        <v>1</v>
      </c>
      <c r="K583" s="144" t="s">
        <v>730</v>
      </c>
      <c r="L583" s="142" t="s">
        <v>567</v>
      </c>
      <c r="M583" s="276" t="s">
        <v>3271</v>
      </c>
      <c r="N583" s="149" t="s">
        <v>646</v>
      </c>
      <c r="O583" s="149"/>
      <c r="P583" s="145"/>
      <c r="Q583" s="145"/>
      <c r="R583" s="150"/>
    </row>
    <row r="584" spans="1:39" ht="35.25" customHeight="1">
      <c r="A584" s="15">
        <f t="shared" si="8"/>
        <v>574</v>
      </c>
      <c r="B584" s="142" t="s">
        <v>1061</v>
      </c>
      <c r="C584" s="150" t="s">
        <v>723</v>
      </c>
      <c r="D584" s="156"/>
      <c r="E584" s="156"/>
      <c r="F584" s="156"/>
      <c r="G584" s="143"/>
      <c r="H584" s="141"/>
      <c r="I584" s="153" t="s">
        <v>624</v>
      </c>
      <c r="J584" s="153">
        <v>1</v>
      </c>
      <c r="K584" s="144" t="s">
        <v>730</v>
      </c>
      <c r="L584" s="142" t="s">
        <v>567</v>
      </c>
      <c r="M584" s="276" t="s">
        <v>3271</v>
      </c>
      <c r="N584" s="149" t="s">
        <v>646</v>
      </c>
      <c r="O584" s="149"/>
      <c r="P584" s="145"/>
      <c r="Q584" s="145"/>
      <c r="R584" s="150"/>
    </row>
    <row r="585" spans="1:39" ht="35.25" customHeight="1">
      <c r="A585" s="15">
        <f t="shared" si="8"/>
        <v>575</v>
      </c>
      <c r="B585" s="142" t="s">
        <v>1062</v>
      </c>
      <c r="C585" s="150" t="s">
        <v>723</v>
      </c>
      <c r="D585" s="156"/>
      <c r="E585" s="156"/>
      <c r="F585" s="156"/>
      <c r="G585" s="143"/>
      <c r="H585" s="141"/>
      <c r="I585" s="153" t="s">
        <v>624</v>
      </c>
      <c r="J585" s="153">
        <v>1</v>
      </c>
      <c r="K585" s="144" t="s">
        <v>730</v>
      </c>
      <c r="L585" s="142" t="s">
        <v>567</v>
      </c>
      <c r="M585" s="276" t="s">
        <v>3271</v>
      </c>
      <c r="N585" s="149" t="s">
        <v>646</v>
      </c>
      <c r="O585" s="149"/>
      <c r="P585" s="145"/>
      <c r="Q585" s="145"/>
      <c r="R585" s="150"/>
    </row>
    <row r="586" spans="1:39" ht="35.25" customHeight="1">
      <c r="A586" s="15">
        <f t="shared" si="8"/>
        <v>576</v>
      </c>
      <c r="B586" s="142" t="s">
        <v>1063</v>
      </c>
      <c r="C586" s="150" t="s">
        <v>723</v>
      </c>
      <c r="D586" s="156"/>
      <c r="E586" s="156"/>
      <c r="F586" s="156"/>
      <c r="G586" s="143"/>
      <c r="H586" s="141"/>
      <c r="I586" s="153" t="s">
        <v>624</v>
      </c>
      <c r="J586" s="153">
        <v>1</v>
      </c>
      <c r="K586" s="144" t="s">
        <v>730</v>
      </c>
      <c r="L586" s="142" t="s">
        <v>567</v>
      </c>
      <c r="M586" s="276" t="s">
        <v>3271</v>
      </c>
      <c r="N586" s="149" t="s">
        <v>646</v>
      </c>
      <c r="O586" s="149"/>
      <c r="P586" s="145"/>
      <c r="Q586" s="145"/>
      <c r="R586" s="150"/>
    </row>
    <row r="587" spans="1:39" ht="35.25" customHeight="1">
      <c r="A587" s="15">
        <f t="shared" si="8"/>
        <v>577</v>
      </c>
      <c r="B587" s="142" t="s">
        <v>1064</v>
      </c>
      <c r="C587" s="150" t="s">
        <v>723</v>
      </c>
      <c r="D587" s="156"/>
      <c r="E587" s="156"/>
      <c r="F587" s="156"/>
      <c r="G587" s="143"/>
      <c r="H587" s="141"/>
      <c r="I587" s="153" t="s">
        <v>624</v>
      </c>
      <c r="J587" s="153">
        <v>1</v>
      </c>
      <c r="K587" s="144" t="s">
        <v>730</v>
      </c>
      <c r="L587" s="142" t="s">
        <v>567</v>
      </c>
      <c r="M587" s="276" t="s">
        <v>3271</v>
      </c>
      <c r="N587" s="149" t="s">
        <v>646</v>
      </c>
      <c r="O587" s="149"/>
      <c r="P587" s="145"/>
      <c r="Q587" s="145"/>
      <c r="R587" s="150"/>
    </row>
    <row r="588" spans="1:39" ht="35.25" customHeight="1">
      <c r="A588" s="15">
        <f t="shared" si="8"/>
        <v>578</v>
      </c>
      <c r="B588" s="142" t="s">
        <v>558</v>
      </c>
      <c r="C588" s="150" t="s">
        <v>723</v>
      </c>
      <c r="D588" s="156"/>
      <c r="E588" s="156"/>
      <c r="F588" s="156"/>
      <c r="G588" s="143"/>
      <c r="H588" s="141"/>
      <c r="I588" s="153" t="s">
        <v>624</v>
      </c>
      <c r="J588" s="153">
        <v>1</v>
      </c>
      <c r="K588" s="144" t="s">
        <v>730</v>
      </c>
      <c r="L588" s="142" t="s">
        <v>567</v>
      </c>
      <c r="M588" s="276" t="s">
        <v>3271</v>
      </c>
      <c r="N588" s="149" t="s">
        <v>646</v>
      </c>
      <c r="O588" s="149"/>
      <c r="P588" s="145"/>
      <c r="Q588" s="145"/>
      <c r="R588" s="150"/>
    </row>
    <row r="589" spans="1:39" ht="35.25" customHeight="1">
      <c r="A589" s="15">
        <f t="shared" si="8"/>
        <v>579</v>
      </c>
      <c r="B589" s="142" t="s">
        <v>1065</v>
      </c>
      <c r="C589" s="150" t="s">
        <v>723</v>
      </c>
      <c r="D589" s="156"/>
      <c r="E589" s="156"/>
      <c r="F589" s="156"/>
      <c r="G589" s="143"/>
      <c r="H589" s="141"/>
      <c r="I589" s="153" t="s">
        <v>624</v>
      </c>
      <c r="J589" s="153">
        <v>1</v>
      </c>
      <c r="K589" s="144" t="s">
        <v>730</v>
      </c>
      <c r="L589" s="142" t="s">
        <v>567</v>
      </c>
      <c r="M589" s="276" t="s">
        <v>3271</v>
      </c>
      <c r="N589" s="149" t="s">
        <v>646</v>
      </c>
      <c r="O589" s="149"/>
      <c r="P589" s="145"/>
      <c r="Q589" s="145"/>
      <c r="R589" s="150"/>
    </row>
    <row r="590" spans="1:39" s="136" customFormat="1" ht="35.25" customHeight="1">
      <c r="A590" s="15">
        <f t="shared" si="8"/>
        <v>580</v>
      </c>
      <c r="B590" s="142" t="s">
        <v>561</v>
      </c>
      <c r="C590" s="150" t="s">
        <v>723</v>
      </c>
      <c r="D590" s="156"/>
      <c r="E590" s="156"/>
      <c r="F590" s="156"/>
      <c r="G590" s="143"/>
      <c r="H590" s="141"/>
      <c r="I590" s="153" t="s">
        <v>624</v>
      </c>
      <c r="J590" s="153">
        <v>1</v>
      </c>
      <c r="K590" s="144" t="s">
        <v>730</v>
      </c>
      <c r="L590" s="142" t="s">
        <v>567</v>
      </c>
      <c r="M590" s="276" t="s">
        <v>3271</v>
      </c>
      <c r="N590" s="149" t="s">
        <v>646</v>
      </c>
      <c r="O590" s="149"/>
      <c r="P590" s="145"/>
      <c r="Q590" s="145"/>
      <c r="R590" s="15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  <c r="AJ590"/>
      <c r="AK590"/>
      <c r="AL590"/>
      <c r="AM590"/>
    </row>
    <row r="591" spans="1:39" s="136" customFormat="1" ht="35.25" customHeight="1">
      <c r="A591" s="15">
        <f t="shared" si="8"/>
        <v>581</v>
      </c>
      <c r="B591" s="141" t="s">
        <v>1066</v>
      </c>
      <c r="C591" s="64" t="s">
        <v>1067</v>
      </c>
      <c r="D591" s="156"/>
      <c r="E591" s="156"/>
      <c r="F591" s="156"/>
      <c r="G591" s="46"/>
      <c r="H591" s="141"/>
      <c r="I591" s="153" t="s">
        <v>624</v>
      </c>
      <c r="J591" s="153">
        <v>1</v>
      </c>
      <c r="K591" s="144" t="s">
        <v>730</v>
      </c>
      <c r="L591" s="142" t="s">
        <v>567</v>
      </c>
      <c r="M591" s="276" t="s">
        <v>3271</v>
      </c>
      <c r="N591" s="149" t="s">
        <v>646</v>
      </c>
      <c r="O591" s="149"/>
      <c r="P591" s="145"/>
      <c r="Q591" s="145"/>
      <c r="R591" s="44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  <c r="AJ591"/>
      <c r="AK591"/>
      <c r="AL591"/>
      <c r="AM591"/>
    </row>
    <row r="592" spans="1:39" s="136" customFormat="1" ht="35.25" customHeight="1">
      <c r="A592" s="15">
        <f t="shared" si="8"/>
        <v>582</v>
      </c>
      <c r="B592" s="141" t="s">
        <v>1068</v>
      </c>
      <c r="C592" s="64" t="s">
        <v>1067</v>
      </c>
      <c r="D592" s="156"/>
      <c r="E592" s="156"/>
      <c r="F592" s="156"/>
      <c r="G592" s="46"/>
      <c r="H592" s="141"/>
      <c r="I592" s="153" t="s">
        <v>624</v>
      </c>
      <c r="J592" s="153">
        <v>1</v>
      </c>
      <c r="K592" s="144" t="s">
        <v>730</v>
      </c>
      <c r="L592" s="142" t="s">
        <v>567</v>
      </c>
      <c r="M592" s="276" t="s">
        <v>3271</v>
      </c>
      <c r="N592" s="149" t="s">
        <v>646</v>
      </c>
      <c r="O592" s="149"/>
      <c r="P592" s="145"/>
      <c r="Q592" s="145"/>
      <c r="R592" s="44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  <c r="AJ592"/>
      <c r="AK592"/>
      <c r="AL592"/>
      <c r="AM592"/>
    </row>
    <row r="593" spans="1:18" ht="35.25" customHeight="1">
      <c r="A593" s="15">
        <f t="shared" si="8"/>
        <v>583</v>
      </c>
      <c r="B593" s="141" t="s">
        <v>1069</v>
      </c>
      <c r="C593" s="64" t="s">
        <v>1067</v>
      </c>
      <c r="D593" s="156"/>
      <c r="E593" s="156"/>
      <c r="F593" s="156"/>
      <c r="G593" s="46"/>
      <c r="H593" s="141"/>
      <c r="I593" s="153" t="s">
        <v>624</v>
      </c>
      <c r="J593" s="153">
        <v>1</v>
      </c>
      <c r="K593" s="144" t="s">
        <v>730</v>
      </c>
      <c r="L593" s="142" t="s">
        <v>567</v>
      </c>
      <c r="M593" s="276" t="s">
        <v>3271</v>
      </c>
      <c r="N593" s="149" t="s">
        <v>646</v>
      </c>
      <c r="O593" s="149"/>
      <c r="P593" s="145"/>
      <c r="Q593" s="145"/>
      <c r="R593" s="44"/>
    </row>
    <row r="594" spans="1:18" ht="35.25" customHeight="1">
      <c r="A594" s="15">
        <f t="shared" si="8"/>
        <v>584</v>
      </c>
      <c r="B594" s="144" t="s">
        <v>1070</v>
      </c>
      <c r="C594" s="150" t="s">
        <v>1071</v>
      </c>
      <c r="D594" s="156"/>
      <c r="E594" s="156"/>
      <c r="F594" s="156"/>
      <c r="G594" s="154"/>
      <c r="H594" s="141"/>
      <c r="I594" s="144" t="s">
        <v>18</v>
      </c>
      <c r="J594" s="153">
        <v>1</v>
      </c>
      <c r="K594" s="144" t="s">
        <v>730</v>
      </c>
      <c r="L594" s="142" t="s">
        <v>567</v>
      </c>
      <c r="M594" s="276" t="s">
        <v>3271</v>
      </c>
      <c r="N594" s="142" t="s">
        <v>646</v>
      </c>
      <c r="O594" s="149"/>
      <c r="P594" s="145"/>
      <c r="Q594" s="145"/>
      <c r="R594" s="142" t="s">
        <v>272</v>
      </c>
    </row>
    <row r="595" spans="1:18" ht="35.25" customHeight="1">
      <c r="A595" s="15">
        <f t="shared" ref="A595:A658" si="9">A594+1</f>
        <v>585</v>
      </c>
      <c r="B595" s="144" t="s">
        <v>1072</v>
      </c>
      <c r="C595" s="150" t="s">
        <v>1073</v>
      </c>
      <c r="D595" s="156"/>
      <c r="E595" s="156"/>
      <c r="F595" s="156"/>
      <c r="G595" s="154"/>
      <c r="H595" s="141"/>
      <c r="I595" s="144" t="s">
        <v>18</v>
      </c>
      <c r="J595" s="153">
        <v>1</v>
      </c>
      <c r="K595" s="144" t="s">
        <v>730</v>
      </c>
      <c r="L595" s="142" t="s">
        <v>567</v>
      </c>
      <c r="M595" s="276" t="s">
        <v>3271</v>
      </c>
      <c r="N595" s="142" t="s">
        <v>646</v>
      </c>
      <c r="O595" s="149"/>
      <c r="P595" s="145"/>
      <c r="Q595" s="145"/>
      <c r="R595" s="142" t="s">
        <v>272</v>
      </c>
    </row>
    <row r="596" spans="1:18" ht="35.25" customHeight="1">
      <c r="A596" s="15">
        <f t="shared" si="9"/>
        <v>586</v>
      </c>
      <c r="B596" s="144" t="s">
        <v>1074</v>
      </c>
      <c r="C596" s="150" t="s">
        <v>1073</v>
      </c>
      <c r="D596" s="156"/>
      <c r="E596" s="156"/>
      <c r="F596" s="156"/>
      <c r="G596" s="154"/>
      <c r="H596" s="141"/>
      <c r="I596" s="144" t="s">
        <v>18</v>
      </c>
      <c r="J596" s="153">
        <v>1</v>
      </c>
      <c r="K596" s="144" t="s">
        <v>730</v>
      </c>
      <c r="L596" s="142" t="s">
        <v>567</v>
      </c>
      <c r="M596" s="276" t="s">
        <v>3271</v>
      </c>
      <c r="N596" s="142" t="s">
        <v>646</v>
      </c>
      <c r="O596" s="149"/>
      <c r="P596" s="145"/>
      <c r="Q596" s="145"/>
      <c r="R596" s="142" t="s">
        <v>272</v>
      </c>
    </row>
    <row r="597" spans="1:18" ht="35.25" customHeight="1">
      <c r="A597" s="15">
        <f t="shared" si="9"/>
        <v>587</v>
      </c>
      <c r="B597" s="144" t="s">
        <v>1075</v>
      </c>
      <c r="C597" s="150" t="s">
        <v>723</v>
      </c>
      <c r="D597" s="156"/>
      <c r="E597" s="156"/>
      <c r="F597" s="156"/>
      <c r="G597" s="154" t="s">
        <v>2342</v>
      </c>
      <c r="H597" s="141"/>
      <c r="I597" s="153" t="s">
        <v>624</v>
      </c>
      <c r="J597" s="153">
        <v>1</v>
      </c>
      <c r="K597" s="144" t="s">
        <v>730</v>
      </c>
      <c r="L597" s="142" t="s">
        <v>567</v>
      </c>
      <c r="M597" s="276" t="s">
        <v>3271</v>
      </c>
      <c r="N597" s="149" t="s">
        <v>646</v>
      </c>
      <c r="O597" s="194">
        <v>44996</v>
      </c>
      <c r="P597" s="145"/>
      <c r="Q597" s="145"/>
      <c r="R597" s="150"/>
    </row>
    <row r="598" spans="1:18" ht="35.25" customHeight="1">
      <c r="A598" s="15">
        <f t="shared" si="9"/>
        <v>588</v>
      </c>
      <c r="B598" s="144" t="s">
        <v>1076</v>
      </c>
      <c r="C598" s="150" t="s">
        <v>723</v>
      </c>
      <c r="D598" s="156"/>
      <c r="E598" s="156"/>
      <c r="F598" s="156"/>
      <c r="G598" s="154" t="s">
        <v>2342</v>
      </c>
      <c r="H598" s="141"/>
      <c r="I598" s="153" t="s">
        <v>624</v>
      </c>
      <c r="J598" s="153">
        <v>1</v>
      </c>
      <c r="K598" s="144" t="s">
        <v>730</v>
      </c>
      <c r="L598" s="142" t="s">
        <v>567</v>
      </c>
      <c r="M598" s="276" t="s">
        <v>3271</v>
      </c>
      <c r="N598" s="149" t="s">
        <v>646</v>
      </c>
      <c r="O598" s="194">
        <v>44996</v>
      </c>
      <c r="P598" s="145"/>
      <c r="Q598" s="145"/>
      <c r="R598" s="150"/>
    </row>
    <row r="599" spans="1:18" ht="35.25" customHeight="1">
      <c r="A599" s="15">
        <f t="shared" si="9"/>
        <v>589</v>
      </c>
      <c r="B599" s="144" t="s">
        <v>1077</v>
      </c>
      <c r="C599" s="150" t="s">
        <v>723</v>
      </c>
      <c r="D599" s="156"/>
      <c r="E599" s="156"/>
      <c r="F599" s="156"/>
      <c r="G599" s="154" t="s">
        <v>2342</v>
      </c>
      <c r="H599" s="141"/>
      <c r="I599" s="153" t="s">
        <v>624</v>
      </c>
      <c r="J599" s="153">
        <v>1</v>
      </c>
      <c r="K599" s="144" t="s">
        <v>730</v>
      </c>
      <c r="L599" s="142" t="s">
        <v>567</v>
      </c>
      <c r="M599" s="276" t="s">
        <v>3271</v>
      </c>
      <c r="N599" s="149" t="s">
        <v>646</v>
      </c>
      <c r="O599" s="194">
        <v>44996</v>
      </c>
      <c r="P599" s="145"/>
      <c r="Q599" s="145"/>
      <c r="R599" s="150"/>
    </row>
    <row r="600" spans="1:18" ht="35.25" customHeight="1">
      <c r="A600" s="15">
        <f t="shared" si="9"/>
        <v>590</v>
      </c>
      <c r="B600" s="144" t="s">
        <v>1078</v>
      </c>
      <c r="C600" s="150" t="s">
        <v>723</v>
      </c>
      <c r="D600" s="156"/>
      <c r="E600" s="156"/>
      <c r="F600" s="156"/>
      <c r="G600" s="154" t="s">
        <v>2342</v>
      </c>
      <c r="H600" s="141"/>
      <c r="I600" s="153" t="s">
        <v>624</v>
      </c>
      <c r="J600" s="153">
        <v>1</v>
      </c>
      <c r="K600" s="144" t="s">
        <v>730</v>
      </c>
      <c r="L600" s="142" t="s">
        <v>567</v>
      </c>
      <c r="M600" s="276" t="s">
        <v>3271</v>
      </c>
      <c r="N600" s="149" t="s">
        <v>646</v>
      </c>
      <c r="O600" s="194">
        <v>44996</v>
      </c>
      <c r="P600" s="145"/>
      <c r="Q600" s="145"/>
      <c r="R600" s="150"/>
    </row>
    <row r="601" spans="1:18" ht="35.25" customHeight="1">
      <c r="A601" s="15">
        <f t="shared" si="9"/>
        <v>591</v>
      </c>
      <c r="B601" s="144" t="s">
        <v>1079</v>
      </c>
      <c r="C601" s="150" t="s">
        <v>723</v>
      </c>
      <c r="D601" s="156"/>
      <c r="E601" s="156"/>
      <c r="F601" s="156"/>
      <c r="G601" s="154" t="s">
        <v>2342</v>
      </c>
      <c r="H601" s="141"/>
      <c r="I601" s="153" t="s">
        <v>624</v>
      </c>
      <c r="J601" s="153">
        <v>1</v>
      </c>
      <c r="K601" s="144" t="s">
        <v>730</v>
      </c>
      <c r="L601" s="142" t="s">
        <v>567</v>
      </c>
      <c r="M601" s="276" t="s">
        <v>3271</v>
      </c>
      <c r="N601" s="149" t="s">
        <v>646</v>
      </c>
      <c r="O601" s="194">
        <v>44996</v>
      </c>
      <c r="P601" s="145"/>
      <c r="Q601" s="145"/>
      <c r="R601" s="150"/>
    </row>
    <row r="602" spans="1:18" ht="35.25" customHeight="1">
      <c r="A602" s="15">
        <f t="shared" si="9"/>
        <v>592</v>
      </c>
      <c r="B602" s="144" t="s">
        <v>1080</v>
      </c>
      <c r="C602" s="150" t="s">
        <v>723</v>
      </c>
      <c r="D602" s="156"/>
      <c r="E602" s="156"/>
      <c r="F602" s="156"/>
      <c r="G602" s="154" t="s">
        <v>2342</v>
      </c>
      <c r="H602" s="141"/>
      <c r="I602" s="153" t="s">
        <v>624</v>
      </c>
      <c r="J602" s="153">
        <v>1</v>
      </c>
      <c r="K602" s="144" t="s">
        <v>730</v>
      </c>
      <c r="L602" s="142" t="s">
        <v>567</v>
      </c>
      <c r="M602" s="276" t="s">
        <v>3271</v>
      </c>
      <c r="N602" s="149" t="s">
        <v>646</v>
      </c>
      <c r="O602" s="194">
        <v>44996</v>
      </c>
      <c r="P602" s="145"/>
      <c r="Q602" s="145"/>
      <c r="R602" s="150"/>
    </row>
    <row r="603" spans="1:18" ht="35.25" customHeight="1">
      <c r="A603" s="15">
        <f t="shared" si="9"/>
        <v>593</v>
      </c>
      <c r="B603" s="144" t="s">
        <v>1081</v>
      </c>
      <c r="C603" s="150" t="s">
        <v>723</v>
      </c>
      <c r="D603" s="156"/>
      <c r="E603" s="156"/>
      <c r="F603" s="156"/>
      <c r="G603" s="154" t="s">
        <v>2342</v>
      </c>
      <c r="H603" s="141"/>
      <c r="I603" s="153" t="s">
        <v>624</v>
      </c>
      <c r="J603" s="153">
        <v>1</v>
      </c>
      <c r="K603" s="144" t="s">
        <v>730</v>
      </c>
      <c r="L603" s="142" t="s">
        <v>567</v>
      </c>
      <c r="M603" s="276" t="s">
        <v>3271</v>
      </c>
      <c r="N603" s="149" t="s">
        <v>646</v>
      </c>
      <c r="O603" s="194">
        <v>44996</v>
      </c>
      <c r="P603" s="145"/>
      <c r="Q603" s="145"/>
      <c r="R603" s="150"/>
    </row>
    <row r="604" spans="1:18" ht="35.25" customHeight="1">
      <c r="A604" s="15">
        <f t="shared" si="9"/>
        <v>594</v>
      </c>
      <c r="B604" s="144" t="s">
        <v>1082</v>
      </c>
      <c r="C604" s="150" t="s">
        <v>723</v>
      </c>
      <c r="D604" s="156"/>
      <c r="E604" s="156"/>
      <c r="F604" s="156"/>
      <c r="G604" s="154" t="s">
        <v>2342</v>
      </c>
      <c r="H604" s="141"/>
      <c r="I604" s="153" t="s">
        <v>624</v>
      </c>
      <c r="J604" s="153">
        <v>1</v>
      </c>
      <c r="K604" s="144" t="s">
        <v>730</v>
      </c>
      <c r="L604" s="142" t="s">
        <v>567</v>
      </c>
      <c r="M604" s="276" t="s">
        <v>3271</v>
      </c>
      <c r="N604" s="149" t="s">
        <v>646</v>
      </c>
      <c r="O604" s="194">
        <v>44996</v>
      </c>
      <c r="P604" s="240"/>
      <c r="Q604" s="240"/>
      <c r="R604" s="150"/>
    </row>
    <row r="605" spans="1:18" ht="35.25" customHeight="1">
      <c r="A605" s="15">
        <f t="shared" si="9"/>
        <v>595</v>
      </c>
      <c r="B605" s="144" t="s">
        <v>1083</v>
      </c>
      <c r="C605" s="150" t="s">
        <v>723</v>
      </c>
      <c r="D605" s="156"/>
      <c r="E605" s="156"/>
      <c r="F605" s="156"/>
      <c r="G605" s="154" t="s">
        <v>2343</v>
      </c>
      <c r="H605" s="141"/>
      <c r="I605" s="153" t="s">
        <v>624</v>
      </c>
      <c r="J605" s="153">
        <v>1</v>
      </c>
      <c r="K605" s="144" t="s">
        <v>730</v>
      </c>
      <c r="L605" s="142" t="s">
        <v>567</v>
      </c>
      <c r="M605" s="276" t="s">
        <v>3271</v>
      </c>
      <c r="N605" s="149" t="s">
        <v>646</v>
      </c>
      <c r="O605" s="194">
        <v>44996</v>
      </c>
      <c r="P605" s="145"/>
      <c r="Q605" s="145"/>
      <c r="R605" s="150"/>
    </row>
    <row r="606" spans="1:18" ht="35.25" customHeight="1">
      <c r="A606" s="15">
        <f t="shared" si="9"/>
        <v>596</v>
      </c>
      <c r="B606" s="144" t="s">
        <v>1084</v>
      </c>
      <c r="C606" s="150" t="s">
        <v>723</v>
      </c>
      <c r="D606" s="156"/>
      <c r="E606" s="156"/>
      <c r="F606" s="156"/>
      <c r="G606" s="154" t="s">
        <v>2343</v>
      </c>
      <c r="H606" s="141"/>
      <c r="I606" s="153" t="s">
        <v>624</v>
      </c>
      <c r="J606" s="153">
        <v>1</v>
      </c>
      <c r="K606" s="144" t="s">
        <v>730</v>
      </c>
      <c r="L606" s="142" t="s">
        <v>567</v>
      </c>
      <c r="M606" s="276" t="s">
        <v>3271</v>
      </c>
      <c r="N606" s="149" t="s">
        <v>646</v>
      </c>
      <c r="O606" s="194">
        <v>44996</v>
      </c>
      <c r="P606" s="145"/>
      <c r="Q606" s="145"/>
      <c r="R606" s="150"/>
    </row>
    <row r="607" spans="1:18" ht="35.25" customHeight="1">
      <c r="A607" s="15">
        <f t="shared" si="9"/>
        <v>597</v>
      </c>
      <c r="B607" s="144" t="s">
        <v>1085</v>
      </c>
      <c r="C607" s="150" t="s">
        <v>723</v>
      </c>
      <c r="D607" s="156"/>
      <c r="E607" s="156"/>
      <c r="F607" s="156"/>
      <c r="G607" s="154" t="s">
        <v>2343</v>
      </c>
      <c r="H607" s="141"/>
      <c r="I607" s="153" t="s">
        <v>624</v>
      </c>
      <c r="J607" s="153">
        <v>1</v>
      </c>
      <c r="K607" s="144" t="s">
        <v>730</v>
      </c>
      <c r="L607" s="142" t="s">
        <v>567</v>
      </c>
      <c r="M607" s="276" t="s">
        <v>3271</v>
      </c>
      <c r="N607" s="149" t="s">
        <v>646</v>
      </c>
      <c r="O607" s="194">
        <v>44996</v>
      </c>
      <c r="P607" s="145"/>
      <c r="Q607" s="145"/>
      <c r="R607" s="150"/>
    </row>
    <row r="608" spans="1:18" ht="35.25" customHeight="1">
      <c r="A608" s="15">
        <f t="shared" si="9"/>
        <v>598</v>
      </c>
      <c r="B608" s="144" t="s">
        <v>1086</v>
      </c>
      <c r="C608" s="150" t="s">
        <v>723</v>
      </c>
      <c r="D608" s="156"/>
      <c r="E608" s="156"/>
      <c r="F608" s="156"/>
      <c r="G608" s="154" t="s">
        <v>2343</v>
      </c>
      <c r="H608" s="141"/>
      <c r="I608" s="153" t="s">
        <v>624</v>
      </c>
      <c r="J608" s="153">
        <v>1</v>
      </c>
      <c r="K608" s="144" t="s">
        <v>730</v>
      </c>
      <c r="L608" s="142" t="s">
        <v>567</v>
      </c>
      <c r="M608" s="276" t="s">
        <v>3271</v>
      </c>
      <c r="N608" s="149" t="s">
        <v>646</v>
      </c>
      <c r="O608" s="194">
        <v>44996</v>
      </c>
      <c r="P608" s="145"/>
      <c r="Q608" s="145"/>
      <c r="R608" s="150"/>
    </row>
    <row r="609" spans="1:18" ht="35.25" customHeight="1">
      <c r="A609" s="15">
        <f t="shared" si="9"/>
        <v>599</v>
      </c>
      <c r="B609" s="144" t="s">
        <v>1087</v>
      </c>
      <c r="C609" s="150" t="s">
        <v>723</v>
      </c>
      <c r="D609" s="156"/>
      <c r="E609" s="156"/>
      <c r="F609" s="156"/>
      <c r="G609" s="154" t="s">
        <v>2343</v>
      </c>
      <c r="H609" s="141"/>
      <c r="I609" s="153" t="s">
        <v>624</v>
      </c>
      <c r="J609" s="153">
        <v>1</v>
      </c>
      <c r="K609" s="144" t="s">
        <v>730</v>
      </c>
      <c r="L609" s="142" t="s">
        <v>567</v>
      </c>
      <c r="M609" s="276" t="s">
        <v>3271</v>
      </c>
      <c r="N609" s="149" t="s">
        <v>646</v>
      </c>
      <c r="O609" s="194">
        <v>44996</v>
      </c>
      <c r="P609" s="145"/>
      <c r="Q609" s="145"/>
      <c r="R609" s="150"/>
    </row>
    <row r="610" spans="1:18" ht="35.25" customHeight="1">
      <c r="A610" s="15">
        <f t="shared" si="9"/>
        <v>600</v>
      </c>
      <c r="B610" s="144" t="s">
        <v>1088</v>
      </c>
      <c r="C610" s="150" t="s">
        <v>723</v>
      </c>
      <c r="D610" s="156"/>
      <c r="E610" s="156"/>
      <c r="F610" s="156"/>
      <c r="G610" s="154" t="s">
        <v>2343</v>
      </c>
      <c r="H610" s="141"/>
      <c r="I610" s="153" t="s">
        <v>624</v>
      </c>
      <c r="J610" s="153">
        <v>1</v>
      </c>
      <c r="K610" s="144" t="s">
        <v>730</v>
      </c>
      <c r="L610" s="142" t="s">
        <v>567</v>
      </c>
      <c r="M610" s="276" t="s">
        <v>3271</v>
      </c>
      <c r="N610" s="149" t="s">
        <v>646</v>
      </c>
      <c r="O610" s="194">
        <v>44996</v>
      </c>
      <c r="P610" s="145"/>
      <c r="Q610" s="145"/>
      <c r="R610" s="150"/>
    </row>
    <row r="611" spans="1:18" ht="35.25" customHeight="1">
      <c r="A611" s="15">
        <f t="shared" si="9"/>
        <v>601</v>
      </c>
      <c r="B611" s="144" t="s">
        <v>1089</v>
      </c>
      <c r="C611" s="150" t="s">
        <v>723</v>
      </c>
      <c r="D611" s="156"/>
      <c r="E611" s="156"/>
      <c r="F611" s="156"/>
      <c r="G611" s="154" t="s">
        <v>2343</v>
      </c>
      <c r="H611" s="141"/>
      <c r="I611" s="153" t="s">
        <v>624</v>
      </c>
      <c r="J611" s="153">
        <v>1</v>
      </c>
      <c r="K611" s="144" t="s">
        <v>730</v>
      </c>
      <c r="L611" s="142" t="s">
        <v>567</v>
      </c>
      <c r="M611" s="276" t="s">
        <v>3271</v>
      </c>
      <c r="N611" s="149" t="s">
        <v>646</v>
      </c>
      <c r="O611" s="194">
        <v>44996</v>
      </c>
      <c r="P611" s="145"/>
      <c r="Q611" s="145"/>
      <c r="R611" s="150"/>
    </row>
    <row r="612" spans="1:18" ht="35.25" customHeight="1">
      <c r="A612" s="15">
        <f t="shared" si="9"/>
        <v>602</v>
      </c>
      <c r="B612" s="144" t="s">
        <v>1090</v>
      </c>
      <c r="C612" s="150" t="s">
        <v>723</v>
      </c>
      <c r="D612" s="156"/>
      <c r="E612" s="156"/>
      <c r="F612" s="156"/>
      <c r="G612" s="154" t="s">
        <v>2343</v>
      </c>
      <c r="H612" s="141"/>
      <c r="I612" s="153" t="s">
        <v>624</v>
      </c>
      <c r="J612" s="153">
        <v>1</v>
      </c>
      <c r="K612" s="144" t="s">
        <v>730</v>
      </c>
      <c r="L612" s="142" t="s">
        <v>567</v>
      </c>
      <c r="M612" s="276" t="s">
        <v>3271</v>
      </c>
      <c r="N612" s="149" t="s">
        <v>646</v>
      </c>
      <c r="O612" s="194">
        <v>44996</v>
      </c>
      <c r="P612" s="145"/>
      <c r="Q612" s="145"/>
      <c r="R612" s="150"/>
    </row>
    <row r="613" spans="1:18" ht="35.25" customHeight="1">
      <c r="A613" s="15">
        <f t="shared" si="9"/>
        <v>603</v>
      </c>
      <c r="B613" s="144" t="s">
        <v>1091</v>
      </c>
      <c r="C613" s="150" t="s">
        <v>723</v>
      </c>
      <c r="D613" s="156"/>
      <c r="E613" s="156"/>
      <c r="F613" s="156"/>
      <c r="G613" s="154" t="s">
        <v>2343</v>
      </c>
      <c r="H613" s="141"/>
      <c r="I613" s="153" t="s">
        <v>624</v>
      </c>
      <c r="J613" s="153">
        <v>1</v>
      </c>
      <c r="K613" s="144" t="s">
        <v>730</v>
      </c>
      <c r="L613" s="142" t="s">
        <v>567</v>
      </c>
      <c r="M613" s="276" t="s">
        <v>3271</v>
      </c>
      <c r="N613" s="149" t="s">
        <v>646</v>
      </c>
      <c r="O613" s="194">
        <v>44996</v>
      </c>
      <c r="P613" s="145"/>
      <c r="Q613" s="145"/>
      <c r="R613" s="150"/>
    </row>
    <row r="614" spans="1:18" ht="35.25" customHeight="1">
      <c r="A614" s="15">
        <f t="shared" si="9"/>
        <v>604</v>
      </c>
      <c r="B614" s="144" t="s">
        <v>1092</v>
      </c>
      <c r="C614" s="150" t="s">
        <v>723</v>
      </c>
      <c r="D614" s="156"/>
      <c r="E614" s="156"/>
      <c r="F614" s="156"/>
      <c r="G614" s="154" t="s">
        <v>2343</v>
      </c>
      <c r="H614" s="141"/>
      <c r="I614" s="153" t="s">
        <v>624</v>
      </c>
      <c r="J614" s="153">
        <v>1</v>
      </c>
      <c r="K614" s="144" t="s">
        <v>730</v>
      </c>
      <c r="L614" s="142" t="s">
        <v>567</v>
      </c>
      <c r="M614" s="276" t="s">
        <v>3271</v>
      </c>
      <c r="N614" s="149" t="s">
        <v>646</v>
      </c>
      <c r="O614" s="194">
        <v>44996</v>
      </c>
      <c r="P614" s="145"/>
      <c r="Q614" s="145"/>
      <c r="R614" s="150"/>
    </row>
    <row r="615" spans="1:18" ht="35.25" customHeight="1">
      <c r="A615" s="15">
        <f t="shared" si="9"/>
        <v>605</v>
      </c>
      <c r="B615" s="144" t="s">
        <v>1093</v>
      </c>
      <c r="C615" s="150" t="s">
        <v>723</v>
      </c>
      <c r="D615" s="156"/>
      <c r="E615" s="156"/>
      <c r="F615" s="156"/>
      <c r="G615" s="154" t="s">
        <v>2343</v>
      </c>
      <c r="H615" s="141"/>
      <c r="I615" s="153" t="s">
        <v>624</v>
      </c>
      <c r="J615" s="153">
        <v>1</v>
      </c>
      <c r="K615" s="144" t="s">
        <v>730</v>
      </c>
      <c r="L615" s="142" t="s">
        <v>567</v>
      </c>
      <c r="M615" s="276" t="s">
        <v>3271</v>
      </c>
      <c r="N615" s="149" t="s">
        <v>646</v>
      </c>
      <c r="O615" s="194">
        <v>44996</v>
      </c>
      <c r="P615" s="145"/>
      <c r="Q615" s="145"/>
      <c r="R615" s="150"/>
    </row>
    <row r="616" spans="1:18" ht="35.25" customHeight="1">
      <c r="A616" s="15">
        <f t="shared" si="9"/>
        <v>606</v>
      </c>
      <c r="B616" s="144" t="s">
        <v>1094</v>
      </c>
      <c r="C616" s="150" t="s">
        <v>723</v>
      </c>
      <c r="D616" s="156"/>
      <c r="E616" s="156"/>
      <c r="F616" s="156"/>
      <c r="G616" s="154" t="s">
        <v>2343</v>
      </c>
      <c r="H616" s="141"/>
      <c r="I616" s="153" t="s">
        <v>624</v>
      </c>
      <c r="J616" s="153">
        <v>1</v>
      </c>
      <c r="K616" s="144" t="s">
        <v>730</v>
      </c>
      <c r="L616" s="142" t="s">
        <v>567</v>
      </c>
      <c r="M616" s="276" t="s">
        <v>3271</v>
      </c>
      <c r="N616" s="149" t="s">
        <v>646</v>
      </c>
      <c r="O616" s="194">
        <v>44996</v>
      </c>
      <c r="P616" s="145"/>
      <c r="Q616" s="145"/>
      <c r="R616" s="150"/>
    </row>
    <row r="617" spans="1:18" ht="35.25" customHeight="1">
      <c r="A617" s="15">
        <f t="shared" si="9"/>
        <v>607</v>
      </c>
      <c r="B617" s="144" t="s">
        <v>1095</v>
      </c>
      <c r="C617" s="150" t="s">
        <v>723</v>
      </c>
      <c r="D617" s="156"/>
      <c r="E617" s="156"/>
      <c r="F617" s="156"/>
      <c r="G617" s="154" t="s">
        <v>2343</v>
      </c>
      <c r="H617" s="141"/>
      <c r="I617" s="153" t="s">
        <v>624</v>
      </c>
      <c r="J617" s="153">
        <v>1</v>
      </c>
      <c r="K617" s="144" t="s">
        <v>730</v>
      </c>
      <c r="L617" s="142" t="s">
        <v>567</v>
      </c>
      <c r="M617" s="276" t="s">
        <v>3271</v>
      </c>
      <c r="N617" s="149" t="s">
        <v>646</v>
      </c>
      <c r="O617" s="194">
        <v>44996</v>
      </c>
      <c r="P617" s="145"/>
      <c r="Q617" s="145"/>
      <c r="R617" s="150"/>
    </row>
    <row r="618" spans="1:18" ht="35.25" customHeight="1">
      <c r="A618" s="15">
        <f t="shared" si="9"/>
        <v>608</v>
      </c>
      <c r="B618" s="144" t="s">
        <v>1096</v>
      </c>
      <c r="C618" s="150" t="s">
        <v>723</v>
      </c>
      <c r="D618" s="156"/>
      <c r="E618" s="156"/>
      <c r="F618" s="156"/>
      <c r="G618" s="154" t="s">
        <v>2343</v>
      </c>
      <c r="H618" s="141"/>
      <c r="I618" s="153" t="s">
        <v>624</v>
      </c>
      <c r="J618" s="153">
        <v>1</v>
      </c>
      <c r="K618" s="144" t="s">
        <v>730</v>
      </c>
      <c r="L618" s="142" t="s">
        <v>567</v>
      </c>
      <c r="M618" s="276" t="s">
        <v>3271</v>
      </c>
      <c r="N618" s="149" t="s">
        <v>646</v>
      </c>
      <c r="O618" s="194">
        <v>44996</v>
      </c>
      <c r="P618" s="145"/>
      <c r="Q618" s="145"/>
      <c r="R618" s="150"/>
    </row>
    <row r="619" spans="1:18" ht="35.25" customHeight="1">
      <c r="A619" s="15">
        <f t="shared" si="9"/>
        <v>609</v>
      </c>
      <c r="B619" s="144" t="s">
        <v>1097</v>
      </c>
      <c r="C619" s="150" t="s">
        <v>723</v>
      </c>
      <c r="D619" s="156"/>
      <c r="E619" s="156"/>
      <c r="F619" s="156"/>
      <c r="G619" s="154" t="s">
        <v>2343</v>
      </c>
      <c r="H619" s="141"/>
      <c r="I619" s="153" t="s">
        <v>624</v>
      </c>
      <c r="J619" s="153">
        <v>1</v>
      </c>
      <c r="K619" s="144" t="s">
        <v>730</v>
      </c>
      <c r="L619" s="142" t="s">
        <v>567</v>
      </c>
      <c r="M619" s="276" t="s">
        <v>3271</v>
      </c>
      <c r="N619" s="149" t="s">
        <v>646</v>
      </c>
      <c r="O619" s="194">
        <v>44996</v>
      </c>
      <c r="P619" s="145"/>
      <c r="Q619" s="145"/>
      <c r="R619" s="150"/>
    </row>
    <row r="620" spans="1:18" ht="35.25" customHeight="1">
      <c r="A620" s="15">
        <f t="shared" si="9"/>
        <v>610</v>
      </c>
      <c r="B620" s="144" t="s">
        <v>1098</v>
      </c>
      <c r="C620" s="150" t="s">
        <v>723</v>
      </c>
      <c r="D620" s="156"/>
      <c r="E620" s="156"/>
      <c r="F620" s="156"/>
      <c r="G620" s="154" t="s">
        <v>2343</v>
      </c>
      <c r="H620" s="141"/>
      <c r="I620" s="153" t="s">
        <v>624</v>
      </c>
      <c r="J620" s="153">
        <v>1</v>
      </c>
      <c r="K620" s="144" t="s">
        <v>730</v>
      </c>
      <c r="L620" s="142" t="s">
        <v>567</v>
      </c>
      <c r="M620" s="276" t="s">
        <v>3271</v>
      </c>
      <c r="N620" s="149" t="s">
        <v>646</v>
      </c>
      <c r="O620" s="194">
        <v>44996</v>
      </c>
      <c r="P620" s="145"/>
      <c r="Q620" s="145"/>
      <c r="R620" s="150"/>
    </row>
    <row r="621" spans="1:18" ht="35.25" customHeight="1">
      <c r="A621" s="15">
        <f t="shared" si="9"/>
        <v>611</v>
      </c>
      <c r="B621" s="144" t="s">
        <v>1099</v>
      </c>
      <c r="C621" s="150" t="s">
        <v>723</v>
      </c>
      <c r="D621" s="156"/>
      <c r="E621" s="156"/>
      <c r="F621" s="156"/>
      <c r="G621" s="154" t="s">
        <v>2343</v>
      </c>
      <c r="H621" s="141"/>
      <c r="I621" s="153" t="s">
        <v>624</v>
      </c>
      <c r="J621" s="153">
        <v>1</v>
      </c>
      <c r="K621" s="144" t="s">
        <v>730</v>
      </c>
      <c r="L621" s="142" t="s">
        <v>567</v>
      </c>
      <c r="M621" s="276" t="s">
        <v>3271</v>
      </c>
      <c r="N621" s="149" t="s">
        <v>646</v>
      </c>
      <c r="O621" s="194">
        <v>44996</v>
      </c>
      <c r="P621" s="145"/>
      <c r="Q621" s="145"/>
      <c r="R621" s="150"/>
    </row>
    <row r="622" spans="1:18" ht="35.25" customHeight="1">
      <c r="A622" s="15">
        <f t="shared" si="9"/>
        <v>612</v>
      </c>
      <c r="B622" s="144" t="s">
        <v>1100</v>
      </c>
      <c r="C622" s="150" t="s">
        <v>723</v>
      </c>
      <c r="D622" s="156"/>
      <c r="E622" s="156"/>
      <c r="F622" s="156"/>
      <c r="G622" s="154" t="s">
        <v>2343</v>
      </c>
      <c r="H622" s="141"/>
      <c r="I622" s="153" t="s">
        <v>624</v>
      </c>
      <c r="J622" s="153">
        <v>1</v>
      </c>
      <c r="K622" s="144" t="s">
        <v>730</v>
      </c>
      <c r="L622" s="142" t="s">
        <v>567</v>
      </c>
      <c r="M622" s="276" t="s">
        <v>3271</v>
      </c>
      <c r="N622" s="149" t="s">
        <v>646</v>
      </c>
      <c r="O622" s="194">
        <v>44996</v>
      </c>
      <c r="P622" s="145"/>
      <c r="Q622" s="145"/>
      <c r="R622" s="150"/>
    </row>
    <row r="623" spans="1:18" ht="35.25" customHeight="1">
      <c r="A623" s="15">
        <f t="shared" si="9"/>
        <v>613</v>
      </c>
      <c r="B623" s="144" t="s">
        <v>1101</v>
      </c>
      <c r="C623" s="150" t="s">
        <v>723</v>
      </c>
      <c r="D623" s="156"/>
      <c r="E623" s="156"/>
      <c r="F623" s="156"/>
      <c r="G623" s="154" t="s">
        <v>2343</v>
      </c>
      <c r="H623" s="141"/>
      <c r="I623" s="153" t="s">
        <v>624</v>
      </c>
      <c r="J623" s="153">
        <v>1</v>
      </c>
      <c r="K623" s="144" t="s">
        <v>730</v>
      </c>
      <c r="L623" s="142" t="s">
        <v>567</v>
      </c>
      <c r="M623" s="276" t="s">
        <v>3271</v>
      </c>
      <c r="N623" s="149" t="s">
        <v>646</v>
      </c>
      <c r="O623" s="194">
        <v>44996</v>
      </c>
      <c r="P623" s="145"/>
      <c r="Q623" s="145"/>
      <c r="R623" s="150"/>
    </row>
    <row r="624" spans="1:18" ht="35.25" customHeight="1">
      <c r="A624" s="15">
        <f t="shared" si="9"/>
        <v>614</v>
      </c>
      <c r="B624" s="144" t="s">
        <v>1102</v>
      </c>
      <c r="C624" s="150" t="s">
        <v>723</v>
      </c>
      <c r="D624" s="156"/>
      <c r="E624" s="156"/>
      <c r="F624" s="156"/>
      <c r="G624" s="154" t="s">
        <v>2343</v>
      </c>
      <c r="H624" s="141"/>
      <c r="I624" s="153" t="s">
        <v>624</v>
      </c>
      <c r="J624" s="153">
        <v>1</v>
      </c>
      <c r="K624" s="144" t="s">
        <v>730</v>
      </c>
      <c r="L624" s="142" t="s">
        <v>567</v>
      </c>
      <c r="M624" s="276" t="s">
        <v>3271</v>
      </c>
      <c r="N624" s="149" t="s">
        <v>646</v>
      </c>
      <c r="O624" s="194">
        <v>44996</v>
      </c>
      <c r="P624" s="145"/>
      <c r="Q624" s="145"/>
      <c r="R624" s="150"/>
    </row>
    <row r="625" spans="1:18" ht="35.25" customHeight="1">
      <c r="A625" s="15">
        <f t="shared" si="9"/>
        <v>615</v>
      </c>
      <c r="B625" s="144" t="s">
        <v>1103</v>
      </c>
      <c r="C625" s="150" t="s">
        <v>723</v>
      </c>
      <c r="D625" s="156"/>
      <c r="E625" s="156"/>
      <c r="F625" s="156"/>
      <c r="G625" s="154" t="s">
        <v>2343</v>
      </c>
      <c r="H625" s="141"/>
      <c r="I625" s="153" t="s">
        <v>624</v>
      </c>
      <c r="J625" s="153">
        <v>1</v>
      </c>
      <c r="K625" s="144" t="s">
        <v>730</v>
      </c>
      <c r="L625" s="142" t="s">
        <v>567</v>
      </c>
      <c r="M625" s="276" t="s">
        <v>3271</v>
      </c>
      <c r="N625" s="149" t="s">
        <v>646</v>
      </c>
      <c r="O625" s="194">
        <v>44996</v>
      </c>
      <c r="P625" s="145"/>
      <c r="Q625" s="145"/>
      <c r="R625" s="150"/>
    </row>
    <row r="626" spans="1:18" ht="35.25" customHeight="1">
      <c r="A626" s="15">
        <f t="shared" si="9"/>
        <v>616</v>
      </c>
      <c r="B626" s="144" t="s">
        <v>1104</v>
      </c>
      <c r="C626" s="150" t="s">
        <v>723</v>
      </c>
      <c r="D626" s="156"/>
      <c r="E626" s="156"/>
      <c r="F626" s="156"/>
      <c r="G626" s="154" t="s">
        <v>2343</v>
      </c>
      <c r="H626" s="141"/>
      <c r="I626" s="153" t="s">
        <v>624</v>
      </c>
      <c r="J626" s="153">
        <v>1</v>
      </c>
      <c r="K626" s="144" t="s">
        <v>730</v>
      </c>
      <c r="L626" s="142" t="s">
        <v>567</v>
      </c>
      <c r="M626" s="276" t="s">
        <v>3271</v>
      </c>
      <c r="N626" s="149" t="s">
        <v>646</v>
      </c>
      <c r="O626" s="194">
        <v>44996</v>
      </c>
      <c r="P626" s="145"/>
      <c r="Q626" s="145"/>
      <c r="R626" s="150"/>
    </row>
    <row r="627" spans="1:18" ht="35.25" customHeight="1">
      <c r="A627" s="15">
        <f t="shared" si="9"/>
        <v>617</v>
      </c>
      <c r="B627" s="144" t="s">
        <v>1105</v>
      </c>
      <c r="C627" s="150" t="s">
        <v>723</v>
      </c>
      <c r="D627" s="156"/>
      <c r="E627" s="156"/>
      <c r="F627" s="156"/>
      <c r="G627" s="154" t="s">
        <v>2343</v>
      </c>
      <c r="H627" s="141"/>
      <c r="I627" s="153" t="s">
        <v>624</v>
      </c>
      <c r="J627" s="153">
        <v>1</v>
      </c>
      <c r="K627" s="144" t="s">
        <v>730</v>
      </c>
      <c r="L627" s="142" t="s">
        <v>567</v>
      </c>
      <c r="M627" s="276" t="s">
        <v>3271</v>
      </c>
      <c r="N627" s="149" t="s">
        <v>646</v>
      </c>
      <c r="O627" s="194">
        <v>44996</v>
      </c>
      <c r="P627" s="145"/>
      <c r="Q627" s="145"/>
      <c r="R627" s="150"/>
    </row>
    <row r="628" spans="1:18" ht="35.25" customHeight="1">
      <c r="A628" s="15">
        <f t="shared" si="9"/>
        <v>618</v>
      </c>
      <c r="B628" s="144" t="s">
        <v>1106</v>
      </c>
      <c r="C628" s="150" t="s">
        <v>723</v>
      </c>
      <c r="D628" s="156"/>
      <c r="E628" s="156"/>
      <c r="F628" s="156"/>
      <c r="G628" s="154" t="s">
        <v>2343</v>
      </c>
      <c r="H628" s="141"/>
      <c r="I628" s="153" t="s">
        <v>624</v>
      </c>
      <c r="J628" s="153">
        <v>1</v>
      </c>
      <c r="K628" s="144" t="s">
        <v>730</v>
      </c>
      <c r="L628" s="142" t="s">
        <v>567</v>
      </c>
      <c r="M628" s="276" t="s">
        <v>3271</v>
      </c>
      <c r="N628" s="149" t="s">
        <v>646</v>
      </c>
      <c r="O628" s="194">
        <v>44996</v>
      </c>
      <c r="P628" s="145"/>
      <c r="Q628" s="145"/>
      <c r="R628" s="150"/>
    </row>
    <row r="629" spans="1:18" ht="35.25" customHeight="1">
      <c r="A629" s="15">
        <f t="shared" si="9"/>
        <v>619</v>
      </c>
      <c r="B629" s="144" t="s">
        <v>1107</v>
      </c>
      <c r="C629" s="150" t="s">
        <v>723</v>
      </c>
      <c r="D629" s="156"/>
      <c r="E629" s="156"/>
      <c r="F629" s="156"/>
      <c r="G629" s="154" t="s">
        <v>2343</v>
      </c>
      <c r="H629" s="141"/>
      <c r="I629" s="153" t="s">
        <v>624</v>
      </c>
      <c r="J629" s="153">
        <v>1</v>
      </c>
      <c r="K629" s="144" t="s">
        <v>730</v>
      </c>
      <c r="L629" s="142" t="s">
        <v>567</v>
      </c>
      <c r="M629" s="276" t="s">
        <v>3271</v>
      </c>
      <c r="N629" s="149" t="s">
        <v>646</v>
      </c>
      <c r="O629" s="194">
        <v>44996</v>
      </c>
      <c r="P629" s="145"/>
      <c r="Q629" s="145"/>
      <c r="R629" s="150"/>
    </row>
    <row r="630" spans="1:18" ht="35.25" customHeight="1">
      <c r="A630" s="15">
        <f t="shared" si="9"/>
        <v>620</v>
      </c>
      <c r="B630" s="144" t="s">
        <v>1108</v>
      </c>
      <c r="C630" s="150" t="s">
        <v>723</v>
      </c>
      <c r="D630" s="156"/>
      <c r="E630" s="156"/>
      <c r="F630" s="156"/>
      <c r="G630" s="154" t="s">
        <v>2343</v>
      </c>
      <c r="H630" s="141"/>
      <c r="I630" s="153" t="s">
        <v>624</v>
      </c>
      <c r="J630" s="153">
        <v>1</v>
      </c>
      <c r="K630" s="144" t="s">
        <v>730</v>
      </c>
      <c r="L630" s="142" t="s">
        <v>567</v>
      </c>
      <c r="M630" s="276" t="s">
        <v>3271</v>
      </c>
      <c r="N630" s="149" t="s">
        <v>646</v>
      </c>
      <c r="O630" s="194">
        <v>44996</v>
      </c>
      <c r="P630" s="145"/>
      <c r="Q630" s="145"/>
      <c r="R630" s="150"/>
    </row>
    <row r="631" spans="1:18" ht="35.25" customHeight="1">
      <c r="A631" s="15">
        <f t="shared" si="9"/>
        <v>621</v>
      </c>
      <c r="B631" s="142" t="s">
        <v>1109</v>
      </c>
      <c r="C631" s="150" t="s">
        <v>1110</v>
      </c>
      <c r="D631" s="156"/>
      <c r="E631" s="156"/>
      <c r="F631" s="156"/>
      <c r="G631" s="144"/>
      <c r="H631" s="141"/>
      <c r="I631" s="144" t="s">
        <v>2496</v>
      </c>
      <c r="J631" s="153">
        <v>1</v>
      </c>
      <c r="K631" s="144" t="s">
        <v>730</v>
      </c>
      <c r="L631" s="142" t="s">
        <v>2516</v>
      </c>
      <c r="M631" s="19"/>
      <c r="N631" s="142" t="s">
        <v>2533</v>
      </c>
      <c r="O631" s="149"/>
      <c r="P631" s="145"/>
      <c r="Q631" s="145"/>
      <c r="R631" s="150"/>
    </row>
    <row r="632" spans="1:18" ht="35.25" customHeight="1">
      <c r="A632" s="15">
        <f t="shared" si="9"/>
        <v>622</v>
      </c>
      <c r="B632" s="142" t="s">
        <v>1111</v>
      </c>
      <c r="C632" s="150" t="s">
        <v>1110</v>
      </c>
      <c r="D632" s="156"/>
      <c r="E632" s="156"/>
      <c r="F632" s="156"/>
      <c r="G632" s="144"/>
      <c r="H632" s="141"/>
      <c r="I632" s="144" t="s">
        <v>2496</v>
      </c>
      <c r="J632" s="153">
        <v>1</v>
      </c>
      <c r="K632" s="144" t="s">
        <v>730</v>
      </c>
      <c r="L632" s="142" t="s">
        <v>2516</v>
      </c>
      <c r="M632" s="19"/>
      <c r="N632" s="142" t="s">
        <v>2534</v>
      </c>
      <c r="O632" s="149"/>
      <c r="P632" s="145"/>
      <c r="Q632" s="145"/>
      <c r="R632" s="150"/>
    </row>
    <row r="633" spans="1:18" ht="35.25" customHeight="1">
      <c r="A633" s="15">
        <f t="shared" si="9"/>
        <v>623</v>
      </c>
      <c r="B633" s="142" t="s">
        <v>1112</v>
      </c>
      <c r="C633" s="150" t="s">
        <v>1110</v>
      </c>
      <c r="D633" s="156"/>
      <c r="E633" s="156"/>
      <c r="F633" s="156"/>
      <c r="G633" s="144"/>
      <c r="H633" s="141"/>
      <c r="I633" s="144" t="s">
        <v>2496</v>
      </c>
      <c r="J633" s="153">
        <v>1</v>
      </c>
      <c r="K633" s="144" t="s">
        <v>730</v>
      </c>
      <c r="L633" s="142" t="s">
        <v>2516</v>
      </c>
      <c r="M633" s="19"/>
      <c r="N633" s="142" t="s">
        <v>2535</v>
      </c>
      <c r="O633" s="149"/>
      <c r="P633" s="145"/>
      <c r="Q633" s="145"/>
      <c r="R633" s="150"/>
    </row>
    <row r="634" spans="1:18" ht="35.25" customHeight="1">
      <c r="A634" s="15">
        <f t="shared" si="9"/>
        <v>624</v>
      </c>
      <c r="B634" s="142" t="s">
        <v>1113</v>
      </c>
      <c r="C634" s="150" t="s">
        <v>1110</v>
      </c>
      <c r="D634" s="156"/>
      <c r="E634" s="156"/>
      <c r="F634" s="156"/>
      <c r="G634" s="144"/>
      <c r="H634" s="141"/>
      <c r="I634" s="144" t="s">
        <v>2496</v>
      </c>
      <c r="J634" s="153">
        <v>1</v>
      </c>
      <c r="K634" s="144" t="s">
        <v>730</v>
      </c>
      <c r="L634" s="142" t="s">
        <v>2516</v>
      </c>
      <c r="M634" s="19"/>
      <c r="N634" s="142" t="s">
        <v>2534</v>
      </c>
      <c r="O634" s="149"/>
      <c r="P634" s="145"/>
      <c r="Q634" s="145"/>
      <c r="R634" s="142" t="s">
        <v>272</v>
      </c>
    </row>
    <row r="635" spans="1:18" ht="35.25" customHeight="1">
      <c r="A635" s="15">
        <f t="shared" si="9"/>
        <v>625</v>
      </c>
      <c r="B635" s="142" t="s">
        <v>1114</v>
      </c>
      <c r="C635" s="150" t="s">
        <v>1110</v>
      </c>
      <c r="D635" s="156"/>
      <c r="E635" s="156"/>
      <c r="F635" s="156"/>
      <c r="G635" s="144"/>
      <c r="H635" s="141"/>
      <c r="I635" s="144" t="s">
        <v>2496</v>
      </c>
      <c r="J635" s="153">
        <v>1</v>
      </c>
      <c r="K635" s="144" t="s">
        <v>730</v>
      </c>
      <c r="L635" s="142" t="s">
        <v>2516</v>
      </c>
      <c r="M635" s="19"/>
      <c r="N635" s="142" t="s">
        <v>2534</v>
      </c>
      <c r="O635" s="149"/>
      <c r="P635" s="145"/>
      <c r="Q635" s="145"/>
      <c r="R635" s="142" t="s">
        <v>272</v>
      </c>
    </row>
    <row r="636" spans="1:18" ht="35.25" customHeight="1">
      <c r="A636" s="15">
        <f t="shared" si="9"/>
        <v>626</v>
      </c>
      <c r="B636" s="142" t="s">
        <v>1115</v>
      </c>
      <c r="C636" s="150" t="s">
        <v>1110</v>
      </c>
      <c r="D636" s="156"/>
      <c r="E636" s="156"/>
      <c r="F636" s="156"/>
      <c r="G636" s="144"/>
      <c r="H636" s="141"/>
      <c r="I636" s="144" t="s">
        <v>2496</v>
      </c>
      <c r="J636" s="153">
        <v>1</v>
      </c>
      <c r="K636" s="144" t="s">
        <v>730</v>
      </c>
      <c r="L636" s="142" t="s">
        <v>2516</v>
      </c>
      <c r="M636" s="19"/>
      <c r="N636" s="142" t="s">
        <v>2534</v>
      </c>
      <c r="O636" s="149"/>
      <c r="P636" s="145"/>
      <c r="Q636" s="145"/>
      <c r="R636" s="142" t="s">
        <v>272</v>
      </c>
    </row>
    <row r="637" spans="1:18" ht="35.25" customHeight="1">
      <c r="A637" s="15">
        <f t="shared" si="9"/>
        <v>627</v>
      </c>
      <c r="B637" s="142" t="s">
        <v>1116</v>
      </c>
      <c r="C637" s="150" t="s">
        <v>582</v>
      </c>
      <c r="D637" s="156"/>
      <c r="E637" s="156"/>
      <c r="F637" s="156"/>
      <c r="G637" s="144"/>
      <c r="H637" s="141"/>
      <c r="I637" s="144" t="s">
        <v>2496</v>
      </c>
      <c r="J637" s="153">
        <v>1</v>
      </c>
      <c r="K637" s="144" t="s">
        <v>730</v>
      </c>
      <c r="L637" s="142" t="s">
        <v>2516</v>
      </c>
      <c r="M637" s="19"/>
      <c r="N637" s="142" t="s">
        <v>2533</v>
      </c>
      <c r="O637" s="149"/>
      <c r="P637" s="145"/>
      <c r="Q637" s="145"/>
      <c r="R637" s="150"/>
    </row>
    <row r="638" spans="1:18" ht="35.25" customHeight="1">
      <c r="A638" s="15">
        <f t="shared" si="9"/>
        <v>628</v>
      </c>
      <c r="B638" s="142" t="s">
        <v>1117</v>
      </c>
      <c r="C638" s="150" t="s">
        <v>582</v>
      </c>
      <c r="D638" s="156"/>
      <c r="E638" s="156"/>
      <c r="F638" s="156"/>
      <c r="G638" s="144"/>
      <c r="H638" s="141"/>
      <c r="I638" s="144" t="s">
        <v>2496</v>
      </c>
      <c r="J638" s="153">
        <v>1</v>
      </c>
      <c r="K638" s="144" t="s">
        <v>730</v>
      </c>
      <c r="L638" s="142" t="s">
        <v>2516</v>
      </c>
      <c r="M638" s="19"/>
      <c r="N638" s="142" t="s">
        <v>2534</v>
      </c>
      <c r="O638" s="149"/>
      <c r="P638" s="145"/>
      <c r="Q638" s="145"/>
      <c r="R638" s="150"/>
    </row>
    <row r="639" spans="1:18" ht="35.25" customHeight="1">
      <c r="A639" s="15">
        <f t="shared" si="9"/>
        <v>629</v>
      </c>
      <c r="B639" s="142" t="s">
        <v>1118</v>
      </c>
      <c r="C639" s="150" t="s">
        <v>582</v>
      </c>
      <c r="D639" s="156"/>
      <c r="E639" s="156"/>
      <c r="F639" s="156"/>
      <c r="G639" s="144"/>
      <c r="H639" s="141"/>
      <c r="I639" s="144" t="s">
        <v>2496</v>
      </c>
      <c r="J639" s="153">
        <v>1</v>
      </c>
      <c r="K639" s="144" t="s">
        <v>730</v>
      </c>
      <c r="L639" s="142" t="s">
        <v>2516</v>
      </c>
      <c r="M639" s="19"/>
      <c r="N639" s="142" t="s">
        <v>2535</v>
      </c>
      <c r="O639" s="149"/>
      <c r="P639" s="145"/>
      <c r="Q639" s="145"/>
      <c r="R639" s="150"/>
    </row>
    <row r="640" spans="1:18" ht="35.25" customHeight="1">
      <c r="A640" s="15">
        <f t="shared" si="9"/>
        <v>630</v>
      </c>
      <c r="B640" s="142" t="s">
        <v>1119</v>
      </c>
      <c r="C640" s="150" t="s">
        <v>582</v>
      </c>
      <c r="D640" s="156"/>
      <c r="E640" s="156"/>
      <c r="F640" s="156"/>
      <c r="G640" s="144"/>
      <c r="H640" s="141"/>
      <c r="I640" s="144" t="s">
        <v>2496</v>
      </c>
      <c r="J640" s="153">
        <v>1</v>
      </c>
      <c r="K640" s="144" t="s">
        <v>730</v>
      </c>
      <c r="L640" s="142" t="s">
        <v>2516</v>
      </c>
      <c r="M640" s="19"/>
      <c r="N640" s="142" t="s">
        <v>2534</v>
      </c>
      <c r="O640" s="149"/>
      <c r="P640" s="145"/>
      <c r="Q640" s="145"/>
      <c r="R640" s="142" t="s">
        <v>272</v>
      </c>
    </row>
    <row r="641" spans="1:18" ht="35.25" customHeight="1">
      <c r="A641" s="15">
        <f t="shared" si="9"/>
        <v>631</v>
      </c>
      <c r="B641" s="142" t="s">
        <v>1120</v>
      </c>
      <c r="C641" s="150" t="s">
        <v>582</v>
      </c>
      <c r="D641" s="156"/>
      <c r="E641" s="156"/>
      <c r="F641" s="156"/>
      <c r="G641" s="144"/>
      <c r="H641" s="141"/>
      <c r="I641" s="144" t="s">
        <v>2496</v>
      </c>
      <c r="J641" s="153">
        <v>1</v>
      </c>
      <c r="K641" s="144" t="s">
        <v>730</v>
      </c>
      <c r="L641" s="142" t="s">
        <v>2516</v>
      </c>
      <c r="M641" s="19"/>
      <c r="N641" s="142" t="s">
        <v>2534</v>
      </c>
      <c r="O641" s="149"/>
      <c r="P641" s="145"/>
      <c r="Q641" s="145"/>
      <c r="R641" s="142" t="s">
        <v>272</v>
      </c>
    </row>
    <row r="642" spans="1:18" ht="35.25" customHeight="1">
      <c r="A642" s="15">
        <f t="shared" si="9"/>
        <v>632</v>
      </c>
      <c r="B642" s="142" t="s">
        <v>1121</v>
      </c>
      <c r="C642" s="150" t="s">
        <v>1122</v>
      </c>
      <c r="D642" s="156"/>
      <c r="E642" s="156"/>
      <c r="F642" s="156"/>
      <c r="G642" s="144"/>
      <c r="H642" s="141"/>
      <c r="I642" s="144" t="s">
        <v>18</v>
      </c>
      <c r="J642" s="153">
        <v>4</v>
      </c>
      <c r="K642" s="144" t="s">
        <v>730</v>
      </c>
      <c r="L642" s="142" t="s">
        <v>2516</v>
      </c>
      <c r="M642" s="19"/>
      <c r="N642" s="142" t="s">
        <v>2534</v>
      </c>
      <c r="O642" s="149"/>
      <c r="P642" s="145"/>
      <c r="Q642" s="145"/>
      <c r="R642" s="142" t="s">
        <v>272</v>
      </c>
    </row>
    <row r="643" spans="1:18" ht="35.25" customHeight="1">
      <c r="A643" s="15">
        <f t="shared" si="9"/>
        <v>633</v>
      </c>
      <c r="B643" s="142" t="s">
        <v>1123</v>
      </c>
      <c r="C643" s="150" t="s">
        <v>1124</v>
      </c>
      <c r="D643" s="156"/>
      <c r="E643" s="156"/>
      <c r="F643" s="156"/>
      <c r="G643" s="154"/>
      <c r="H643" s="141"/>
      <c r="I643" s="144" t="s">
        <v>18</v>
      </c>
      <c r="J643" s="153">
        <v>4</v>
      </c>
      <c r="K643" s="144" t="s">
        <v>730</v>
      </c>
      <c r="L643" s="142" t="s">
        <v>2516</v>
      </c>
      <c r="M643" s="19"/>
      <c r="N643" s="142" t="s">
        <v>2534</v>
      </c>
      <c r="O643" s="149"/>
      <c r="P643" s="145"/>
      <c r="Q643" s="145"/>
      <c r="R643" s="150" t="s">
        <v>3243</v>
      </c>
    </row>
    <row r="644" spans="1:18" ht="35.25" customHeight="1">
      <c r="A644" s="15">
        <f t="shared" si="9"/>
        <v>634</v>
      </c>
      <c r="B644" s="142" t="s">
        <v>1125</v>
      </c>
      <c r="C644" s="150" t="s">
        <v>139</v>
      </c>
      <c r="D644" s="156"/>
      <c r="E644" s="156"/>
      <c r="F644" s="156"/>
      <c r="G644" s="154"/>
      <c r="H644" s="141"/>
      <c r="I644" s="144" t="s">
        <v>2496</v>
      </c>
      <c r="J644" s="153">
        <v>1</v>
      </c>
      <c r="K644" s="144" t="s">
        <v>730</v>
      </c>
      <c r="L644" s="142" t="s">
        <v>2516</v>
      </c>
      <c r="M644" s="19"/>
      <c r="N644" s="142" t="s">
        <v>2534</v>
      </c>
      <c r="O644" s="149"/>
      <c r="P644" s="145"/>
      <c r="Q644" s="145"/>
      <c r="R644" s="142" t="s">
        <v>272</v>
      </c>
    </row>
    <row r="645" spans="1:18" ht="35.25" customHeight="1">
      <c r="A645" s="15">
        <f t="shared" si="9"/>
        <v>635</v>
      </c>
      <c r="B645" s="142" t="s">
        <v>1126</v>
      </c>
      <c r="C645" s="150" t="s">
        <v>1127</v>
      </c>
      <c r="D645" s="156"/>
      <c r="E645" s="156"/>
      <c r="F645" s="156"/>
      <c r="G645" s="154"/>
      <c r="H645" s="141"/>
      <c r="I645" s="144" t="s">
        <v>2496</v>
      </c>
      <c r="J645" s="153">
        <v>1</v>
      </c>
      <c r="K645" s="144" t="s">
        <v>730</v>
      </c>
      <c r="L645" s="142" t="s">
        <v>2516</v>
      </c>
      <c r="M645" s="19"/>
      <c r="N645" s="142" t="s">
        <v>2534</v>
      </c>
      <c r="O645" s="149"/>
      <c r="P645" s="145"/>
      <c r="Q645" s="145"/>
      <c r="R645" s="142" t="s">
        <v>272</v>
      </c>
    </row>
    <row r="646" spans="1:18" ht="35.25" customHeight="1">
      <c r="A646" s="15">
        <f t="shared" si="9"/>
        <v>636</v>
      </c>
      <c r="B646" s="142" t="s">
        <v>1128</v>
      </c>
      <c r="C646" s="150" t="s">
        <v>620</v>
      </c>
      <c r="D646" s="156"/>
      <c r="E646" s="156"/>
      <c r="F646" s="156"/>
      <c r="G646" s="144"/>
      <c r="H646" s="141"/>
      <c r="I646" s="144" t="s">
        <v>2496</v>
      </c>
      <c r="J646" s="153">
        <v>1</v>
      </c>
      <c r="K646" s="144" t="s">
        <v>730</v>
      </c>
      <c r="L646" s="142" t="s">
        <v>2516</v>
      </c>
      <c r="M646" s="19"/>
      <c r="N646" s="142" t="s">
        <v>2534</v>
      </c>
      <c r="O646" s="149"/>
      <c r="P646" s="145"/>
      <c r="Q646" s="145"/>
      <c r="R646" s="150"/>
    </row>
    <row r="647" spans="1:18" ht="35.25" customHeight="1">
      <c r="A647" s="15">
        <f t="shared" si="9"/>
        <v>637</v>
      </c>
      <c r="B647" s="142" t="s">
        <v>1129</v>
      </c>
      <c r="C647" s="150" t="s">
        <v>120</v>
      </c>
      <c r="D647" s="156"/>
      <c r="E647" s="156"/>
      <c r="F647" s="156"/>
      <c r="G647" s="144"/>
      <c r="H647" s="141"/>
      <c r="I647" s="144" t="s">
        <v>2496</v>
      </c>
      <c r="J647" s="153">
        <v>1</v>
      </c>
      <c r="K647" s="144" t="s">
        <v>730</v>
      </c>
      <c r="L647" s="142" t="s">
        <v>2516</v>
      </c>
      <c r="M647" s="19"/>
      <c r="N647" s="142" t="s">
        <v>2534</v>
      </c>
      <c r="O647" s="149"/>
      <c r="P647" s="145"/>
      <c r="Q647" s="145"/>
      <c r="R647" s="150"/>
    </row>
    <row r="648" spans="1:18" ht="35.25" customHeight="1">
      <c r="A648" s="15">
        <f t="shared" si="9"/>
        <v>638</v>
      </c>
      <c r="B648" s="142" t="s">
        <v>1130</v>
      </c>
      <c r="C648" s="150" t="s">
        <v>1131</v>
      </c>
      <c r="D648" s="156"/>
      <c r="E648" s="156"/>
      <c r="F648" s="156"/>
      <c r="G648" s="144"/>
      <c r="H648" s="141"/>
      <c r="I648" s="144" t="s">
        <v>2496</v>
      </c>
      <c r="J648" s="153">
        <v>1</v>
      </c>
      <c r="K648" s="144" t="s">
        <v>730</v>
      </c>
      <c r="L648" s="142" t="s">
        <v>2516</v>
      </c>
      <c r="M648" s="19"/>
      <c r="N648" s="142" t="s">
        <v>2534</v>
      </c>
      <c r="O648" s="149"/>
      <c r="P648" s="145"/>
      <c r="Q648" s="145"/>
      <c r="R648" s="142" t="s">
        <v>272</v>
      </c>
    </row>
    <row r="649" spans="1:18" ht="35.25" customHeight="1">
      <c r="A649" s="15">
        <f t="shared" si="9"/>
        <v>639</v>
      </c>
      <c r="B649" s="142" t="s">
        <v>1132</v>
      </c>
      <c r="C649" s="150" t="s">
        <v>1133</v>
      </c>
      <c r="D649" s="156"/>
      <c r="E649" s="156"/>
      <c r="F649" s="156"/>
      <c r="G649" s="144"/>
      <c r="H649" s="141"/>
      <c r="I649" s="144" t="s">
        <v>2496</v>
      </c>
      <c r="J649" s="153">
        <v>1</v>
      </c>
      <c r="K649" s="144" t="s">
        <v>730</v>
      </c>
      <c r="L649" s="142" t="s">
        <v>2516</v>
      </c>
      <c r="M649" s="19"/>
      <c r="N649" s="142" t="s">
        <v>2534</v>
      </c>
      <c r="O649" s="149"/>
      <c r="P649" s="145"/>
      <c r="Q649" s="145"/>
      <c r="R649" s="142" t="s">
        <v>272</v>
      </c>
    </row>
    <row r="650" spans="1:18" ht="35.25" customHeight="1">
      <c r="A650" s="15">
        <f t="shared" si="9"/>
        <v>640</v>
      </c>
      <c r="B650" s="142" t="s">
        <v>1134</v>
      </c>
      <c r="C650" s="150" t="s">
        <v>1135</v>
      </c>
      <c r="D650" s="156"/>
      <c r="E650" s="156"/>
      <c r="F650" s="156"/>
      <c r="G650" s="144"/>
      <c r="H650" s="141"/>
      <c r="I650" s="144" t="s">
        <v>2496</v>
      </c>
      <c r="J650" s="153">
        <v>1</v>
      </c>
      <c r="K650" s="144" t="s">
        <v>730</v>
      </c>
      <c r="L650" s="142" t="s">
        <v>2516</v>
      </c>
      <c r="M650" s="19"/>
      <c r="N650" s="142" t="s">
        <v>2534</v>
      </c>
      <c r="O650" s="149"/>
      <c r="P650" s="145"/>
      <c r="Q650" s="145"/>
      <c r="R650" s="142" t="s">
        <v>272</v>
      </c>
    </row>
    <row r="651" spans="1:18" ht="35.25" customHeight="1">
      <c r="A651" s="15">
        <f t="shared" si="9"/>
        <v>641</v>
      </c>
      <c r="B651" s="142" t="s">
        <v>1136</v>
      </c>
      <c r="C651" s="150" t="s">
        <v>1137</v>
      </c>
      <c r="D651" s="156"/>
      <c r="E651" s="156"/>
      <c r="F651" s="156"/>
      <c r="G651" s="154"/>
      <c r="H651" s="141"/>
      <c r="I651" s="144" t="s">
        <v>2496</v>
      </c>
      <c r="J651" s="153">
        <v>1</v>
      </c>
      <c r="K651" s="144" t="s">
        <v>730</v>
      </c>
      <c r="L651" s="142" t="s">
        <v>2516</v>
      </c>
      <c r="M651" s="19"/>
      <c r="N651" s="142" t="s">
        <v>2534</v>
      </c>
      <c r="O651" s="149"/>
      <c r="P651" s="145"/>
      <c r="Q651" s="145"/>
      <c r="R651" s="142" t="s">
        <v>272</v>
      </c>
    </row>
    <row r="652" spans="1:18" ht="35.25" customHeight="1">
      <c r="A652" s="15">
        <f t="shared" si="9"/>
        <v>642</v>
      </c>
      <c r="B652" s="142" t="s">
        <v>1138</v>
      </c>
      <c r="C652" s="150" t="s">
        <v>1139</v>
      </c>
      <c r="D652" s="156"/>
      <c r="E652" s="156"/>
      <c r="F652" s="156"/>
      <c r="G652" s="154"/>
      <c r="H652" s="141"/>
      <c r="I652" s="144" t="s">
        <v>2496</v>
      </c>
      <c r="J652" s="153">
        <v>2</v>
      </c>
      <c r="K652" s="144" t="s">
        <v>730</v>
      </c>
      <c r="L652" s="142" t="s">
        <v>2516</v>
      </c>
      <c r="M652" s="19"/>
      <c r="N652" s="142" t="s">
        <v>2534</v>
      </c>
      <c r="O652" s="149"/>
      <c r="P652" s="145"/>
      <c r="Q652" s="145"/>
      <c r="R652" s="142" t="s">
        <v>272</v>
      </c>
    </row>
    <row r="653" spans="1:18" ht="35.25" customHeight="1">
      <c r="A653" s="15">
        <f t="shared" si="9"/>
        <v>643</v>
      </c>
      <c r="B653" s="142" t="s">
        <v>1140</v>
      </c>
      <c r="C653" s="150" t="s">
        <v>1141</v>
      </c>
      <c r="D653" s="156"/>
      <c r="E653" s="156"/>
      <c r="F653" s="156"/>
      <c r="G653" s="154"/>
      <c r="H653" s="141"/>
      <c r="I653" s="144" t="s">
        <v>2496</v>
      </c>
      <c r="J653" s="153">
        <v>3</v>
      </c>
      <c r="K653" s="144" t="s">
        <v>730</v>
      </c>
      <c r="L653" s="142" t="s">
        <v>2516</v>
      </c>
      <c r="M653" s="19"/>
      <c r="N653" s="142" t="s">
        <v>2534</v>
      </c>
      <c r="O653" s="149"/>
      <c r="P653" s="145"/>
      <c r="Q653" s="145"/>
      <c r="R653" s="142" t="s">
        <v>272</v>
      </c>
    </row>
    <row r="654" spans="1:18" ht="35.25" customHeight="1">
      <c r="A654" s="15">
        <f t="shared" si="9"/>
        <v>644</v>
      </c>
      <c r="B654" s="142" t="s">
        <v>1142</v>
      </c>
      <c r="C654" s="150" t="s">
        <v>1143</v>
      </c>
      <c r="D654" s="156"/>
      <c r="E654" s="156"/>
      <c r="F654" s="156"/>
      <c r="G654" s="154"/>
      <c r="H654" s="141"/>
      <c r="I654" s="144" t="s">
        <v>2496</v>
      </c>
      <c r="J654" s="153">
        <v>8</v>
      </c>
      <c r="K654" s="144" t="s">
        <v>730</v>
      </c>
      <c r="L654" s="142" t="s">
        <v>2516</v>
      </c>
      <c r="M654" s="19"/>
      <c r="N654" s="142" t="s">
        <v>2534</v>
      </c>
      <c r="O654" s="149"/>
      <c r="P654" s="145"/>
      <c r="Q654" s="145"/>
      <c r="R654" s="142" t="s">
        <v>272</v>
      </c>
    </row>
    <row r="655" spans="1:18" ht="35.25" customHeight="1">
      <c r="A655" s="15">
        <f t="shared" si="9"/>
        <v>645</v>
      </c>
      <c r="B655" s="142" t="s">
        <v>1144</v>
      </c>
      <c r="C655" s="150" t="s">
        <v>1145</v>
      </c>
      <c r="D655" s="156"/>
      <c r="E655" s="156"/>
      <c r="F655" s="156"/>
      <c r="G655" s="154"/>
      <c r="H655" s="141"/>
      <c r="I655" s="144" t="s">
        <v>2496</v>
      </c>
      <c r="J655" s="153">
        <v>1</v>
      </c>
      <c r="K655" s="144" t="s">
        <v>730</v>
      </c>
      <c r="L655" s="142" t="s">
        <v>2516</v>
      </c>
      <c r="M655" s="19"/>
      <c r="N655" s="142" t="s">
        <v>2533</v>
      </c>
      <c r="O655" s="149"/>
      <c r="P655" s="145"/>
      <c r="Q655" s="145"/>
      <c r="R655" s="150"/>
    </row>
    <row r="656" spans="1:18" ht="35.25" customHeight="1">
      <c r="A656" s="15">
        <f t="shared" si="9"/>
        <v>646</v>
      </c>
      <c r="B656" s="142" t="s">
        <v>1146</v>
      </c>
      <c r="C656" s="150" t="s">
        <v>1147</v>
      </c>
      <c r="D656" s="156"/>
      <c r="E656" s="156"/>
      <c r="F656" s="156"/>
      <c r="G656" s="154" t="s">
        <v>2344</v>
      </c>
      <c r="H656" s="141"/>
      <c r="I656" s="144" t="s">
        <v>2496</v>
      </c>
      <c r="J656" s="153">
        <v>1</v>
      </c>
      <c r="K656" s="144" t="s">
        <v>730</v>
      </c>
      <c r="L656" s="142" t="s">
        <v>2516</v>
      </c>
      <c r="M656" s="19"/>
      <c r="N656" s="142" t="s">
        <v>2534</v>
      </c>
      <c r="O656" s="149"/>
      <c r="P656" s="145"/>
      <c r="Q656" s="145"/>
      <c r="R656" s="142" t="s">
        <v>272</v>
      </c>
    </row>
    <row r="657" spans="1:18" ht="35.25" customHeight="1">
      <c r="A657" s="15">
        <f t="shared" si="9"/>
        <v>647</v>
      </c>
      <c r="B657" s="142" t="s">
        <v>1148</v>
      </c>
      <c r="C657" s="150" t="s">
        <v>1147</v>
      </c>
      <c r="D657" s="156"/>
      <c r="E657" s="156"/>
      <c r="F657" s="156"/>
      <c r="G657" s="154" t="s">
        <v>2345</v>
      </c>
      <c r="H657" s="141"/>
      <c r="I657" s="144" t="s">
        <v>2496</v>
      </c>
      <c r="J657" s="153">
        <v>1</v>
      </c>
      <c r="K657" s="144" t="s">
        <v>730</v>
      </c>
      <c r="L657" s="142" t="s">
        <v>2516</v>
      </c>
      <c r="M657" s="19"/>
      <c r="N657" s="142" t="s">
        <v>2534</v>
      </c>
      <c r="O657" s="149"/>
      <c r="P657" s="145"/>
      <c r="Q657" s="145"/>
      <c r="R657" s="142" t="s">
        <v>272</v>
      </c>
    </row>
    <row r="658" spans="1:18" ht="35.25" customHeight="1">
      <c r="A658" s="15">
        <f t="shared" si="9"/>
        <v>648</v>
      </c>
      <c r="B658" s="142" t="s">
        <v>1149</v>
      </c>
      <c r="C658" s="150" t="s">
        <v>1147</v>
      </c>
      <c r="D658" s="156"/>
      <c r="E658" s="156"/>
      <c r="F658" s="156"/>
      <c r="G658" s="154" t="s">
        <v>2346</v>
      </c>
      <c r="H658" s="141"/>
      <c r="I658" s="144" t="s">
        <v>2496</v>
      </c>
      <c r="J658" s="153">
        <v>1</v>
      </c>
      <c r="K658" s="144" t="s">
        <v>730</v>
      </c>
      <c r="L658" s="142" t="s">
        <v>2516</v>
      </c>
      <c r="M658" s="19"/>
      <c r="N658" s="142" t="s">
        <v>2534</v>
      </c>
      <c r="O658" s="149"/>
      <c r="P658" s="145"/>
      <c r="Q658" s="145"/>
      <c r="R658" s="142" t="s">
        <v>272</v>
      </c>
    </row>
    <row r="659" spans="1:18" ht="35.25" customHeight="1">
      <c r="A659" s="15">
        <f t="shared" ref="A659:A722" si="10">A658+1</f>
        <v>649</v>
      </c>
      <c r="B659" s="142" t="s">
        <v>1150</v>
      </c>
      <c r="C659" s="150" t="s">
        <v>1147</v>
      </c>
      <c r="D659" s="156"/>
      <c r="E659" s="156"/>
      <c r="F659" s="156"/>
      <c r="G659" s="154" t="s">
        <v>2347</v>
      </c>
      <c r="H659" s="141"/>
      <c r="I659" s="144" t="s">
        <v>2496</v>
      </c>
      <c r="J659" s="153">
        <v>1</v>
      </c>
      <c r="K659" s="144" t="s">
        <v>730</v>
      </c>
      <c r="L659" s="142" t="s">
        <v>2516</v>
      </c>
      <c r="M659" s="19"/>
      <c r="N659" s="142" t="s">
        <v>2534</v>
      </c>
      <c r="O659" s="149"/>
      <c r="P659" s="145"/>
      <c r="Q659" s="145"/>
      <c r="R659" s="142" t="s">
        <v>272</v>
      </c>
    </row>
    <row r="660" spans="1:18" ht="35.25" customHeight="1">
      <c r="A660" s="15">
        <f t="shared" si="10"/>
        <v>650</v>
      </c>
      <c r="B660" s="142" t="s">
        <v>1151</v>
      </c>
      <c r="C660" s="150" t="s">
        <v>1147</v>
      </c>
      <c r="D660" s="156"/>
      <c r="E660" s="156"/>
      <c r="F660" s="156"/>
      <c r="G660" s="154" t="s">
        <v>2348</v>
      </c>
      <c r="H660" s="141"/>
      <c r="I660" s="144" t="s">
        <v>2496</v>
      </c>
      <c r="J660" s="153">
        <v>1</v>
      </c>
      <c r="K660" s="144" t="s">
        <v>730</v>
      </c>
      <c r="L660" s="142" t="s">
        <v>2516</v>
      </c>
      <c r="M660" s="19"/>
      <c r="N660" s="142" t="s">
        <v>2534</v>
      </c>
      <c r="O660" s="149"/>
      <c r="P660" s="145"/>
      <c r="Q660" s="145"/>
      <c r="R660" s="142" t="s">
        <v>272</v>
      </c>
    </row>
    <row r="661" spans="1:18" ht="35.25" customHeight="1">
      <c r="A661" s="15">
        <f t="shared" si="10"/>
        <v>651</v>
      </c>
      <c r="B661" s="142" t="s">
        <v>1152</v>
      </c>
      <c r="C661" s="150" t="s">
        <v>1147</v>
      </c>
      <c r="D661" s="156"/>
      <c r="E661" s="156"/>
      <c r="F661" s="156"/>
      <c r="G661" s="154" t="s">
        <v>2349</v>
      </c>
      <c r="H661" s="141"/>
      <c r="I661" s="144" t="s">
        <v>2496</v>
      </c>
      <c r="J661" s="153">
        <v>1</v>
      </c>
      <c r="K661" s="144" t="s">
        <v>730</v>
      </c>
      <c r="L661" s="142" t="s">
        <v>2516</v>
      </c>
      <c r="M661" s="19"/>
      <c r="N661" s="142" t="s">
        <v>2534</v>
      </c>
      <c r="O661" s="149"/>
      <c r="P661" s="145"/>
      <c r="Q661" s="145"/>
      <c r="R661" s="142" t="s">
        <v>272</v>
      </c>
    </row>
    <row r="662" spans="1:18" ht="35.25" customHeight="1">
      <c r="A662" s="15">
        <f t="shared" si="10"/>
        <v>652</v>
      </c>
      <c r="B662" s="142" t="s">
        <v>1153</v>
      </c>
      <c r="C662" s="150" t="s">
        <v>1147</v>
      </c>
      <c r="D662" s="156"/>
      <c r="E662" s="156"/>
      <c r="F662" s="156"/>
      <c r="G662" s="154" t="s">
        <v>2350</v>
      </c>
      <c r="H662" s="141"/>
      <c r="I662" s="144" t="s">
        <v>2496</v>
      </c>
      <c r="J662" s="153">
        <v>1</v>
      </c>
      <c r="K662" s="144" t="s">
        <v>730</v>
      </c>
      <c r="L662" s="142" t="s">
        <v>2516</v>
      </c>
      <c r="M662" s="19"/>
      <c r="N662" s="142" t="s">
        <v>2534</v>
      </c>
      <c r="O662" s="149"/>
      <c r="P662" s="145"/>
      <c r="Q662" s="145"/>
      <c r="R662" s="142" t="s">
        <v>272</v>
      </c>
    </row>
    <row r="663" spans="1:18" ht="35.25" customHeight="1">
      <c r="A663" s="15">
        <f t="shared" si="10"/>
        <v>653</v>
      </c>
      <c r="B663" s="142" t="s">
        <v>1154</v>
      </c>
      <c r="C663" s="150" t="s">
        <v>1147</v>
      </c>
      <c r="D663" s="156"/>
      <c r="E663" s="156"/>
      <c r="F663" s="156"/>
      <c r="G663" s="154" t="s">
        <v>2351</v>
      </c>
      <c r="H663" s="141"/>
      <c r="I663" s="144" t="s">
        <v>2496</v>
      </c>
      <c r="J663" s="153">
        <v>1</v>
      </c>
      <c r="K663" s="144" t="s">
        <v>730</v>
      </c>
      <c r="L663" s="142" t="s">
        <v>2516</v>
      </c>
      <c r="M663" s="19"/>
      <c r="N663" s="142" t="s">
        <v>2534</v>
      </c>
      <c r="O663" s="149"/>
      <c r="P663" s="145"/>
      <c r="Q663" s="145"/>
      <c r="R663" s="142" t="s">
        <v>272</v>
      </c>
    </row>
    <row r="664" spans="1:18" ht="35.25" customHeight="1">
      <c r="A664" s="15">
        <f t="shared" si="10"/>
        <v>654</v>
      </c>
      <c r="B664" s="142" t="s">
        <v>1155</v>
      </c>
      <c r="C664" s="150" t="s">
        <v>1147</v>
      </c>
      <c r="D664" s="156"/>
      <c r="E664" s="156"/>
      <c r="F664" s="156"/>
      <c r="G664" s="154" t="s">
        <v>2352</v>
      </c>
      <c r="H664" s="141"/>
      <c r="I664" s="144" t="s">
        <v>2496</v>
      </c>
      <c r="J664" s="153">
        <v>1</v>
      </c>
      <c r="K664" s="144" t="s">
        <v>730</v>
      </c>
      <c r="L664" s="142" t="s">
        <v>2516</v>
      </c>
      <c r="M664" s="19"/>
      <c r="N664" s="142" t="s">
        <v>2534</v>
      </c>
      <c r="O664" s="149"/>
      <c r="P664" s="145"/>
      <c r="Q664" s="145"/>
      <c r="R664" s="142" t="s">
        <v>272</v>
      </c>
    </row>
    <row r="665" spans="1:18" ht="35.25" customHeight="1">
      <c r="A665" s="15">
        <f t="shared" si="10"/>
        <v>655</v>
      </c>
      <c r="B665" s="142" t="s">
        <v>1156</v>
      </c>
      <c r="C665" s="150" t="s">
        <v>1147</v>
      </c>
      <c r="D665" s="156"/>
      <c r="E665" s="156"/>
      <c r="F665" s="156"/>
      <c r="G665" s="154" t="s">
        <v>2353</v>
      </c>
      <c r="H665" s="141"/>
      <c r="I665" s="144" t="s">
        <v>2496</v>
      </c>
      <c r="J665" s="153">
        <v>1</v>
      </c>
      <c r="K665" s="144" t="s">
        <v>730</v>
      </c>
      <c r="L665" s="142" t="s">
        <v>2516</v>
      </c>
      <c r="M665" s="19"/>
      <c r="N665" s="142" t="s">
        <v>2534</v>
      </c>
      <c r="O665" s="149"/>
      <c r="P665" s="145"/>
      <c r="Q665" s="145"/>
      <c r="R665" s="142" t="s">
        <v>272</v>
      </c>
    </row>
    <row r="666" spans="1:18" ht="35.25" customHeight="1">
      <c r="A666" s="15">
        <f t="shared" si="10"/>
        <v>656</v>
      </c>
      <c r="B666" s="142" t="s">
        <v>1157</v>
      </c>
      <c r="C666" s="150" t="s">
        <v>1147</v>
      </c>
      <c r="D666" s="156"/>
      <c r="E666" s="156"/>
      <c r="F666" s="156"/>
      <c r="G666" s="154" t="s">
        <v>2354</v>
      </c>
      <c r="H666" s="141"/>
      <c r="I666" s="144" t="s">
        <v>2496</v>
      </c>
      <c r="J666" s="153">
        <v>1</v>
      </c>
      <c r="K666" s="144" t="s">
        <v>730</v>
      </c>
      <c r="L666" s="142" t="s">
        <v>2516</v>
      </c>
      <c r="M666" s="19"/>
      <c r="N666" s="142" t="s">
        <v>2534</v>
      </c>
      <c r="O666" s="149"/>
      <c r="P666" s="145"/>
      <c r="Q666" s="145"/>
      <c r="R666" s="142" t="s">
        <v>272</v>
      </c>
    </row>
    <row r="667" spans="1:18" ht="35.25" customHeight="1">
      <c r="A667" s="15">
        <f t="shared" si="10"/>
        <v>657</v>
      </c>
      <c r="B667" s="142" t="s">
        <v>1158</v>
      </c>
      <c r="C667" s="150" t="s">
        <v>1147</v>
      </c>
      <c r="D667" s="156"/>
      <c r="E667" s="156"/>
      <c r="F667" s="156"/>
      <c r="G667" s="154" t="s">
        <v>2355</v>
      </c>
      <c r="H667" s="141"/>
      <c r="I667" s="144" t="s">
        <v>2496</v>
      </c>
      <c r="J667" s="153">
        <v>1</v>
      </c>
      <c r="K667" s="144" t="s">
        <v>730</v>
      </c>
      <c r="L667" s="142" t="s">
        <v>2516</v>
      </c>
      <c r="M667" s="19"/>
      <c r="N667" s="142" t="s">
        <v>2534</v>
      </c>
      <c r="O667" s="149"/>
      <c r="P667" s="145"/>
      <c r="Q667" s="145"/>
      <c r="R667" s="142" t="s">
        <v>272</v>
      </c>
    </row>
    <row r="668" spans="1:18" ht="35.25" customHeight="1">
      <c r="A668" s="15">
        <f t="shared" si="10"/>
        <v>658</v>
      </c>
      <c r="B668" s="142" t="s">
        <v>1159</v>
      </c>
      <c r="C668" s="150" t="s">
        <v>1160</v>
      </c>
      <c r="D668" s="156"/>
      <c r="E668" s="156"/>
      <c r="F668" s="156"/>
      <c r="G668" s="154" t="s">
        <v>2356</v>
      </c>
      <c r="H668" s="141"/>
      <c r="I668" s="144" t="s">
        <v>2496</v>
      </c>
      <c r="J668" s="153">
        <v>1</v>
      </c>
      <c r="K668" s="144" t="s">
        <v>730</v>
      </c>
      <c r="L668" s="142" t="s">
        <v>2516</v>
      </c>
      <c r="M668" s="19"/>
      <c r="N668" s="142" t="s">
        <v>2534</v>
      </c>
      <c r="O668" s="149"/>
      <c r="P668" s="145"/>
      <c r="Q668" s="145"/>
      <c r="R668" s="142" t="s">
        <v>272</v>
      </c>
    </row>
    <row r="669" spans="1:18" ht="35.25" customHeight="1">
      <c r="A669" s="15">
        <f t="shared" si="10"/>
        <v>659</v>
      </c>
      <c r="B669" s="142" t="s">
        <v>1161</v>
      </c>
      <c r="C669" s="150" t="s">
        <v>1160</v>
      </c>
      <c r="D669" s="156"/>
      <c r="E669" s="156"/>
      <c r="F669" s="156"/>
      <c r="G669" s="154" t="s">
        <v>2356</v>
      </c>
      <c r="H669" s="141"/>
      <c r="I669" s="144" t="s">
        <v>2496</v>
      </c>
      <c r="J669" s="153">
        <v>1</v>
      </c>
      <c r="K669" s="144" t="s">
        <v>730</v>
      </c>
      <c r="L669" s="142" t="s">
        <v>2516</v>
      </c>
      <c r="M669" s="19"/>
      <c r="N669" s="142" t="s">
        <v>2534</v>
      </c>
      <c r="O669" s="149"/>
      <c r="P669" s="145"/>
      <c r="Q669" s="145"/>
      <c r="R669" s="142" t="s">
        <v>272</v>
      </c>
    </row>
    <row r="670" spans="1:18" ht="35.25" customHeight="1">
      <c r="A670" s="15">
        <f t="shared" si="10"/>
        <v>660</v>
      </c>
      <c r="B670" s="142" t="s">
        <v>1162</v>
      </c>
      <c r="C670" s="150" t="s">
        <v>1160</v>
      </c>
      <c r="D670" s="156"/>
      <c r="E670" s="156"/>
      <c r="F670" s="156"/>
      <c r="G670" s="154" t="s">
        <v>2356</v>
      </c>
      <c r="H670" s="141"/>
      <c r="I670" s="144" t="s">
        <v>2496</v>
      </c>
      <c r="J670" s="153">
        <v>1</v>
      </c>
      <c r="K670" s="144" t="s">
        <v>730</v>
      </c>
      <c r="L670" s="142" t="s">
        <v>2516</v>
      </c>
      <c r="M670" s="19"/>
      <c r="N670" s="142" t="s">
        <v>2534</v>
      </c>
      <c r="O670" s="149"/>
      <c r="P670" s="145"/>
      <c r="Q670" s="145"/>
      <c r="R670" s="142" t="s">
        <v>272</v>
      </c>
    </row>
    <row r="671" spans="1:18" ht="35.25" customHeight="1">
      <c r="A671" s="15">
        <f t="shared" si="10"/>
        <v>661</v>
      </c>
      <c r="B671" s="142" t="s">
        <v>1163</v>
      </c>
      <c r="C671" s="150" t="s">
        <v>1160</v>
      </c>
      <c r="D671" s="156"/>
      <c r="E671" s="156"/>
      <c r="F671" s="156"/>
      <c r="G671" s="154" t="s">
        <v>2356</v>
      </c>
      <c r="H671" s="141"/>
      <c r="I671" s="144" t="s">
        <v>2496</v>
      </c>
      <c r="J671" s="153">
        <v>1</v>
      </c>
      <c r="K671" s="144" t="s">
        <v>730</v>
      </c>
      <c r="L671" s="142" t="s">
        <v>2516</v>
      </c>
      <c r="M671" s="19"/>
      <c r="N671" s="142" t="s">
        <v>2534</v>
      </c>
      <c r="O671" s="149"/>
      <c r="P671" s="145"/>
      <c r="Q671" s="145"/>
      <c r="R671" s="142" t="s">
        <v>272</v>
      </c>
    </row>
    <row r="672" spans="1:18" ht="35.25" customHeight="1">
      <c r="A672" s="15">
        <f t="shared" si="10"/>
        <v>662</v>
      </c>
      <c r="B672" s="142" t="s">
        <v>1164</v>
      </c>
      <c r="C672" s="150" t="s">
        <v>1165</v>
      </c>
      <c r="D672" s="156"/>
      <c r="E672" s="156"/>
      <c r="F672" s="156"/>
      <c r="G672" s="154" t="s">
        <v>2357</v>
      </c>
      <c r="H672" s="141"/>
      <c r="I672" s="144" t="s">
        <v>2497</v>
      </c>
      <c r="J672" s="153">
        <v>1</v>
      </c>
      <c r="K672" s="144" t="s">
        <v>730</v>
      </c>
      <c r="L672" s="142" t="s">
        <v>2516</v>
      </c>
      <c r="M672" s="19"/>
      <c r="N672" s="142" t="s">
        <v>2534</v>
      </c>
      <c r="O672" s="149"/>
      <c r="P672" s="145"/>
      <c r="Q672" s="145"/>
      <c r="R672" s="142" t="s">
        <v>272</v>
      </c>
    </row>
    <row r="673" spans="1:18" ht="35.25" customHeight="1">
      <c r="A673" s="15">
        <f t="shared" si="10"/>
        <v>663</v>
      </c>
      <c r="B673" s="142" t="s">
        <v>1166</v>
      </c>
      <c r="C673" s="150" t="s">
        <v>1165</v>
      </c>
      <c r="D673" s="156"/>
      <c r="E673" s="156"/>
      <c r="F673" s="156"/>
      <c r="G673" s="154" t="s">
        <v>2358</v>
      </c>
      <c r="H673" s="141"/>
      <c r="I673" s="144" t="s">
        <v>2497</v>
      </c>
      <c r="J673" s="153">
        <v>1</v>
      </c>
      <c r="K673" s="144" t="s">
        <v>730</v>
      </c>
      <c r="L673" s="142" t="s">
        <v>2516</v>
      </c>
      <c r="M673" s="19"/>
      <c r="N673" s="142" t="s">
        <v>2534</v>
      </c>
      <c r="O673" s="149"/>
      <c r="P673" s="145"/>
      <c r="Q673" s="145"/>
      <c r="R673" s="142" t="s">
        <v>272</v>
      </c>
    </row>
    <row r="674" spans="1:18" ht="35.25" customHeight="1">
      <c r="A674" s="15">
        <f t="shared" si="10"/>
        <v>664</v>
      </c>
      <c r="B674" s="142" t="s">
        <v>1167</v>
      </c>
      <c r="C674" s="150" t="s">
        <v>1168</v>
      </c>
      <c r="D674" s="156"/>
      <c r="E674" s="156"/>
      <c r="F674" s="156"/>
      <c r="G674" s="144"/>
      <c r="H674" s="141"/>
      <c r="I674" s="144" t="s">
        <v>18</v>
      </c>
      <c r="J674" s="153">
        <v>1</v>
      </c>
      <c r="K674" s="144" t="s">
        <v>730</v>
      </c>
      <c r="L674" s="142" t="s">
        <v>2516</v>
      </c>
      <c r="M674" s="19"/>
      <c r="N674" s="142" t="s">
        <v>2534</v>
      </c>
      <c r="O674" s="149"/>
      <c r="P674" s="145"/>
      <c r="Q674" s="145"/>
      <c r="R674" s="142" t="s">
        <v>272</v>
      </c>
    </row>
    <row r="675" spans="1:18" ht="35.25" customHeight="1">
      <c r="A675" s="15">
        <f t="shared" si="10"/>
        <v>665</v>
      </c>
      <c r="B675" s="142" t="s">
        <v>1169</v>
      </c>
      <c r="C675" s="150" t="s">
        <v>1170</v>
      </c>
      <c r="D675" s="156"/>
      <c r="E675" s="156"/>
      <c r="F675" s="156"/>
      <c r="G675" s="144"/>
      <c r="H675" s="141"/>
      <c r="I675" s="144" t="s">
        <v>18</v>
      </c>
      <c r="J675" s="153">
        <v>1</v>
      </c>
      <c r="K675" s="144" t="s">
        <v>730</v>
      </c>
      <c r="L675" s="142" t="s">
        <v>2516</v>
      </c>
      <c r="M675" s="19"/>
      <c r="N675" s="142" t="s">
        <v>2534</v>
      </c>
      <c r="O675" s="149"/>
      <c r="P675" s="145"/>
      <c r="Q675" s="145"/>
      <c r="R675" s="142" t="s">
        <v>272</v>
      </c>
    </row>
    <row r="676" spans="1:18" ht="35.25" customHeight="1">
      <c r="A676" s="15">
        <f t="shared" si="10"/>
        <v>666</v>
      </c>
      <c r="B676" s="9" t="s">
        <v>1171</v>
      </c>
      <c r="C676" s="14" t="s">
        <v>1172</v>
      </c>
      <c r="D676" s="156"/>
      <c r="E676" s="156"/>
      <c r="F676" s="156"/>
      <c r="G676" s="64"/>
      <c r="H676" s="141"/>
      <c r="I676" s="144" t="s">
        <v>18</v>
      </c>
      <c r="J676" s="153">
        <v>2</v>
      </c>
      <c r="K676" s="144" t="s">
        <v>730</v>
      </c>
      <c r="L676" s="142" t="s">
        <v>2516</v>
      </c>
      <c r="M676" s="19"/>
      <c r="N676" s="142" t="s">
        <v>2534</v>
      </c>
      <c r="O676" s="146"/>
      <c r="P676" s="145"/>
      <c r="Q676" s="145"/>
      <c r="R676" s="142" t="s">
        <v>272</v>
      </c>
    </row>
    <row r="677" spans="1:18" ht="35.25" customHeight="1">
      <c r="A677" s="15">
        <f t="shared" si="10"/>
        <v>667</v>
      </c>
      <c r="B677" s="144" t="s">
        <v>1173</v>
      </c>
      <c r="C677" s="150" t="s">
        <v>1174</v>
      </c>
      <c r="D677" s="156"/>
      <c r="E677" s="156"/>
      <c r="F677" s="156"/>
      <c r="G677" s="154" t="s">
        <v>634</v>
      </c>
      <c r="H677" s="141"/>
      <c r="I677" s="153" t="s">
        <v>566</v>
      </c>
      <c r="J677" s="153">
        <v>1</v>
      </c>
      <c r="K677" s="144" t="s">
        <v>730</v>
      </c>
      <c r="L677" s="142" t="s">
        <v>2517</v>
      </c>
      <c r="M677" s="19"/>
      <c r="N677" s="142" t="s">
        <v>2536</v>
      </c>
      <c r="O677" s="149"/>
      <c r="P677" s="145"/>
      <c r="Q677" s="145"/>
      <c r="R677" s="150"/>
    </row>
    <row r="678" spans="1:18" ht="35.25" customHeight="1">
      <c r="A678" s="15">
        <f t="shared" si="10"/>
        <v>668</v>
      </c>
      <c r="B678" s="144" t="s">
        <v>1175</v>
      </c>
      <c r="C678" s="150" t="s">
        <v>1176</v>
      </c>
      <c r="D678" s="156"/>
      <c r="E678" s="156"/>
      <c r="F678" s="156"/>
      <c r="G678" s="154"/>
      <c r="H678" s="141"/>
      <c r="I678" s="153" t="s">
        <v>566</v>
      </c>
      <c r="J678" s="153">
        <v>1</v>
      </c>
      <c r="K678" s="144" t="s">
        <v>730</v>
      </c>
      <c r="L678" s="142" t="s">
        <v>2517</v>
      </c>
      <c r="M678" s="19"/>
      <c r="N678" s="142" t="s">
        <v>2536</v>
      </c>
      <c r="O678" s="149"/>
      <c r="P678" s="145"/>
      <c r="Q678" s="145"/>
      <c r="R678" s="150"/>
    </row>
    <row r="679" spans="1:18" ht="35.25" customHeight="1">
      <c r="A679" s="15">
        <f t="shared" si="10"/>
        <v>669</v>
      </c>
      <c r="B679" s="144" t="s">
        <v>1177</v>
      </c>
      <c r="C679" s="150" t="s">
        <v>601</v>
      </c>
      <c r="D679" s="156"/>
      <c r="E679" s="156"/>
      <c r="F679" s="156"/>
      <c r="G679" s="154"/>
      <c r="H679" s="141"/>
      <c r="I679" s="153" t="s">
        <v>566</v>
      </c>
      <c r="J679" s="153">
        <v>1</v>
      </c>
      <c r="K679" s="144" t="s">
        <v>730</v>
      </c>
      <c r="L679" s="142" t="s">
        <v>2517</v>
      </c>
      <c r="M679" s="19"/>
      <c r="N679" s="142" t="s">
        <v>2536</v>
      </c>
      <c r="O679" s="149"/>
      <c r="P679" s="145"/>
      <c r="Q679" s="145"/>
      <c r="R679" s="150"/>
    </row>
    <row r="680" spans="1:18" ht="35.25" customHeight="1">
      <c r="A680" s="15">
        <f t="shared" si="10"/>
        <v>670</v>
      </c>
      <c r="B680" s="144" t="s">
        <v>1178</v>
      </c>
      <c r="C680" s="150" t="s">
        <v>1179</v>
      </c>
      <c r="D680" s="156"/>
      <c r="E680" s="156"/>
      <c r="F680" s="156"/>
      <c r="G680" s="154" t="s">
        <v>385</v>
      </c>
      <c r="H680" s="141"/>
      <c r="I680" s="153" t="s">
        <v>566</v>
      </c>
      <c r="J680" s="153">
        <v>1</v>
      </c>
      <c r="K680" s="144" t="s">
        <v>730</v>
      </c>
      <c r="L680" s="142" t="s">
        <v>2517</v>
      </c>
      <c r="M680" s="19"/>
      <c r="N680" s="142" t="s">
        <v>2536</v>
      </c>
      <c r="O680" s="149"/>
      <c r="P680" s="145"/>
      <c r="Q680" s="145"/>
      <c r="R680" s="150"/>
    </row>
    <row r="681" spans="1:18" ht="35.25" customHeight="1">
      <c r="A681" s="15">
        <f t="shared" si="10"/>
        <v>671</v>
      </c>
      <c r="B681" s="144" t="s">
        <v>1180</v>
      </c>
      <c r="C681" s="150" t="s">
        <v>663</v>
      </c>
      <c r="D681" s="156"/>
      <c r="E681" s="156"/>
      <c r="F681" s="156"/>
      <c r="G681" s="154" t="s">
        <v>2359</v>
      </c>
      <c r="H681" s="141"/>
      <c r="I681" s="153" t="s">
        <v>566</v>
      </c>
      <c r="J681" s="153">
        <v>1</v>
      </c>
      <c r="K681" s="144" t="s">
        <v>730</v>
      </c>
      <c r="L681" s="142" t="s">
        <v>2517</v>
      </c>
      <c r="M681" s="19"/>
      <c r="N681" s="142" t="s">
        <v>2536</v>
      </c>
      <c r="O681" s="149"/>
      <c r="P681" s="145"/>
      <c r="Q681" s="145"/>
      <c r="R681" s="150"/>
    </row>
    <row r="682" spans="1:18" ht="35.25" customHeight="1">
      <c r="A682" s="15">
        <f t="shared" si="10"/>
        <v>672</v>
      </c>
      <c r="B682" s="144" t="s">
        <v>1181</v>
      </c>
      <c r="C682" s="150" t="s">
        <v>1182</v>
      </c>
      <c r="D682" s="156"/>
      <c r="E682" s="156"/>
      <c r="F682" s="156"/>
      <c r="G682" s="144" t="s">
        <v>438</v>
      </c>
      <c r="H682" s="141"/>
      <c r="I682" s="153" t="s">
        <v>566</v>
      </c>
      <c r="J682" s="153">
        <v>1</v>
      </c>
      <c r="K682" s="144" t="s">
        <v>730</v>
      </c>
      <c r="L682" s="142" t="s">
        <v>2517</v>
      </c>
      <c r="M682" s="19"/>
      <c r="N682" s="142" t="s">
        <v>2536</v>
      </c>
      <c r="O682" s="149"/>
      <c r="P682" s="145"/>
      <c r="Q682" s="145"/>
      <c r="R682" s="150"/>
    </row>
    <row r="683" spans="1:18" ht="35.25" customHeight="1">
      <c r="A683" s="15">
        <f t="shared" si="10"/>
        <v>673</v>
      </c>
      <c r="B683" s="144" t="s">
        <v>1183</v>
      </c>
      <c r="C683" s="150" t="s">
        <v>1184</v>
      </c>
      <c r="D683" s="156"/>
      <c r="E683" s="156"/>
      <c r="F683" s="156"/>
      <c r="G683" s="144"/>
      <c r="H683" s="141"/>
      <c r="I683" s="153" t="s">
        <v>566</v>
      </c>
      <c r="J683" s="153">
        <v>1</v>
      </c>
      <c r="K683" s="144" t="s">
        <v>730</v>
      </c>
      <c r="L683" s="142" t="s">
        <v>2517</v>
      </c>
      <c r="M683" s="19"/>
      <c r="N683" s="142" t="s">
        <v>2536</v>
      </c>
      <c r="O683" s="149"/>
      <c r="P683" s="145"/>
      <c r="Q683" s="145"/>
      <c r="R683" s="150"/>
    </row>
    <row r="684" spans="1:18" ht="35.25" customHeight="1">
      <c r="A684" s="15">
        <f t="shared" si="10"/>
        <v>674</v>
      </c>
      <c r="B684" s="144" t="s">
        <v>1185</v>
      </c>
      <c r="C684" s="150" t="s">
        <v>578</v>
      </c>
      <c r="D684" s="156"/>
      <c r="E684" s="156"/>
      <c r="F684" s="156"/>
      <c r="G684" s="144"/>
      <c r="H684" s="141"/>
      <c r="I684" s="153" t="s">
        <v>566</v>
      </c>
      <c r="J684" s="153">
        <v>1</v>
      </c>
      <c r="K684" s="144" t="s">
        <v>730</v>
      </c>
      <c r="L684" s="142" t="s">
        <v>2517</v>
      </c>
      <c r="M684" s="19"/>
      <c r="N684" s="142" t="s">
        <v>2536</v>
      </c>
      <c r="O684" s="149"/>
      <c r="P684" s="145"/>
      <c r="Q684" s="145"/>
      <c r="R684" s="150"/>
    </row>
    <row r="685" spans="1:18" ht="35.25" customHeight="1">
      <c r="A685" s="15">
        <f t="shared" si="10"/>
        <v>675</v>
      </c>
      <c r="B685" s="144" t="s">
        <v>1186</v>
      </c>
      <c r="C685" s="150" t="s">
        <v>570</v>
      </c>
      <c r="D685" s="156"/>
      <c r="E685" s="156"/>
      <c r="F685" s="156"/>
      <c r="G685" s="150" t="s">
        <v>2360</v>
      </c>
      <c r="H685" s="141"/>
      <c r="I685" s="153" t="s">
        <v>181</v>
      </c>
      <c r="J685" s="153">
        <v>1</v>
      </c>
      <c r="K685" s="144" t="s">
        <v>730</v>
      </c>
      <c r="L685" s="142" t="s">
        <v>2517</v>
      </c>
      <c r="M685" s="276" t="s">
        <v>3263</v>
      </c>
      <c r="N685" s="142" t="s">
        <v>2537</v>
      </c>
      <c r="O685" s="149"/>
      <c r="P685" s="145"/>
      <c r="Q685" s="145"/>
      <c r="R685" s="150"/>
    </row>
    <row r="686" spans="1:18" ht="35.25" customHeight="1">
      <c r="A686" s="15">
        <f t="shared" si="10"/>
        <v>676</v>
      </c>
      <c r="B686" s="144" t="s">
        <v>1187</v>
      </c>
      <c r="C686" s="150" t="s">
        <v>445</v>
      </c>
      <c r="D686" s="156"/>
      <c r="E686" s="156"/>
      <c r="F686" s="156"/>
      <c r="G686" s="150"/>
      <c r="H686" s="141"/>
      <c r="I686" s="153" t="s">
        <v>18</v>
      </c>
      <c r="J686" s="153">
        <v>1</v>
      </c>
      <c r="K686" s="144" t="s">
        <v>730</v>
      </c>
      <c r="L686" s="142" t="s">
        <v>2517</v>
      </c>
      <c r="M686" s="276" t="s">
        <v>3263</v>
      </c>
      <c r="N686" s="142" t="s">
        <v>2537</v>
      </c>
      <c r="O686" s="149"/>
      <c r="P686" s="145"/>
      <c r="Q686" s="145"/>
      <c r="R686" s="150"/>
    </row>
    <row r="687" spans="1:18" ht="35.25" customHeight="1">
      <c r="A687" s="15">
        <f t="shared" si="10"/>
        <v>677</v>
      </c>
      <c r="B687" s="144" t="s">
        <v>1188</v>
      </c>
      <c r="C687" s="150" t="s">
        <v>1189</v>
      </c>
      <c r="D687" s="156"/>
      <c r="E687" s="156"/>
      <c r="F687" s="156"/>
      <c r="G687" s="144" t="s">
        <v>2361</v>
      </c>
      <c r="H687" s="141"/>
      <c r="I687" s="153" t="s">
        <v>566</v>
      </c>
      <c r="J687" s="153">
        <v>1</v>
      </c>
      <c r="K687" s="144" t="s">
        <v>730</v>
      </c>
      <c r="L687" s="142" t="s">
        <v>2517</v>
      </c>
      <c r="M687" s="276" t="s">
        <v>3263</v>
      </c>
      <c r="N687" s="142" t="s">
        <v>2537</v>
      </c>
      <c r="O687" s="149"/>
      <c r="P687" s="145"/>
      <c r="Q687" s="145"/>
      <c r="R687" s="150"/>
    </row>
    <row r="688" spans="1:18" ht="35.25" customHeight="1">
      <c r="A688" s="15">
        <f t="shared" si="10"/>
        <v>678</v>
      </c>
      <c r="B688" s="144" t="s">
        <v>1190</v>
      </c>
      <c r="C688" s="150" t="s">
        <v>575</v>
      </c>
      <c r="D688" s="156"/>
      <c r="E688" s="156"/>
      <c r="F688" s="156"/>
      <c r="G688" s="144" t="s">
        <v>596</v>
      </c>
      <c r="H688" s="141"/>
      <c r="I688" s="153" t="s">
        <v>566</v>
      </c>
      <c r="J688" s="153">
        <v>1</v>
      </c>
      <c r="K688" s="144" t="s">
        <v>730</v>
      </c>
      <c r="L688" s="142" t="s">
        <v>2517</v>
      </c>
      <c r="M688" s="276" t="s">
        <v>3263</v>
      </c>
      <c r="N688" s="142" t="s">
        <v>2537</v>
      </c>
      <c r="O688" s="149"/>
      <c r="P688" s="145"/>
      <c r="Q688" s="145"/>
      <c r="R688" s="150"/>
    </row>
    <row r="689" spans="1:18" ht="35.25" customHeight="1">
      <c r="A689" s="15">
        <f t="shared" si="10"/>
        <v>679</v>
      </c>
      <c r="B689" s="144" t="s">
        <v>1191</v>
      </c>
      <c r="C689" s="150" t="s">
        <v>1192</v>
      </c>
      <c r="D689" s="156"/>
      <c r="E689" s="156"/>
      <c r="F689" s="156"/>
      <c r="G689" s="144" t="s">
        <v>2362</v>
      </c>
      <c r="H689" s="141"/>
      <c r="I689" s="153" t="s">
        <v>566</v>
      </c>
      <c r="J689" s="153">
        <v>1</v>
      </c>
      <c r="K689" s="144" t="s">
        <v>730</v>
      </c>
      <c r="L689" s="142" t="s">
        <v>2517</v>
      </c>
      <c r="M689" s="276" t="s">
        <v>3263</v>
      </c>
      <c r="N689" s="142" t="s">
        <v>2537</v>
      </c>
      <c r="O689" s="149"/>
      <c r="P689" s="145"/>
      <c r="Q689" s="145"/>
      <c r="R689" s="150"/>
    </row>
    <row r="690" spans="1:18" ht="35.25" customHeight="1">
      <c r="A690" s="15">
        <f t="shared" si="10"/>
        <v>680</v>
      </c>
      <c r="B690" s="144" t="s">
        <v>1193</v>
      </c>
      <c r="C690" s="150" t="s">
        <v>1182</v>
      </c>
      <c r="D690" s="156"/>
      <c r="E690" s="156"/>
      <c r="F690" s="156"/>
      <c r="G690" s="144" t="s">
        <v>438</v>
      </c>
      <c r="H690" s="141"/>
      <c r="I690" s="153" t="s">
        <v>566</v>
      </c>
      <c r="J690" s="153">
        <v>1</v>
      </c>
      <c r="K690" s="144" t="s">
        <v>730</v>
      </c>
      <c r="L690" s="142" t="s">
        <v>2517</v>
      </c>
      <c r="M690" s="276" t="s">
        <v>3263</v>
      </c>
      <c r="N690" s="142" t="s">
        <v>2537</v>
      </c>
      <c r="O690" s="149"/>
      <c r="P690" s="145"/>
      <c r="Q690" s="145"/>
      <c r="R690" s="150"/>
    </row>
    <row r="691" spans="1:18" ht="35.25" customHeight="1">
      <c r="A691" s="15">
        <f t="shared" si="10"/>
        <v>681</v>
      </c>
      <c r="B691" s="144" t="s">
        <v>1194</v>
      </c>
      <c r="C691" s="150" t="s">
        <v>1184</v>
      </c>
      <c r="D691" s="169"/>
      <c r="E691" s="169"/>
      <c r="F691" s="169"/>
      <c r="G691" s="144"/>
      <c r="H691" s="141"/>
      <c r="I691" s="153" t="s">
        <v>566</v>
      </c>
      <c r="J691" s="153">
        <v>1</v>
      </c>
      <c r="K691" s="144" t="s">
        <v>730</v>
      </c>
      <c r="L691" s="142" t="s">
        <v>2517</v>
      </c>
      <c r="M691" s="276" t="s">
        <v>3263</v>
      </c>
      <c r="N691" s="142" t="s">
        <v>2537</v>
      </c>
      <c r="O691" s="149"/>
      <c r="P691" s="240"/>
      <c r="Q691" s="240"/>
      <c r="R691" s="150"/>
    </row>
    <row r="692" spans="1:18" ht="35.25" customHeight="1">
      <c r="A692" s="15">
        <f t="shared" si="10"/>
        <v>682</v>
      </c>
      <c r="B692" s="144" t="s">
        <v>1195</v>
      </c>
      <c r="C692" s="150" t="s">
        <v>578</v>
      </c>
      <c r="D692" s="156"/>
      <c r="E692" s="156"/>
      <c r="F692" s="156"/>
      <c r="G692" s="144"/>
      <c r="H692" s="141"/>
      <c r="I692" s="153" t="s">
        <v>566</v>
      </c>
      <c r="J692" s="153">
        <v>1</v>
      </c>
      <c r="K692" s="144" t="s">
        <v>2498</v>
      </c>
      <c r="L692" s="142" t="s">
        <v>2517</v>
      </c>
      <c r="M692" s="276" t="s">
        <v>3263</v>
      </c>
      <c r="N692" s="142" t="s">
        <v>2537</v>
      </c>
      <c r="O692" s="149"/>
      <c r="P692" s="240"/>
      <c r="Q692" s="240"/>
      <c r="R692" s="150"/>
    </row>
    <row r="693" spans="1:18" ht="35.25" customHeight="1">
      <c r="A693" s="15">
        <f t="shared" si="10"/>
        <v>683</v>
      </c>
      <c r="B693" s="144" t="s">
        <v>1196</v>
      </c>
      <c r="C693" s="150" t="s">
        <v>1197</v>
      </c>
      <c r="D693" s="156"/>
      <c r="E693" s="156"/>
      <c r="F693" s="156"/>
      <c r="G693" s="149" t="s">
        <v>2363</v>
      </c>
      <c r="H693" s="141"/>
      <c r="I693" s="153" t="s">
        <v>18</v>
      </c>
      <c r="J693" s="153">
        <v>1</v>
      </c>
      <c r="K693" s="142" t="s">
        <v>730</v>
      </c>
      <c r="L693" s="142" t="s">
        <v>191</v>
      </c>
      <c r="M693" s="19"/>
      <c r="N693" s="142" t="s">
        <v>2538</v>
      </c>
      <c r="O693" s="149"/>
      <c r="P693" s="240"/>
      <c r="Q693" s="240"/>
      <c r="R693" s="150"/>
    </row>
    <row r="694" spans="1:18" ht="35.25" customHeight="1">
      <c r="A694" s="15">
        <f t="shared" si="10"/>
        <v>684</v>
      </c>
      <c r="B694" s="144" t="s">
        <v>1198</v>
      </c>
      <c r="C694" s="150" t="s">
        <v>445</v>
      </c>
      <c r="D694" s="156"/>
      <c r="E694" s="156"/>
      <c r="F694" s="156"/>
      <c r="G694" s="149"/>
      <c r="H694" s="141"/>
      <c r="I694" s="153" t="s">
        <v>18</v>
      </c>
      <c r="J694" s="153">
        <v>1</v>
      </c>
      <c r="K694" s="142" t="s">
        <v>730</v>
      </c>
      <c r="L694" s="142" t="s">
        <v>191</v>
      </c>
      <c r="M694" s="19"/>
      <c r="N694" s="142" t="s">
        <v>2538</v>
      </c>
      <c r="O694" s="149"/>
      <c r="P694" s="240"/>
      <c r="Q694" s="240"/>
      <c r="R694" s="150"/>
    </row>
    <row r="695" spans="1:18" ht="35.25" customHeight="1">
      <c r="A695" s="15">
        <f t="shared" si="10"/>
        <v>685</v>
      </c>
      <c r="B695" s="144" t="s">
        <v>1199</v>
      </c>
      <c r="C695" s="150" t="s">
        <v>1200</v>
      </c>
      <c r="D695" s="156"/>
      <c r="E695" s="156"/>
      <c r="F695" s="156"/>
      <c r="G695" s="149" t="s">
        <v>2364</v>
      </c>
      <c r="H695" s="141"/>
      <c r="I695" s="153" t="s">
        <v>18</v>
      </c>
      <c r="J695" s="153">
        <v>1</v>
      </c>
      <c r="K695" s="142" t="s">
        <v>730</v>
      </c>
      <c r="L695" s="142" t="s">
        <v>191</v>
      </c>
      <c r="M695" s="19"/>
      <c r="N695" s="142" t="s">
        <v>2538</v>
      </c>
      <c r="O695" s="149"/>
      <c r="P695" s="240"/>
      <c r="Q695" s="240"/>
      <c r="R695" s="150"/>
    </row>
    <row r="696" spans="1:18" ht="35.25" customHeight="1">
      <c r="A696" s="15">
        <f t="shared" si="10"/>
        <v>686</v>
      </c>
      <c r="B696" s="144" t="s">
        <v>1201</v>
      </c>
      <c r="C696" s="150" t="s">
        <v>605</v>
      </c>
      <c r="D696" s="156"/>
      <c r="E696" s="156"/>
      <c r="F696" s="156"/>
      <c r="G696" s="149" t="s">
        <v>596</v>
      </c>
      <c r="H696" s="141"/>
      <c r="I696" s="153" t="s">
        <v>18</v>
      </c>
      <c r="J696" s="153">
        <v>1</v>
      </c>
      <c r="K696" s="142" t="s">
        <v>730</v>
      </c>
      <c r="L696" s="142" t="s">
        <v>191</v>
      </c>
      <c r="M696" s="19"/>
      <c r="N696" s="142" t="s">
        <v>2538</v>
      </c>
      <c r="O696" s="149"/>
      <c r="P696" s="145"/>
      <c r="Q696" s="145"/>
      <c r="R696" s="150"/>
    </row>
    <row r="697" spans="1:18" ht="35.25" customHeight="1">
      <c r="A697" s="15">
        <f t="shared" si="10"/>
        <v>687</v>
      </c>
      <c r="B697" s="144" t="s">
        <v>456</v>
      </c>
      <c r="C697" s="150" t="s">
        <v>1202</v>
      </c>
      <c r="D697" s="156"/>
      <c r="E697" s="156"/>
      <c r="F697" s="156"/>
      <c r="G697" s="149" t="s">
        <v>2365</v>
      </c>
      <c r="H697" s="141"/>
      <c r="I697" s="153" t="s">
        <v>18</v>
      </c>
      <c r="J697" s="153">
        <v>1</v>
      </c>
      <c r="K697" s="142" t="s">
        <v>730</v>
      </c>
      <c r="L697" s="142" t="s">
        <v>191</v>
      </c>
      <c r="M697" s="19"/>
      <c r="N697" s="142" t="s">
        <v>2538</v>
      </c>
      <c r="O697" s="149"/>
      <c r="P697" s="145"/>
      <c r="Q697" s="145"/>
      <c r="R697" s="150"/>
    </row>
    <row r="698" spans="1:18" ht="35.25" customHeight="1">
      <c r="A698" s="15">
        <f t="shared" si="10"/>
        <v>688</v>
      </c>
      <c r="B698" s="144" t="s">
        <v>1203</v>
      </c>
      <c r="C698" s="150" t="s">
        <v>23</v>
      </c>
      <c r="D698" s="156"/>
      <c r="E698" s="156"/>
      <c r="F698" s="156"/>
      <c r="G698" s="149"/>
      <c r="H698" s="141"/>
      <c r="I698" s="153" t="s">
        <v>18</v>
      </c>
      <c r="J698" s="153">
        <v>1</v>
      </c>
      <c r="K698" s="142" t="s">
        <v>730</v>
      </c>
      <c r="L698" s="142" t="s">
        <v>191</v>
      </c>
      <c r="M698" s="19"/>
      <c r="N698" s="142" t="s">
        <v>2538</v>
      </c>
      <c r="O698" s="149"/>
      <c r="P698" s="145"/>
      <c r="Q698" s="145"/>
      <c r="R698" s="150"/>
    </row>
    <row r="699" spans="1:18" ht="35.25" customHeight="1">
      <c r="A699" s="15">
        <f t="shared" si="10"/>
        <v>689</v>
      </c>
      <c r="B699" s="144" t="s">
        <v>1204</v>
      </c>
      <c r="C699" s="150" t="s">
        <v>1205</v>
      </c>
      <c r="D699" s="156"/>
      <c r="E699" s="156"/>
      <c r="F699" s="156"/>
      <c r="G699" s="149"/>
      <c r="H699" s="141"/>
      <c r="I699" s="153" t="s">
        <v>18</v>
      </c>
      <c r="J699" s="153">
        <v>1</v>
      </c>
      <c r="K699" s="142" t="s">
        <v>730</v>
      </c>
      <c r="L699" s="142" t="s">
        <v>191</v>
      </c>
      <c r="M699" s="19"/>
      <c r="N699" s="142" t="s">
        <v>2538</v>
      </c>
      <c r="O699" s="149"/>
      <c r="P699" s="145"/>
      <c r="Q699" s="145"/>
      <c r="R699" s="150"/>
    </row>
    <row r="700" spans="1:18" ht="35.25" customHeight="1">
      <c r="A700" s="15">
        <f t="shared" si="10"/>
        <v>690</v>
      </c>
      <c r="B700" s="144" t="s">
        <v>1206</v>
      </c>
      <c r="C700" s="150" t="s">
        <v>147</v>
      </c>
      <c r="D700" s="156"/>
      <c r="E700" s="156"/>
      <c r="F700" s="156"/>
      <c r="G700" s="149" t="s">
        <v>2366</v>
      </c>
      <c r="H700" s="141"/>
      <c r="I700" s="153" t="s">
        <v>18</v>
      </c>
      <c r="J700" s="153">
        <v>1</v>
      </c>
      <c r="K700" s="142" t="s">
        <v>730</v>
      </c>
      <c r="L700" s="142" t="s">
        <v>191</v>
      </c>
      <c r="M700" s="19"/>
      <c r="N700" s="142" t="s">
        <v>2538</v>
      </c>
      <c r="O700" s="149"/>
      <c r="P700" s="145"/>
      <c r="Q700" s="145"/>
      <c r="R700" s="150"/>
    </row>
    <row r="701" spans="1:18" ht="35.25" customHeight="1">
      <c r="A701" s="15">
        <f t="shared" si="10"/>
        <v>691</v>
      </c>
      <c r="B701" s="144" t="s">
        <v>1207</v>
      </c>
      <c r="C701" s="150" t="s">
        <v>1208</v>
      </c>
      <c r="D701" s="156"/>
      <c r="E701" s="156"/>
      <c r="F701" s="156"/>
      <c r="G701" s="150" t="s">
        <v>1208</v>
      </c>
      <c r="H701" s="141"/>
      <c r="I701" s="153" t="s">
        <v>18</v>
      </c>
      <c r="J701" s="153">
        <v>1</v>
      </c>
      <c r="K701" s="142" t="s">
        <v>730</v>
      </c>
      <c r="L701" s="142" t="s">
        <v>191</v>
      </c>
      <c r="M701" s="19"/>
      <c r="N701" s="142" t="s">
        <v>2538</v>
      </c>
      <c r="O701" s="149"/>
      <c r="P701" s="145"/>
      <c r="Q701" s="145"/>
      <c r="R701" s="150"/>
    </row>
    <row r="702" spans="1:18" ht="35.25" customHeight="1">
      <c r="A702" s="15">
        <f t="shared" si="10"/>
        <v>692</v>
      </c>
      <c r="B702" s="144" t="s">
        <v>1209</v>
      </c>
      <c r="C702" s="150" t="s">
        <v>605</v>
      </c>
      <c r="D702" s="156"/>
      <c r="E702" s="156"/>
      <c r="F702" s="156"/>
      <c r="G702" s="149"/>
      <c r="H702" s="141"/>
      <c r="I702" s="153" t="s">
        <v>18</v>
      </c>
      <c r="J702" s="153">
        <v>1</v>
      </c>
      <c r="K702" s="142" t="s">
        <v>730</v>
      </c>
      <c r="L702" s="142" t="s">
        <v>191</v>
      </c>
      <c r="M702" s="19"/>
      <c r="N702" s="142" t="s">
        <v>2539</v>
      </c>
      <c r="O702" s="149"/>
      <c r="P702" s="145"/>
      <c r="Q702" s="145"/>
      <c r="R702" s="150"/>
    </row>
    <row r="703" spans="1:18" ht="35.25" customHeight="1">
      <c r="A703" s="15">
        <f t="shared" si="10"/>
        <v>693</v>
      </c>
      <c r="B703" s="144" t="s">
        <v>1210</v>
      </c>
      <c r="C703" s="150" t="s">
        <v>23</v>
      </c>
      <c r="D703" s="156"/>
      <c r="E703" s="156"/>
      <c r="F703" s="156"/>
      <c r="G703" s="149"/>
      <c r="H703" s="141"/>
      <c r="I703" s="153" t="s">
        <v>18</v>
      </c>
      <c r="J703" s="153">
        <v>1</v>
      </c>
      <c r="K703" s="142" t="s">
        <v>730</v>
      </c>
      <c r="L703" s="142" t="s">
        <v>191</v>
      </c>
      <c r="M703" s="19"/>
      <c r="N703" s="142" t="s">
        <v>2539</v>
      </c>
      <c r="O703" s="264"/>
      <c r="P703" s="145"/>
      <c r="Q703" s="145"/>
      <c r="R703" s="150"/>
    </row>
    <row r="704" spans="1:18" ht="35.25" customHeight="1">
      <c r="A704" s="15">
        <f t="shared" si="10"/>
        <v>694</v>
      </c>
      <c r="B704" s="144" t="s">
        <v>1211</v>
      </c>
      <c r="C704" s="150" t="s">
        <v>147</v>
      </c>
      <c r="D704" s="156"/>
      <c r="E704" s="156"/>
      <c r="F704" s="156"/>
      <c r="G704" s="149" t="s">
        <v>2366</v>
      </c>
      <c r="H704" s="141"/>
      <c r="I704" s="153" t="s">
        <v>18</v>
      </c>
      <c r="J704" s="153">
        <v>1</v>
      </c>
      <c r="K704" s="142" t="s">
        <v>730</v>
      </c>
      <c r="L704" s="142" t="s">
        <v>191</v>
      </c>
      <c r="M704" s="19"/>
      <c r="N704" s="142" t="s">
        <v>2539</v>
      </c>
      <c r="O704" s="149"/>
      <c r="P704" s="145"/>
      <c r="Q704" s="145"/>
      <c r="R704" s="150"/>
    </row>
    <row r="705" spans="1:39" ht="35.25" customHeight="1">
      <c r="A705" s="15">
        <f t="shared" si="10"/>
        <v>695</v>
      </c>
      <c r="B705" s="144" t="s">
        <v>1212</v>
      </c>
      <c r="C705" s="150" t="s">
        <v>894</v>
      </c>
      <c r="D705" s="156"/>
      <c r="E705" s="156"/>
      <c r="F705" s="156"/>
      <c r="G705" s="149" t="s">
        <v>2367</v>
      </c>
      <c r="H705" s="141"/>
      <c r="I705" s="153" t="s">
        <v>18</v>
      </c>
      <c r="J705" s="153">
        <v>1</v>
      </c>
      <c r="K705" s="142" t="s">
        <v>730</v>
      </c>
      <c r="L705" s="142" t="s">
        <v>191</v>
      </c>
      <c r="M705" s="19"/>
      <c r="N705" s="142" t="s">
        <v>2539</v>
      </c>
      <c r="O705" s="149"/>
      <c r="P705" s="145"/>
      <c r="Q705" s="145"/>
      <c r="R705" s="150"/>
    </row>
    <row r="706" spans="1:39" ht="35.25" customHeight="1">
      <c r="A706" s="15">
        <f t="shared" si="10"/>
        <v>696</v>
      </c>
      <c r="B706" s="150" t="s">
        <v>1213</v>
      </c>
      <c r="C706" s="150" t="s">
        <v>1214</v>
      </c>
      <c r="D706" s="156"/>
      <c r="E706" s="156"/>
      <c r="F706" s="156"/>
      <c r="G706" s="149"/>
      <c r="H706" s="141"/>
      <c r="I706" s="153" t="s">
        <v>18</v>
      </c>
      <c r="J706" s="153">
        <v>1</v>
      </c>
      <c r="K706" s="142" t="s">
        <v>730</v>
      </c>
      <c r="L706" s="142" t="s">
        <v>191</v>
      </c>
      <c r="M706" s="19"/>
      <c r="N706" s="142" t="s">
        <v>2539</v>
      </c>
      <c r="O706" s="149"/>
      <c r="P706" s="145"/>
      <c r="Q706" s="145"/>
      <c r="R706" s="150" t="s">
        <v>2659</v>
      </c>
    </row>
    <row r="707" spans="1:39" ht="35.25" customHeight="1">
      <c r="A707" s="15">
        <f t="shared" si="10"/>
        <v>697</v>
      </c>
      <c r="B707" s="156" t="s">
        <v>1215</v>
      </c>
      <c r="C707" s="169" t="s">
        <v>633</v>
      </c>
      <c r="D707" s="156"/>
      <c r="E707" s="156"/>
      <c r="F707" s="156"/>
      <c r="G707" s="160" t="s">
        <v>634</v>
      </c>
      <c r="H707" s="141"/>
      <c r="I707" s="158" t="s">
        <v>18</v>
      </c>
      <c r="J707" s="158">
        <v>1</v>
      </c>
      <c r="K707" s="142" t="s">
        <v>730</v>
      </c>
      <c r="L707" s="145" t="s">
        <v>191</v>
      </c>
      <c r="M707" s="19"/>
      <c r="N707" s="145" t="s">
        <v>2540</v>
      </c>
      <c r="O707" s="160"/>
      <c r="P707" s="145"/>
      <c r="Q707" s="145"/>
      <c r="R707" s="169"/>
    </row>
    <row r="708" spans="1:39" ht="35.25" customHeight="1">
      <c r="A708" s="15">
        <f t="shared" si="10"/>
        <v>698</v>
      </c>
      <c r="B708" s="156" t="s">
        <v>1216</v>
      </c>
      <c r="C708" s="169" t="s">
        <v>120</v>
      </c>
      <c r="D708" s="156"/>
      <c r="E708" s="156"/>
      <c r="F708" s="156"/>
      <c r="G708" s="160"/>
      <c r="H708" s="141"/>
      <c r="I708" s="158" t="s">
        <v>18</v>
      </c>
      <c r="J708" s="158">
        <v>1</v>
      </c>
      <c r="K708" s="142" t="s">
        <v>730</v>
      </c>
      <c r="L708" s="145" t="s">
        <v>191</v>
      </c>
      <c r="M708" s="19"/>
      <c r="N708" s="145" t="s">
        <v>2540</v>
      </c>
      <c r="O708" s="160"/>
      <c r="P708" s="145"/>
      <c r="Q708" s="145"/>
      <c r="R708" s="169"/>
    </row>
    <row r="709" spans="1:39" s="137" customFormat="1" ht="35.25" customHeight="1">
      <c r="A709" s="15">
        <f t="shared" si="10"/>
        <v>699</v>
      </c>
      <c r="B709" s="151" t="s">
        <v>1217</v>
      </c>
      <c r="C709" s="171" t="s">
        <v>894</v>
      </c>
      <c r="D709" s="151"/>
      <c r="E709" s="151"/>
      <c r="F709" s="151"/>
      <c r="G709" s="197" t="s">
        <v>2368</v>
      </c>
      <c r="H709" s="148"/>
      <c r="I709" s="166" t="s">
        <v>18</v>
      </c>
      <c r="J709" s="166">
        <v>1</v>
      </c>
      <c r="K709" s="167" t="s">
        <v>300</v>
      </c>
      <c r="L709" s="167" t="s">
        <v>191</v>
      </c>
      <c r="M709" s="25"/>
      <c r="N709" s="167" t="s">
        <v>2540</v>
      </c>
      <c r="O709" s="197"/>
      <c r="P709" s="167"/>
      <c r="Q709" s="167"/>
      <c r="R709" s="171" t="s">
        <v>2660</v>
      </c>
      <c r="S709"/>
      <c r="T709"/>
      <c r="U709"/>
      <c r="V709"/>
      <c r="W709"/>
      <c r="X709"/>
      <c r="Y709"/>
      <c r="Z709"/>
      <c r="AA709"/>
      <c r="AB709"/>
      <c r="AC709"/>
      <c r="AD709"/>
      <c r="AE709"/>
      <c r="AF709"/>
      <c r="AG709"/>
      <c r="AH709"/>
      <c r="AI709"/>
      <c r="AJ709"/>
      <c r="AK709"/>
      <c r="AL709"/>
      <c r="AM709"/>
    </row>
    <row r="710" spans="1:39" s="136" customFormat="1" ht="35.25" customHeight="1">
      <c r="A710" s="13">
        <f t="shared" si="10"/>
        <v>700</v>
      </c>
      <c r="B710" s="156" t="s">
        <v>933</v>
      </c>
      <c r="C710" s="169" t="s">
        <v>934</v>
      </c>
      <c r="D710" s="156"/>
      <c r="E710" s="156"/>
      <c r="F710" s="156"/>
      <c r="G710" s="160" t="s">
        <v>2336</v>
      </c>
      <c r="H710" s="43"/>
      <c r="I710" s="158" t="s">
        <v>18</v>
      </c>
      <c r="J710" s="158">
        <v>1</v>
      </c>
      <c r="K710" s="145" t="s">
        <v>730</v>
      </c>
      <c r="L710" s="145" t="s">
        <v>191</v>
      </c>
      <c r="M710" s="276" t="s">
        <v>3259</v>
      </c>
      <c r="N710" s="145" t="s">
        <v>2541</v>
      </c>
      <c r="O710" s="160"/>
      <c r="P710" s="145"/>
      <c r="Q710" s="145"/>
      <c r="R710" s="169"/>
      <c r="S710"/>
      <c r="T710"/>
      <c r="U710"/>
      <c r="V710"/>
      <c r="W710"/>
      <c r="X710"/>
      <c r="Y710"/>
      <c r="Z710"/>
      <c r="AA710"/>
      <c r="AB710"/>
      <c r="AC710"/>
      <c r="AD710"/>
      <c r="AE710"/>
      <c r="AF710"/>
      <c r="AG710"/>
      <c r="AH710"/>
      <c r="AI710"/>
      <c r="AJ710"/>
      <c r="AK710"/>
      <c r="AL710"/>
      <c r="AM710"/>
    </row>
    <row r="711" spans="1:39" s="136" customFormat="1" ht="35.25" customHeight="1">
      <c r="A711" s="13">
        <f t="shared" si="10"/>
        <v>701</v>
      </c>
      <c r="B711" s="156" t="s">
        <v>935</v>
      </c>
      <c r="C711" s="169" t="s">
        <v>120</v>
      </c>
      <c r="D711" s="156"/>
      <c r="E711" s="156"/>
      <c r="F711" s="156"/>
      <c r="G711" s="160"/>
      <c r="H711" s="43"/>
      <c r="I711" s="158" t="s">
        <v>18</v>
      </c>
      <c r="J711" s="158">
        <v>1</v>
      </c>
      <c r="K711" s="145" t="s">
        <v>730</v>
      </c>
      <c r="L711" s="145" t="s">
        <v>191</v>
      </c>
      <c r="M711" s="276" t="s">
        <v>3259</v>
      </c>
      <c r="N711" s="145" t="s">
        <v>2541</v>
      </c>
      <c r="O711" s="160"/>
      <c r="P711" s="145"/>
      <c r="Q711" s="145"/>
      <c r="R711" s="169"/>
      <c r="S711"/>
      <c r="T711"/>
      <c r="U711"/>
      <c r="V711"/>
      <c r="W711"/>
      <c r="X711"/>
      <c r="Y711"/>
      <c r="Z711"/>
      <c r="AA711"/>
      <c r="AB711"/>
      <c r="AC711"/>
      <c r="AD711"/>
      <c r="AE711"/>
      <c r="AF711"/>
      <c r="AG711"/>
      <c r="AH711"/>
      <c r="AI711"/>
      <c r="AJ711"/>
      <c r="AK711"/>
      <c r="AL711"/>
      <c r="AM711"/>
    </row>
    <row r="712" spans="1:39" ht="35.25" customHeight="1">
      <c r="A712" s="15">
        <f t="shared" si="10"/>
        <v>702</v>
      </c>
      <c r="B712" s="156" t="s">
        <v>1220</v>
      </c>
      <c r="C712" s="169" t="s">
        <v>1221</v>
      </c>
      <c r="D712" s="156"/>
      <c r="E712" s="156"/>
      <c r="F712" s="156"/>
      <c r="G712" s="160"/>
      <c r="H712" s="141"/>
      <c r="I712" s="158" t="s">
        <v>18</v>
      </c>
      <c r="J712" s="158">
        <v>1</v>
      </c>
      <c r="K712" s="145" t="s">
        <v>730</v>
      </c>
      <c r="L712" s="145" t="s">
        <v>191</v>
      </c>
      <c r="M712" s="276" t="s">
        <v>3259</v>
      </c>
      <c r="N712" s="145" t="s">
        <v>2541</v>
      </c>
      <c r="O712" s="160"/>
      <c r="P712" s="145"/>
      <c r="Q712" s="145"/>
      <c r="R712" s="169"/>
    </row>
    <row r="713" spans="1:39" ht="35.25" customHeight="1">
      <c r="A713" s="15">
        <f t="shared" si="10"/>
        <v>703</v>
      </c>
      <c r="B713" s="156" t="s">
        <v>1222</v>
      </c>
      <c r="C713" s="169" t="s">
        <v>641</v>
      </c>
      <c r="D713" s="156"/>
      <c r="E713" s="156"/>
      <c r="F713" s="156"/>
      <c r="G713" s="160" t="s">
        <v>2370</v>
      </c>
      <c r="H713" s="141"/>
      <c r="I713" s="158" t="s">
        <v>18</v>
      </c>
      <c r="J713" s="158">
        <v>1</v>
      </c>
      <c r="K713" s="145" t="s">
        <v>730</v>
      </c>
      <c r="L713" s="145" t="s">
        <v>191</v>
      </c>
      <c r="M713" s="276" t="s">
        <v>3259</v>
      </c>
      <c r="N713" s="145" t="s">
        <v>2541</v>
      </c>
      <c r="O713" s="160"/>
      <c r="P713" s="145"/>
      <c r="Q713" s="145"/>
      <c r="R713" s="169"/>
    </row>
    <row r="714" spans="1:39" ht="35.25" customHeight="1">
      <c r="A714" s="15">
        <f t="shared" si="10"/>
        <v>704</v>
      </c>
      <c r="B714" s="156" t="s">
        <v>1223</v>
      </c>
      <c r="C714" s="169" t="s">
        <v>1224</v>
      </c>
      <c r="D714" s="156"/>
      <c r="E714" s="156"/>
      <c r="F714" s="156"/>
      <c r="G714" s="169" t="s">
        <v>1224</v>
      </c>
      <c r="H714" s="141"/>
      <c r="I714" s="158" t="s">
        <v>18</v>
      </c>
      <c r="J714" s="158">
        <v>1</v>
      </c>
      <c r="K714" s="145" t="s">
        <v>730</v>
      </c>
      <c r="L714" s="145" t="s">
        <v>191</v>
      </c>
      <c r="M714" s="276" t="s">
        <v>3259</v>
      </c>
      <c r="N714" s="145" t="s">
        <v>2541</v>
      </c>
      <c r="O714" s="254">
        <v>45005</v>
      </c>
      <c r="P714" s="145"/>
      <c r="Q714" s="145"/>
      <c r="R714" s="169"/>
    </row>
    <row r="715" spans="1:39" ht="35.25" customHeight="1">
      <c r="A715" s="15">
        <f t="shared" si="10"/>
        <v>705</v>
      </c>
      <c r="B715" s="156" t="s">
        <v>1225</v>
      </c>
      <c r="C715" s="169" t="s">
        <v>1226</v>
      </c>
      <c r="D715" s="156"/>
      <c r="E715" s="156"/>
      <c r="F715" s="156"/>
      <c r="G715" s="160"/>
      <c r="H715" s="141"/>
      <c r="I715" s="158" t="s">
        <v>18</v>
      </c>
      <c r="J715" s="158">
        <v>1</v>
      </c>
      <c r="K715" s="145" t="s">
        <v>730</v>
      </c>
      <c r="L715" s="145" t="s">
        <v>191</v>
      </c>
      <c r="M715" s="276" t="s">
        <v>3259</v>
      </c>
      <c r="N715" s="145" t="s">
        <v>2541</v>
      </c>
      <c r="O715" s="254">
        <v>45005</v>
      </c>
      <c r="P715" s="145"/>
      <c r="Q715" s="145"/>
      <c r="R715" s="169"/>
    </row>
    <row r="716" spans="1:39" ht="35.25" customHeight="1">
      <c r="A716" s="15">
        <f t="shared" si="10"/>
        <v>706</v>
      </c>
      <c r="B716" s="144" t="s">
        <v>1227</v>
      </c>
      <c r="C716" s="150" t="s">
        <v>633</v>
      </c>
      <c r="D716" s="156"/>
      <c r="E716" s="156"/>
      <c r="F716" s="156"/>
      <c r="G716" s="149" t="s">
        <v>634</v>
      </c>
      <c r="H716" s="141"/>
      <c r="I716" s="153" t="s">
        <v>18</v>
      </c>
      <c r="J716" s="153">
        <v>1</v>
      </c>
      <c r="K716" s="145" t="s">
        <v>730</v>
      </c>
      <c r="L716" s="142" t="s">
        <v>191</v>
      </c>
      <c r="M716" s="276" t="s">
        <v>3285</v>
      </c>
      <c r="N716" s="142" t="s">
        <v>2542</v>
      </c>
      <c r="O716" s="149"/>
      <c r="P716" s="145"/>
      <c r="Q716" s="145"/>
      <c r="R716" s="150"/>
    </row>
    <row r="717" spans="1:39" ht="35.25" customHeight="1">
      <c r="A717" s="15">
        <f t="shared" si="10"/>
        <v>707</v>
      </c>
      <c r="B717" s="144" t="s">
        <v>1228</v>
      </c>
      <c r="C717" s="150" t="s">
        <v>120</v>
      </c>
      <c r="D717" s="156"/>
      <c r="E717" s="156"/>
      <c r="F717" s="156"/>
      <c r="G717" s="149" t="s">
        <v>2371</v>
      </c>
      <c r="H717" s="141"/>
      <c r="I717" s="153" t="s">
        <v>18</v>
      </c>
      <c r="J717" s="153">
        <v>1</v>
      </c>
      <c r="K717" s="145" t="s">
        <v>730</v>
      </c>
      <c r="L717" s="142" t="s">
        <v>191</v>
      </c>
      <c r="M717" s="276" t="s">
        <v>3285</v>
      </c>
      <c r="N717" s="142" t="s">
        <v>2542</v>
      </c>
      <c r="O717" s="149"/>
      <c r="P717" s="145"/>
      <c r="Q717" s="145"/>
      <c r="R717" s="150"/>
    </row>
    <row r="718" spans="1:39" ht="35.25" customHeight="1">
      <c r="A718" s="15">
        <f t="shared" si="10"/>
        <v>708</v>
      </c>
      <c r="B718" s="144" t="s">
        <v>1229</v>
      </c>
      <c r="C718" s="150" t="s">
        <v>1179</v>
      </c>
      <c r="D718" s="156"/>
      <c r="E718" s="156"/>
      <c r="F718" s="156"/>
      <c r="G718" s="149"/>
      <c r="H718" s="141"/>
      <c r="I718" s="153" t="s">
        <v>18</v>
      </c>
      <c r="J718" s="153">
        <v>1</v>
      </c>
      <c r="K718" s="145" t="s">
        <v>730</v>
      </c>
      <c r="L718" s="142" t="s">
        <v>191</v>
      </c>
      <c r="M718" s="276" t="s">
        <v>3285</v>
      </c>
      <c r="N718" s="142" t="s">
        <v>2542</v>
      </c>
      <c r="O718" s="149"/>
      <c r="P718" s="145"/>
      <c r="Q718" s="145"/>
      <c r="R718" s="150" t="s">
        <v>2661</v>
      </c>
    </row>
    <row r="719" spans="1:39" ht="35.25" customHeight="1">
      <c r="A719" s="15">
        <f t="shared" si="10"/>
        <v>709</v>
      </c>
      <c r="B719" s="144" t="s">
        <v>1230</v>
      </c>
      <c r="C719" s="149" t="s">
        <v>1231</v>
      </c>
      <c r="D719" s="156"/>
      <c r="E719" s="156"/>
      <c r="F719" s="156"/>
      <c r="G719" s="142">
        <v>969571798</v>
      </c>
      <c r="H719" s="141"/>
      <c r="I719" s="153" t="s">
        <v>18</v>
      </c>
      <c r="J719" s="153">
        <v>1</v>
      </c>
      <c r="K719" s="145" t="s">
        <v>730</v>
      </c>
      <c r="L719" s="142" t="s">
        <v>191</v>
      </c>
      <c r="M719" s="276" t="s">
        <v>3285</v>
      </c>
      <c r="N719" s="142" t="s">
        <v>2542</v>
      </c>
      <c r="O719" s="149"/>
      <c r="P719" s="145"/>
      <c r="Q719" s="145"/>
      <c r="R719" s="150" t="s">
        <v>2662</v>
      </c>
    </row>
    <row r="720" spans="1:39" ht="35.25" customHeight="1">
      <c r="A720" s="15">
        <f t="shared" si="10"/>
        <v>710</v>
      </c>
      <c r="B720" s="144" t="s">
        <v>1232</v>
      </c>
      <c r="C720" s="150" t="s">
        <v>147</v>
      </c>
      <c r="D720" s="156"/>
      <c r="E720" s="156"/>
      <c r="F720" s="156"/>
      <c r="G720" s="149" t="s">
        <v>2366</v>
      </c>
      <c r="H720" s="141"/>
      <c r="I720" s="153" t="s">
        <v>18</v>
      </c>
      <c r="J720" s="153">
        <v>1</v>
      </c>
      <c r="K720" s="145" t="s">
        <v>730</v>
      </c>
      <c r="L720" s="142" t="s">
        <v>191</v>
      </c>
      <c r="M720" s="276" t="s">
        <v>3285</v>
      </c>
      <c r="N720" s="142" t="s">
        <v>2542</v>
      </c>
      <c r="O720" s="149"/>
      <c r="P720" s="145"/>
      <c r="Q720" s="145"/>
      <c r="R720" s="150"/>
    </row>
    <row r="721" spans="1:18" ht="35.25" customHeight="1">
      <c r="A721" s="15">
        <f t="shared" si="10"/>
        <v>711</v>
      </c>
      <c r="B721" s="144" t="s">
        <v>1233</v>
      </c>
      <c r="C721" s="150" t="s">
        <v>32</v>
      </c>
      <c r="D721" s="156"/>
      <c r="E721" s="156"/>
      <c r="F721" s="156"/>
      <c r="G721" s="149"/>
      <c r="H721" s="141"/>
      <c r="I721" s="153" t="s">
        <v>18</v>
      </c>
      <c r="J721" s="153">
        <v>1</v>
      </c>
      <c r="K721" s="145" t="s">
        <v>730</v>
      </c>
      <c r="L721" s="142" t="s">
        <v>191</v>
      </c>
      <c r="M721" s="276" t="s">
        <v>3285</v>
      </c>
      <c r="N721" s="142" t="s">
        <v>2542</v>
      </c>
      <c r="O721" s="149"/>
      <c r="P721" s="145"/>
      <c r="Q721" s="145"/>
      <c r="R721" s="150"/>
    </row>
    <row r="722" spans="1:18" ht="35.25" customHeight="1">
      <c r="A722" s="15">
        <f t="shared" si="10"/>
        <v>712</v>
      </c>
      <c r="B722" s="144" t="s">
        <v>1234</v>
      </c>
      <c r="C722" s="150" t="s">
        <v>23</v>
      </c>
      <c r="D722" s="156"/>
      <c r="E722" s="156"/>
      <c r="F722" s="156"/>
      <c r="G722" s="149"/>
      <c r="H722" s="141"/>
      <c r="I722" s="153" t="s">
        <v>18</v>
      </c>
      <c r="J722" s="153">
        <v>1</v>
      </c>
      <c r="K722" s="145" t="s">
        <v>730</v>
      </c>
      <c r="L722" s="142" t="s">
        <v>191</v>
      </c>
      <c r="M722" s="276" t="s">
        <v>3285</v>
      </c>
      <c r="N722" s="142" t="s">
        <v>2542</v>
      </c>
      <c r="O722" s="149"/>
      <c r="P722" s="145"/>
      <c r="Q722" s="145"/>
      <c r="R722" s="150"/>
    </row>
    <row r="723" spans="1:18" ht="35.25" customHeight="1">
      <c r="A723" s="15">
        <f t="shared" ref="A723:A786" si="11">A722+1</f>
        <v>713</v>
      </c>
      <c r="B723" s="144" t="s">
        <v>1235</v>
      </c>
      <c r="C723" s="150" t="s">
        <v>32</v>
      </c>
      <c r="D723" s="156"/>
      <c r="E723" s="156"/>
      <c r="F723" s="156"/>
      <c r="G723" s="149"/>
      <c r="H723" s="141"/>
      <c r="I723" s="153" t="s">
        <v>18</v>
      </c>
      <c r="J723" s="153">
        <v>1</v>
      </c>
      <c r="K723" s="145" t="s">
        <v>730</v>
      </c>
      <c r="L723" s="142" t="s">
        <v>191</v>
      </c>
      <c r="M723" s="19"/>
      <c r="N723" s="142" t="s">
        <v>2543</v>
      </c>
      <c r="O723" s="149"/>
      <c r="P723" s="145"/>
      <c r="Q723" s="145"/>
      <c r="R723" s="150" t="s">
        <v>2663</v>
      </c>
    </row>
    <row r="724" spans="1:18" ht="35.25" customHeight="1">
      <c r="A724" s="15">
        <f t="shared" si="11"/>
        <v>714</v>
      </c>
      <c r="B724" s="144" t="s">
        <v>1236</v>
      </c>
      <c r="C724" s="150" t="s">
        <v>147</v>
      </c>
      <c r="D724" s="156"/>
      <c r="E724" s="156"/>
      <c r="F724" s="156"/>
      <c r="G724" s="149" t="s">
        <v>2366</v>
      </c>
      <c r="H724" s="141"/>
      <c r="I724" s="153" t="s">
        <v>18</v>
      </c>
      <c r="J724" s="153">
        <v>1</v>
      </c>
      <c r="K724" s="145" t="s">
        <v>730</v>
      </c>
      <c r="L724" s="142" t="s">
        <v>191</v>
      </c>
      <c r="M724" s="19"/>
      <c r="N724" s="142" t="s">
        <v>2543</v>
      </c>
      <c r="O724" s="149"/>
      <c r="P724" s="145"/>
      <c r="Q724" s="145"/>
      <c r="R724" s="150"/>
    </row>
    <row r="725" spans="1:18" ht="35.25" customHeight="1">
      <c r="A725" s="15">
        <f t="shared" si="11"/>
        <v>715</v>
      </c>
      <c r="B725" s="144" t="s">
        <v>1237</v>
      </c>
      <c r="C725" s="150" t="s">
        <v>1238</v>
      </c>
      <c r="D725" s="156"/>
      <c r="E725" s="156"/>
      <c r="F725" s="156"/>
      <c r="G725" s="149" t="s">
        <v>2372</v>
      </c>
      <c r="H725" s="141"/>
      <c r="I725" s="153" t="s">
        <v>18</v>
      </c>
      <c r="J725" s="153">
        <v>1</v>
      </c>
      <c r="K725" s="145" t="s">
        <v>730</v>
      </c>
      <c r="L725" s="142" t="s">
        <v>191</v>
      </c>
      <c r="M725" s="19"/>
      <c r="N725" s="142" t="s">
        <v>2543</v>
      </c>
      <c r="O725" s="149"/>
      <c r="P725" s="145"/>
      <c r="Q725" s="145"/>
      <c r="R725" s="150"/>
    </row>
    <row r="726" spans="1:18" ht="35.25" customHeight="1">
      <c r="A726" s="15">
        <f t="shared" si="11"/>
        <v>716</v>
      </c>
      <c r="B726" s="144" t="s">
        <v>1239</v>
      </c>
      <c r="C726" s="150" t="s">
        <v>1200</v>
      </c>
      <c r="D726" s="156"/>
      <c r="E726" s="156"/>
      <c r="F726" s="156"/>
      <c r="G726" s="149" t="s">
        <v>2364</v>
      </c>
      <c r="H726" s="141"/>
      <c r="I726" s="153" t="s">
        <v>18</v>
      </c>
      <c r="J726" s="153">
        <v>1</v>
      </c>
      <c r="K726" s="145" t="s">
        <v>730</v>
      </c>
      <c r="L726" s="142" t="s">
        <v>191</v>
      </c>
      <c r="M726" s="19"/>
      <c r="N726" s="142" t="s">
        <v>2544</v>
      </c>
      <c r="O726" s="149"/>
      <c r="P726" s="145"/>
      <c r="Q726" s="145"/>
      <c r="R726" s="150"/>
    </row>
    <row r="727" spans="1:18" ht="35.25" customHeight="1">
      <c r="A727" s="15">
        <f t="shared" si="11"/>
        <v>717</v>
      </c>
      <c r="B727" s="144" t="s">
        <v>1240</v>
      </c>
      <c r="C727" s="150" t="s">
        <v>605</v>
      </c>
      <c r="D727" s="156"/>
      <c r="E727" s="156"/>
      <c r="F727" s="156"/>
      <c r="G727" s="149" t="s">
        <v>2373</v>
      </c>
      <c r="H727" s="141"/>
      <c r="I727" s="153" t="s">
        <v>18</v>
      </c>
      <c r="J727" s="153">
        <v>1</v>
      </c>
      <c r="K727" s="145" t="s">
        <v>730</v>
      </c>
      <c r="L727" s="142" t="s">
        <v>191</v>
      </c>
      <c r="M727" s="19"/>
      <c r="N727" s="142" t="s">
        <v>2544</v>
      </c>
      <c r="O727" s="149"/>
      <c r="P727" s="145"/>
      <c r="Q727" s="145"/>
      <c r="R727" s="150"/>
    </row>
    <row r="728" spans="1:18" ht="35.25" customHeight="1">
      <c r="A728" s="15">
        <f t="shared" si="11"/>
        <v>718</v>
      </c>
      <c r="B728" s="144" t="s">
        <v>1241</v>
      </c>
      <c r="C728" s="150" t="s">
        <v>1202</v>
      </c>
      <c r="D728" s="156"/>
      <c r="E728" s="156"/>
      <c r="F728" s="156"/>
      <c r="G728" s="149" t="s">
        <v>2374</v>
      </c>
      <c r="H728" s="141"/>
      <c r="I728" s="153" t="s">
        <v>18</v>
      </c>
      <c r="J728" s="153">
        <v>1</v>
      </c>
      <c r="K728" s="145" t="s">
        <v>730</v>
      </c>
      <c r="L728" s="142" t="s">
        <v>191</v>
      </c>
      <c r="M728" s="19"/>
      <c r="N728" s="142" t="s">
        <v>2544</v>
      </c>
      <c r="O728" s="149"/>
      <c r="P728" s="145"/>
      <c r="Q728" s="145"/>
      <c r="R728" s="150"/>
    </row>
    <row r="729" spans="1:18" ht="35.25" customHeight="1">
      <c r="A729" s="15">
        <f t="shared" si="11"/>
        <v>719</v>
      </c>
      <c r="B729" s="144" t="s">
        <v>1242</v>
      </c>
      <c r="C729" s="150" t="s">
        <v>633</v>
      </c>
      <c r="D729" s="156"/>
      <c r="E729" s="156"/>
      <c r="F729" s="156"/>
      <c r="G729" s="149" t="s">
        <v>2369</v>
      </c>
      <c r="H729" s="141"/>
      <c r="I729" s="153" t="s">
        <v>18</v>
      </c>
      <c r="J729" s="153">
        <v>1</v>
      </c>
      <c r="K729" s="145" t="s">
        <v>730</v>
      </c>
      <c r="L729" s="142" t="s">
        <v>191</v>
      </c>
      <c r="M729" s="19"/>
      <c r="N729" s="142" t="s">
        <v>2544</v>
      </c>
      <c r="O729" s="149"/>
      <c r="P729" s="145"/>
      <c r="Q729" s="145"/>
      <c r="R729" s="150"/>
    </row>
    <row r="730" spans="1:18" ht="35.25" customHeight="1">
      <c r="A730" s="15">
        <f t="shared" si="11"/>
        <v>720</v>
      </c>
      <c r="B730" s="144" t="s">
        <v>1243</v>
      </c>
      <c r="C730" s="150" t="s">
        <v>120</v>
      </c>
      <c r="D730" s="156"/>
      <c r="E730" s="156"/>
      <c r="F730" s="156"/>
      <c r="G730" s="149" t="s">
        <v>2371</v>
      </c>
      <c r="H730" s="141"/>
      <c r="I730" s="153" t="s">
        <v>18</v>
      </c>
      <c r="J730" s="153">
        <v>1</v>
      </c>
      <c r="K730" s="145" t="s">
        <v>730</v>
      </c>
      <c r="L730" s="142" t="s">
        <v>191</v>
      </c>
      <c r="M730" s="19"/>
      <c r="N730" s="142" t="s">
        <v>2544</v>
      </c>
      <c r="O730" s="149"/>
      <c r="P730" s="145"/>
      <c r="Q730" s="145"/>
      <c r="R730" s="150"/>
    </row>
    <row r="731" spans="1:18" ht="35.25" customHeight="1">
      <c r="A731" s="15">
        <f t="shared" si="11"/>
        <v>721</v>
      </c>
      <c r="B731" s="144" t="s">
        <v>1244</v>
      </c>
      <c r="C731" s="150" t="s">
        <v>32</v>
      </c>
      <c r="D731" s="156"/>
      <c r="E731" s="156"/>
      <c r="F731" s="156"/>
      <c r="G731" s="149"/>
      <c r="H731" s="141"/>
      <c r="I731" s="153" t="s">
        <v>18</v>
      </c>
      <c r="J731" s="153">
        <v>1</v>
      </c>
      <c r="K731" s="145" t="s">
        <v>730</v>
      </c>
      <c r="L731" s="142" t="s">
        <v>191</v>
      </c>
      <c r="M731" s="19"/>
      <c r="N731" s="142" t="s">
        <v>2544</v>
      </c>
      <c r="O731" s="149"/>
      <c r="P731" s="145"/>
      <c r="Q731" s="145"/>
      <c r="R731" s="150"/>
    </row>
    <row r="732" spans="1:18" ht="35.25" customHeight="1">
      <c r="A732" s="15">
        <f t="shared" si="11"/>
        <v>722</v>
      </c>
      <c r="B732" s="144" t="s">
        <v>1245</v>
      </c>
      <c r="C732" s="150" t="s">
        <v>698</v>
      </c>
      <c r="D732" s="156"/>
      <c r="E732" s="156"/>
      <c r="F732" s="156"/>
      <c r="G732" s="149" t="s">
        <v>2375</v>
      </c>
      <c r="H732" s="141"/>
      <c r="I732" s="153" t="s">
        <v>18</v>
      </c>
      <c r="J732" s="153">
        <v>1</v>
      </c>
      <c r="K732" s="145" t="s">
        <v>730</v>
      </c>
      <c r="L732" s="142" t="s">
        <v>191</v>
      </c>
      <c r="M732" s="19"/>
      <c r="N732" s="142" t="s">
        <v>2544</v>
      </c>
      <c r="O732" s="149"/>
      <c r="P732" s="145"/>
      <c r="Q732" s="145"/>
      <c r="R732" s="150"/>
    </row>
    <row r="733" spans="1:18" ht="35.25" customHeight="1">
      <c r="A733" s="15">
        <f t="shared" si="11"/>
        <v>723</v>
      </c>
      <c r="B733" s="144" t="s">
        <v>1246</v>
      </c>
      <c r="C733" s="150" t="s">
        <v>894</v>
      </c>
      <c r="D733" s="156"/>
      <c r="E733" s="156"/>
      <c r="F733" s="156"/>
      <c r="G733" s="149">
        <v>969402086</v>
      </c>
      <c r="H733" s="141"/>
      <c r="I733" s="153" t="s">
        <v>18</v>
      </c>
      <c r="J733" s="153">
        <v>1</v>
      </c>
      <c r="K733" s="145" t="s">
        <v>730</v>
      </c>
      <c r="L733" s="142" t="s">
        <v>191</v>
      </c>
      <c r="M733" s="19"/>
      <c r="N733" s="142" t="s">
        <v>2544</v>
      </c>
      <c r="O733" s="149"/>
      <c r="P733" s="145"/>
      <c r="Q733" s="145"/>
      <c r="R733" s="150"/>
    </row>
    <row r="734" spans="1:18" ht="35.25" customHeight="1">
      <c r="A734" s="15">
        <f t="shared" si="11"/>
        <v>724</v>
      </c>
      <c r="B734" s="144" t="s">
        <v>1247</v>
      </c>
      <c r="C734" s="150" t="s">
        <v>894</v>
      </c>
      <c r="D734" s="156"/>
      <c r="E734" s="156"/>
      <c r="F734" s="156"/>
      <c r="G734" s="149">
        <v>968097086</v>
      </c>
      <c r="H734" s="141"/>
      <c r="I734" s="153" t="s">
        <v>18</v>
      </c>
      <c r="J734" s="153">
        <v>1</v>
      </c>
      <c r="K734" s="145" t="s">
        <v>730</v>
      </c>
      <c r="L734" s="142" t="s">
        <v>191</v>
      </c>
      <c r="M734" s="19"/>
      <c r="N734" s="142" t="s">
        <v>2544</v>
      </c>
      <c r="O734" s="149"/>
      <c r="P734" s="145"/>
      <c r="Q734" s="145"/>
      <c r="R734" s="150"/>
    </row>
    <row r="735" spans="1:18" ht="35.25" customHeight="1">
      <c r="A735" s="15">
        <f t="shared" si="11"/>
        <v>725</v>
      </c>
      <c r="B735" s="144" t="s">
        <v>1248</v>
      </c>
      <c r="C735" s="150" t="s">
        <v>894</v>
      </c>
      <c r="D735" s="156"/>
      <c r="E735" s="156"/>
      <c r="F735" s="156"/>
      <c r="G735" s="149">
        <v>968023086</v>
      </c>
      <c r="H735" s="141"/>
      <c r="I735" s="153" t="s">
        <v>18</v>
      </c>
      <c r="J735" s="153">
        <v>1</v>
      </c>
      <c r="K735" s="145" t="s">
        <v>730</v>
      </c>
      <c r="L735" s="142" t="s">
        <v>191</v>
      </c>
      <c r="M735" s="19"/>
      <c r="N735" s="142" t="s">
        <v>2544</v>
      </c>
      <c r="O735" s="149"/>
      <c r="P735" s="145"/>
      <c r="Q735" s="145"/>
      <c r="R735" s="150"/>
    </row>
    <row r="736" spans="1:18" ht="35.25" customHeight="1">
      <c r="A736" s="15">
        <f t="shared" si="11"/>
        <v>726</v>
      </c>
      <c r="B736" s="144" t="s">
        <v>1249</v>
      </c>
      <c r="C736" s="150" t="s">
        <v>147</v>
      </c>
      <c r="D736" s="156"/>
      <c r="E736" s="156"/>
      <c r="F736" s="156"/>
      <c r="G736" s="149" t="s">
        <v>2366</v>
      </c>
      <c r="H736" s="141"/>
      <c r="I736" s="153" t="s">
        <v>18</v>
      </c>
      <c r="J736" s="153">
        <v>3</v>
      </c>
      <c r="K736" s="145" t="s">
        <v>730</v>
      </c>
      <c r="L736" s="142" t="s">
        <v>191</v>
      </c>
      <c r="M736" s="19"/>
      <c r="N736" s="142" t="s">
        <v>2544</v>
      </c>
      <c r="O736" s="149"/>
      <c r="P736" s="145"/>
      <c r="Q736" s="145"/>
      <c r="R736" s="150"/>
    </row>
    <row r="737" spans="1:18" ht="35.25" customHeight="1">
      <c r="A737" s="15">
        <f t="shared" si="11"/>
        <v>727</v>
      </c>
      <c r="B737" s="144" t="s">
        <v>1250</v>
      </c>
      <c r="C737" s="150" t="s">
        <v>1238</v>
      </c>
      <c r="D737" s="156"/>
      <c r="E737" s="156"/>
      <c r="F737" s="156"/>
      <c r="G737" s="149" t="s">
        <v>2372</v>
      </c>
      <c r="H737" s="141"/>
      <c r="I737" s="153" t="s">
        <v>18</v>
      </c>
      <c r="J737" s="153">
        <v>1</v>
      </c>
      <c r="K737" s="145" t="s">
        <v>730</v>
      </c>
      <c r="L737" s="142" t="s">
        <v>191</v>
      </c>
      <c r="M737" s="19"/>
      <c r="N737" s="142" t="s">
        <v>2544</v>
      </c>
      <c r="O737" s="149"/>
      <c r="P737" s="145"/>
      <c r="Q737" s="145"/>
      <c r="R737" s="150"/>
    </row>
    <row r="738" spans="1:18" ht="35.25" customHeight="1">
      <c r="A738" s="15">
        <f t="shared" si="11"/>
        <v>728</v>
      </c>
      <c r="B738" s="142" t="s">
        <v>1251</v>
      </c>
      <c r="C738" s="150" t="s">
        <v>1252</v>
      </c>
      <c r="D738" s="156"/>
      <c r="E738" s="156"/>
      <c r="F738" s="156"/>
      <c r="G738" s="149" t="s">
        <v>2376</v>
      </c>
      <c r="H738" s="141"/>
      <c r="I738" s="153" t="s">
        <v>566</v>
      </c>
      <c r="J738" s="153">
        <v>1</v>
      </c>
      <c r="K738" s="145" t="s">
        <v>730</v>
      </c>
      <c r="L738" s="142" t="s">
        <v>191</v>
      </c>
      <c r="M738" s="19"/>
      <c r="N738" s="187" t="s">
        <v>2544</v>
      </c>
      <c r="O738" s="235">
        <v>44991</v>
      </c>
      <c r="P738" s="145"/>
      <c r="Q738" s="145"/>
      <c r="R738" s="150"/>
    </row>
    <row r="739" spans="1:18" ht="35.25" customHeight="1">
      <c r="A739" s="15">
        <f t="shared" si="11"/>
        <v>729</v>
      </c>
      <c r="B739" s="142" t="s">
        <v>1253</v>
      </c>
      <c r="C739" s="150" t="s">
        <v>1254</v>
      </c>
      <c r="D739" s="156"/>
      <c r="E739" s="156"/>
      <c r="F739" s="156"/>
      <c r="G739" s="149" t="s">
        <v>2377</v>
      </c>
      <c r="H739" s="141"/>
      <c r="I739" s="153" t="s">
        <v>566</v>
      </c>
      <c r="J739" s="153">
        <v>1</v>
      </c>
      <c r="K739" s="145" t="s">
        <v>730</v>
      </c>
      <c r="L739" s="142" t="s">
        <v>191</v>
      </c>
      <c r="M739" s="19"/>
      <c r="N739" s="187" t="s">
        <v>2544</v>
      </c>
      <c r="O739" s="235">
        <v>44991</v>
      </c>
      <c r="P739" s="145"/>
      <c r="Q739" s="145"/>
      <c r="R739" s="150"/>
    </row>
    <row r="740" spans="1:18" ht="35.25" customHeight="1">
      <c r="A740" s="15">
        <f t="shared" si="11"/>
        <v>730</v>
      </c>
      <c r="B740" s="9" t="s">
        <v>1255</v>
      </c>
      <c r="C740" s="14" t="s">
        <v>1256</v>
      </c>
      <c r="D740" s="156"/>
      <c r="E740" s="156"/>
      <c r="F740" s="156"/>
      <c r="G740" s="149"/>
      <c r="H740" s="141"/>
      <c r="I740" s="153" t="s">
        <v>566</v>
      </c>
      <c r="J740" s="153">
        <v>10</v>
      </c>
      <c r="K740" s="145" t="s">
        <v>730</v>
      </c>
      <c r="L740" s="142" t="s">
        <v>191</v>
      </c>
      <c r="M740" s="19"/>
      <c r="N740" s="187" t="s">
        <v>2544</v>
      </c>
      <c r="O740" s="235"/>
      <c r="P740" s="145"/>
      <c r="Q740" s="145"/>
      <c r="R740" s="150"/>
    </row>
    <row r="741" spans="1:18" ht="35.25" customHeight="1">
      <c r="A741" s="15">
        <f t="shared" si="11"/>
        <v>731</v>
      </c>
      <c r="B741" s="123" t="s">
        <v>1257</v>
      </c>
      <c r="C741" s="29" t="s">
        <v>1258</v>
      </c>
      <c r="D741" s="156"/>
      <c r="E741" s="156"/>
      <c r="F741" s="156"/>
      <c r="G741" s="149"/>
      <c r="H741" s="141"/>
      <c r="I741" s="153" t="s">
        <v>566</v>
      </c>
      <c r="J741" s="153">
        <v>1</v>
      </c>
      <c r="K741" s="145" t="s">
        <v>730</v>
      </c>
      <c r="L741" s="142" t="s">
        <v>191</v>
      </c>
      <c r="M741" s="19"/>
      <c r="N741" s="187" t="s">
        <v>2544</v>
      </c>
      <c r="O741" s="235"/>
      <c r="P741" s="145"/>
      <c r="Q741" s="145"/>
      <c r="R741" s="150"/>
    </row>
    <row r="742" spans="1:18" ht="35.25" customHeight="1">
      <c r="A742" s="15">
        <f t="shared" si="11"/>
        <v>732</v>
      </c>
      <c r="B742" s="144" t="s">
        <v>1259</v>
      </c>
      <c r="C742" s="150" t="s">
        <v>896</v>
      </c>
      <c r="D742" s="156"/>
      <c r="E742" s="156"/>
      <c r="F742" s="156"/>
      <c r="G742" s="149" t="s">
        <v>2378</v>
      </c>
      <c r="H742" s="141"/>
      <c r="I742" s="153" t="s">
        <v>18</v>
      </c>
      <c r="J742" s="153">
        <v>1</v>
      </c>
      <c r="K742" s="145" t="s">
        <v>730</v>
      </c>
      <c r="L742" s="142" t="s">
        <v>191</v>
      </c>
      <c r="M742" s="19"/>
      <c r="N742" s="142" t="s">
        <v>2544</v>
      </c>
      <c r="O742" s="149"/>
      <c r="P742" s="145"/>
      <c r="Q742" s="145"/>
      <c r="R742" s="142" t="s">
        <v>2545</v>
      </c>
    </row>
    <row r="743" spans="1:18" ht="35.25" customHeight="1">
      <c r="A743" s="15">
        <f t="shared" si="11"/>
        <v>733</v>
      </c>
      <c r="B743" s="144" t="s">
        <v>1260</v>
      </c>
      <c r="C743" s="150" t="s">
        <v>1261</v>
      </c>
      <c r="D743" s="156"/>
      <c r="E743" s="156"/>
      <c r="F743" s="156"/>
      <c r="G743" s="149"/>
      <c r="H743" s="141"/>
      <c r="I743" s="153" t="s">
        <v>18</v>
      </c>
      <c r="J743" s="153">
        <v>1</v>
      </c>
      <c r="K743" s="145" t="s">
        <v>730</v>
      </c>
      <c r="L743" s="142" t="s">
        <v>191</v>
      </c>
      <c r="M743" s="19"/>
      <c r="N743" s="142" t="s">
        <v>2544</v>
      </c>
      <c r="O743" s="149"/>
      <c r="P743" s="145"/>
      <c r="Q743" s="145"/>
      <c r="R743" s="142" t="s">
        <v>2545</v>
      </c>
    </row>
    <row r="744" spans="1:18" ht="35.25" customHeight="1">
      <c r="A744" s="15">
        <f t="shared" si="11"/>
        <v>734</v>
      </c>
      <c r="B744" s="144" t="s">
        <v>1262</v>
      </c>
      <c r="C744" s="150" t="s">
        <v>1263</v>
      </c>
      <c r="D744" s="156"/>
      <c r="E744" s="156"/>
      <c r="F744" s="156"/>
      <c r="G744" s="144"/>
      <c r="H744" s="141"/>
      <c r="I744" s="144" t="s">
        <v>566</v>
      </c>
      <c r="J744" s="153">
        <v>1</v>
      </c>
      <c r="K744" s="145" t="s">
        <v>730</v>
      </c>
      <c r="L744" s="142" t="s">
        <v>191</v>
      </c>
      <c r="M744" s="19"/>
      <c r="N744" s="142" t="s">
        <v>2544</v>
      </c>
      <c r="O744" s="149"/>
      <c r="P744" s="145"/>
      <c r="Q744" s="145"/>
      <c r="R744" s="142" t="s">
        <v>272</v>
      </c>
    </row>
    <row r="745" spans="1:18" ht="35.25" customHeight="1">
      <c r="A745" s="15">
        <f t="shared" si="11"/>
        <v>735</v>
      </c>
      <c r="B745" s="144" t="s">
        <v>1264</v>
      </c>
      <c r="C745" s="150" t="s">
        <v>1263</v>
      </c>
      <c r="D745" s="156"/>
      <c r="E745" s="156"/>
      <c r="F745" s="156"/>
      <c r="G745" s="144"/>
      <c r="H745" s="141"/>
      <c r="I745" s="144" t="s">
        <v>566</v>
      </c>
      <c r="J745" s="153">
        <v>1</v>
      </c>
      <c r="K745" s="145" t="s">
        <v>730</v>
      </c>
      <c r="L745" s="142" t="s">
        <v>191</v>
      </c>
      <c r="M745" s="19"/>
      <c r="N745" s="142" t="s">
        <v>2544</v>
      </c>
      <c r="O745" s="149"/>
      <c r="P745" s="145"/>
      <c r="Q745" s="145"/>
      <c r="R745" s="142" t="s">
        <v>272</v>
      </c>
    </row>
    <row r="746" spans="1:18" ht="35.25" customHeight="1">
      <c r="A746" s="15">
        <f t="shared" si="11"/>
        <v>736</v>
      </c>
      <c r="B746" s="144" t="s">
        <v>1265</v>
      </c>
      <c r="C746" s="150" t="s">
        <v>1263</v>
      </c>
      <c r="D746" s="156"/>
      <c r="E746" s="156"/>
      <c r="F746" s="156"/>
      <c r="G746" s="144"/>
      <c r="H746" s="141"/>
      <c r="I746" s="144" t="s">
        <v>566</v>
      </c>
      <c r="J746" s="153">
        <v>1</v>
      </c>
      <c r="K746" s="145" t="s">
        <v>730</v>
      </c>
      <c r="L746" s="142" t="s">
        <v>191</v>
      </c>
      <c r="M746" s="19"/>
      <c r="N746" s="142" t="s">
        <v>2544</v>
      </c>
      <c r="O746" s="149"/>
      <c r="P746" s="145"/>
      <c r="Q746" s="145"/>
      <c r="R746" s="142" t="s">
        <v>272</v>
      </c>
    </row>
    <row r="747" spans="1:18" ht="35.25" customHeight="1">
      <c r="A747" s="15">
        <f t="shared" si="11"/>
        <v>737</v>
      </c>
      <c r="B747" s="144" t="s">
        <v>1266</v>
      </c>
      <c r="C747" s="150" t="s">
        <v>1263</v>
      </c>
      <c r="D747" s="156"/>
      <c r="E747" s="156"/>
      <c r="F747" s="156"/>
      <c r="G747" s="144"/>
      <c r="H747" s="141"/>
      <c r="I747" s="144" t="s">
        <v>566</v>
      </c>
      <c r="J747" s="153">
        <v>1</v>
      </c>
      <c r="K747" s="145" t="s">
        <v>730</v>
      </c>
      <c r="L747" s="142" t="s">
        <v>191</v>
      </c>
      <c r="M747" s="19"/>
      <c r="N747" s="142" t="s">
        <v>2544</v>
      </c>
      <c r="O747" s="149"/>
      <c r="P747" s="145"/>
      <c r="Q747" s="145"/>
      <c r="R747" s="142" t="s">
        <v>272</v>
      </c>
    </row>
    <row r="748" spans="1:18" ht="35.25" customHeight="1">
      <c r="A748" s="15">
        <f t="shared" si="11"/>
        <v>738</v>
      </c>
      <c r="B748" s="144" t="s">
        <v>1267</v>
      </c>
      <c r="C748" s="150" t="s">
        <v>1263</v>
      </c>
      <c r="D748" s="156"/>
      <c r="E748" s="156"/>
      <c r="F748" s="156"/>
      <c r="G748" s="144"/>
      <c r="H748" s="141"/>
      <c r="I748" s="144" t="s">
        <v>566</v>
      </c>
      <c r="J748" s="153">
        <v>1</v>
      </c>
      <c r="K748" s="145" t="s">
        <v>730</v>
      </c>
      <c r="L748" s="142" t="s">
        <v>191</v>
      </c>
      <c r="M748" s="19"/>
      <c r="N748" s="142" t="s">
        <v>2544</v>
      </c>
      <c r="O748" s="149"/>
      <c r="P748" s="145"/>
      <c r="Q748" s="145"/>
      <c r="R748" s="142" t="s">
        <v>272</v>
      </c>
    </row>
    <row r="749" spans="1:18" ht="35.25" customHeight="1">
      <c r="A749" s="15">
        <f t="shared" si="11"/>
        <v>739</v>
      </c>
      <c r="B749" s="144" t="s">
        <v>1268</v>
      </c>
      <c r="C749" s="150" t="s">
        <v>1263</v>
      </c>
      <c r="D749" s="156"/>
      <c r="E749" s="156"/>
      <c r="F749" s="156"/>
      <c r="G749" s="144"/>
      <c r="H749" s="141"/>
      <c r="I749" s="144" t="s">
        <v>566</v>
      </c>
      <c r="J749" s="153">
        <v>1</v>
      </c>
      <c r="K749" s="145" t="s">
        <v>730</v>
      </c>
      <c r="L749" s="142" t="s">
        <v>191</v>
      </c>
      <c r="M749" s="19"/>
      <c r="N749" s="142" t="s">
        <v>2544</v>
      </c>
      <c r="O749" s="149"/>
      <c r="P749" s="145"/>
      <c r="Q749" s="145"/>
      <c r="R749" s="142" t="s">
        <v>272</v>
      </c>
    </row>
    <row r="750" spans="1:18" ht="35.25" customHeight="1">
      <c r="A750" s="15">
        <f t="shared" si="11"/>
        <v>740</v>
      </c>
      <c r="B750" s="144" t="s">
        <v>1269</v>
      </c>
      <c r="C750" s="150" t="s">
        <v>1263</v>
      </c>
      <c r="D750" s="156"/>
      <c r="E750" s="156"/>
      <c r="F750" s="156"/>
      <c r="G750" s="144"/>
      <c r="H750" s="141"/>
      <c r="I750" s="144" t="s">
        <v>566</v>
      </c>
      <c r="J750" s="153">
        <v>1</v>
      </c>
      <c r="K750" s="145" t="s">
        <v>730</v>
      </c>
      <c r="L750" s="142" t="s">
        <v>191</v>
      </c>
      <c r="M750" s="19"/>
      <c r="N750" s="142" t="s">
        <v>2544</v>
      </c>
      <c r="O750" s="149"/>
      <c r="P750" s="145"/>
      <c r="Q750" s="145"/>
      <c r="R750" s="142" t="s">
        <v>272</v>
      </c>
    </row>
    <row r="751" spans="1:18" ht="35.25" customHeight="1">
      <c r="A751" s="15">
        <f t="shared" si="11"/>
        <v>741</v>
      </c>
      <c r="B751" s="144" t="s">
        <v>1270</v>
      </c>
      <c r="C751" s="150" t="s">
        <v>1271</v>
      </c>
      <c r="D751" s="156"/>
      <c r="E751" s="156"/>
      <c r="F751" s="156"/>
      <c r="G751" s="149"/>
      <c r="H751" s="141"/>
      <c r="I751" s="153" t="s">
        <v>18</v>
      </c>
      <c r="J751" s="153">
        <v>1</v>
      </c>
      <c r="K751" s="145" t="s">
        <v>730</v>
      </c>
      <c r="L751" s="142" t="s">
        <v>191</v>
      </c>
      <c r="M751" s="19"/>
      <c r="N751" s="142" t="s">
        <v>2544</v>
      </c>
      <c r="O751" s="149"/>
      <c r="P751" s="145"/>
      <c r="Q751" s="145"/>
      <c r="R751" s="142" t="s">
        <v>2546</v>
      </c>
    </row>
    <row r="752" spans="1:18" ht="35.25" customHeight="1">
      <c r="A752" s="15">
        <f t="shared" si="11"/>
        <v>742</v>
      </c>
      <c r="B752" s="156" t="s">
        <v>1272</v>
      </c>
      <c r="C752" s="169" t="s">
        <v>1273</v>
      </c>
      <c r="D752" s="156"/>
      <c r="E752" s="156"/>
      <c r="F752" s="156"/>
      <c r="G752" s="160" t="s">
        <v>2379</v>
      </c>
      <c r="H752" s="141"/>
      <c r="I752" s="158" t="s">
        <v>18</v>
      </c>
      <c r="J752" s="158">
        <v>1</v>
      </c>
      <c r="K752" s="145" t="s">
        <v>730</v>
      </c>
      <c r="L752" s="145" t="s">
        <v>191</v>
      </c>
      <c r="M752" s="276" t="s">
        <v>3272</v>
      </c>
      <c r="N752" s="145" t="s">
        <v>2547</v>
      </c>
      <c r="O752" s="160"/>
      <c r="P752" s="145"/>
      <c r="Q752" s="145"/>
      <c r="R752" s="169"/>
    </row>
    <row r="753" spans="1:18" ht="35.25" customHeight="1">
      <c r="A753" s="15">
        <f t="shared" si="11"/>
        <v>743</v>
      </c>
      <c r="B753" s="156" t="s">
        <v>1274</v>
      </c>
      <c r="C753" s="169" t="s">
        <v>1275</v>
      </c>
      <c r="D753" s="156"/>
      <c r="E753" s="156"/>
      <c r="F753" s="156"/>
      <c r="G753" s="160" t="s">
        <v>2380</v>
      </c>
      <c r="H753" s="141"/>
      <c r="I753" s="158" t="s">
        <v>18</v>
      </c>
      <c r="J753" s="158">
        <v>1</v>
      </c>
      <c r="K753" s="145" t="s">
        <v>730</v>
      </c>
      <c r="L753" s="145" t="s">
        <v>191</v>
      </c>
      <c r="M753" s="276" t="s">
        <v>3272</v>
      </c>
      <c r="N753" s="145" t="s">
        <v>2547</v>
      </c>
      <c r="O753" s="160"/>
      <c r="P753" s="145"/>
      <c r="Q753" s="145"/>
      <c r="R753" s="169"/>
    </row>
    <row r="754" spans="1:18" ht="35.25" customHeight="1">
      <c r="A754" s="15">
        <f t="shared" si="11"/>
        <v>744</v>
      </c>
      <c r="B754" s="156" t="s">
        <v>1276</v>
      </c>
      <c r="C754" s="169" t="s">
        <v>120</v>
      </c>
      <c r="D754" s="156"/>
      <c r="E754" s="156"/>
      <c r="F754" s="156"/>
      <c r="G754" s="160" t="s">
        <v>2381</v>
      </c>
      <c r="H754" s="141"/>
      <c r="I754" s="158" t="s">
        <v>18</v>
      </c>
      <c r="J754" s="158">
        <v>1</v>
      </c>
      <c r="K754" s="145" t="s">
        <v>730</v>
      </c>
      <c r="L754" s="145" t="s">
        <v>191</v>
      </c>
      <c r="M754" s="276" t="s">
        <v>3272</v>
      </c>
      <c r="N754" s="145" t="s">
        <v>2547</v>
      </c>
      <c r="O754" s="160"/>
      <c r="P754" s="145"/>
      <c r="Q754" s="145"/>
      <c r="R754" s="169"/>
    </row>
    <row r="755" spans="1:18" ht="35.25" customHeight="1">
      <c r="A755" s="15">
        <f t="shared" si="11"/>
        <v>745</v>
      </c>
      <c r="B755" s="144" t="s">
        <v>1277</v>
      </c>
      <c r="C755" s="150" t="s">
        <v>641</v>
      </c>
      <c r="D755" s="156"/>
      <c r="E755" s="156"/>
      <c r="F755" s="156"/>
      <c r="G755" s="149">
        <v>968501798</v>
      </c>
      <c r="H755" s="141"/>
      <c r="I755" s="153" t="s">
        <v>18</v>
      </c>
      <c r="J755" s="153">
        <v>1</v>
      </c>
      <c r="K755" s="145" t="s">
        <v>730</v>
      </c>
      <c r="L755" s="142" t="s">
        <v>191</v>
      </c>
      <c r="M755" s="276" t="s">
        <v>3272</v>
      </c>
      <c r="N755" s="142" t="s">
        <v>2547</v>
      </c>
      <c r="O755" s="149"/>
      <c r="P755" s="145"/>
      <c r="Q755" s="145"/>
      <c r="R755" s="150"/>
    </row>
    <row r="756" spans="1:18" ht="35.25" customHeight="1">
      <c r="A756" s="15">
        <f t="shared" si="11"/>
        <v>746</v>
      </c>
      <c r="B756" s="144" t="s">
        <v>1278</v>
      </c>
      <c r="C756" s="150" t="s">
        <v>1279</v>
      </c>
      <c r="D756" s="156"/>
      <c r="E756" s="156"/>
      <c r="F756" s="156"/>
      <c r="G756" s="149" t="s">
        <v>438</v>
      </c>
      <c r="H756" s="141"/>
      <c r="I756" s="153" t="s">
        <v>18</v>
      </c>
      <c r="J756" s="153">
        <v>1</v>
      </c>
      <c r="K756" s="145" t="s">
        <v>730</v>
      </c>
      <c r="L756" s="142" t="s">
        <v>191</v>
      </c>
      <c r="M756" s="276" t="s">
        <v>3272</v>
      </c>
      <c r="N756" s="142" t="s">
        <v>2547</v>
      </c>
      <c r="O756" s="149"/>
      <c r="P756" s="145"/>
      <c r="Q756" s="145"/>
      <c r="R756" s="150"/>
    </row>
    <row r="757" spans="1:18" ht="35.25" customHeight="1">
      <c r="A757" s="15">
        <f t="shared" si="11"/>
        <v>747</v>
      </c>
      <c r="B757" s="144" t="s">
        <v>1280</v>
      </c>
      <c r="C757" s="150" t="s">
        <v>1238</v>
      </c>
      <c r="D757" s="156"/>
      <c r="E757" s="156"/>
      <c r="F757" s="156"/>
      <c r="G757" s="149" t="s">
        <v>2372</v>
      </c>
      <c r="H757" s="141"/>
      <c r="I757" s="153" t="s">
        <v>18</v>
      </c>
      <c r="J757" s="153">
        <v>1</v>
      </c>
      <c r="K757" s="145" t="s">
        <v>730</v>
      </c>
      <c r="L757" s="142" t="s">
        <v>191</v>
      </c>
      <c r="M757" s="276" t="s">
        <v>3272</v>
      </c>
      <c r="N757" s="142" t="s">
        <v>2547</v>
      </c>
      <c r="O757" s="149"/>
      <c r="P757" s="145"/>
      <c r="Q757" s="145"/>
      <c r="R757" s="150"/>
    </row>
    <row r="758" spans="1:18" ht="35.25" customHeight="1">
      <c r="A758" s="15">
        <f t="shared" si="11"/>
        <v>748</v>
      </c>
      <c r="B758" s="144" t="s">
        <v>1281</v>
      </c>
      <c r="C758" s="150" t="s">
        <v>32</v>
      </c>
      <c r="D758" s="156"/>
      <c r="E758" s="156"/>
      <c r="F758" s="156"/>
      <c r="G758" s="149"/>
      <c r="H758" s="141"/>
      <c r="I758" s="153" t="s">
        <v>18</v>
      </c>
      <c r="J758" s="153">
        <v>1</v>
      </c>
      <c r="K758" s="153" t="s">
        <v>2499</v>
      </c>
      <c r="L758" s="142" t="s">
        <v>191</v>
      </c>
      <c r="M758" s="276" t="s">
        <v>3272</v>
      </c>
      <c r="N758" s="142" t="s">
        <v>2547</v>
      </c>
      <c r="O758" s="149"/>
      <c r="P758" s="145"/>
      <c r="Q758" s="145"/>
      <c r="R758" s="150"/>
    </row>
    <row r="759" spans="1:18" ht="35.25" customHeight="1">
      <c r="A759" s="15">
        <f t="shared" si="11"/>
        <v>749</v>
      </c>
      <c r="B759" s="144" t="s">
        <v>1282</v>
      </c>
      <c r="C759" s="150" t="s">
        <v>1283</v>
      </c>
      <c r="D759" s="156"/>
      <c r="E759" s="156"/>
      <c r="F759" s="156"/>
      <c r="G759" s="149" t="s">
        <v>2382</v>
      </c>
      <c r="H759" s="141"/>
      <c r="I759" s="153" t="s">
        <v>18</v>
      </c>
      <c r="J759" s="153">
        <v>1</v>
      </c>
      <c r="K759" s="145" t="s">
        <v>730</v>
      </c>
      <c r="L759" s="142" t="s">
        <v>191</v>
      </c>
      <c r="M759" s="276" t="s">
        <v>3277</v>
      </c>
      <c r="N759" s="142" t="s">
        <v>2548</v>
      </c>
      <c r="O759" s="149"/>
      <c r="P759" s="145"/>
      <c r="Q759" s="145"/>
      <c r="R759" s="150"/>
    </row>
    <row r="760" spans="1:18" ht="35.25" customHeight="1">
      <c r="A760" s="15">
        <f t="shared" si="11"/>
        <v>750</v>
      </c>
      <c r="B760" s="144" t="s">
        <v>1284</v>
      </c>
      <c r="C760" s="150" t="s">
        <v>1176</v>
      </c>
      <c r="D760" s="156"/>
      <c r="E760" s="156"/>
      <c r="F760" s="156"/>
      <c r="G760" s="149"/>
      <c r="H760" s="141"/>
      <c r="I760" s="153" t="s">
        <v>18</v>
      </c>
      <c r="J760" s="153">
        <v>1</v>
      </c>
      <c r="K760" s="145" t="s">
        <v>730</v>
      </c>
      <c r="L760" s="142" t="s">
        <v>191</v>
      </c>
      <c r="M760" s="276" t="s">
        <v>3277</v>
      </c>
      <c r="N760" s="142" t="s">
        <v>2548</v>
      </c>
      <c r="O760" s="149"/>
      <c r="P760" s="145"/>
      <c r="Q760" s="145"/>
      <c r="R760" s="150"/>
    </row>
    <row r="761" spans="1:18" ht="35.25" customHeight="1">
      <c r="A761" s="15">
        <f t="shared" si="11"/>
        <v>751</v>
      </c>
      <c r="B761" s="144" t="s">
        <v>1285</v>
      </c>
      <c r="C761" s="150" t="s">
        <v>451</v>
      </c>
      <c r="D761" s="156"/>
      <c r="E761" s="156"/>
      <c r="F761" s="156"/>
      <c r="G761" s="149" t="s">
        <v>2383</v>
      </c>
      <c r="H761" s="141"/>
      <c r="I761" s="153" t="s">
        <v>18</v>
      </c>
      <c r="J761" s="153">
        <v>1</v>
      </c>
      <c r="K761" s="145" t="s">
        <v>730</v>
      </c>
      <c r="L761" s="142" t="s">
        <v>191</v>
      </c>
      <c r="M761" s="276" t="s">
        <v>3277</v>
      </c>
      <c r="N761" s="142" t="s">
        <v>2548</v>
      </c>
      <c r="O761" s="149"/>
      <c r="P761" s="145"/>
      <c r="Q761" s="145"/>
      <c r="R761" s="150"/>
    </row>
    <row r="762" spans="1:18" ht="35.25" customHeight="1">
      <c r="A762" s="15">
        <f t="shared" si="11"/>
        <v>752</v>
      </c>
      <c r="B762" s="144" t="s">
        <v>1286</v>
      </c>
      <c r="C762" s="150" t="s">
        <v>1279</v>
      </c>
      <c r="D762" s="156"/>
      <c r="E762" s="156"/>
      <c r="F762" s="156"/>
      <c r="G762" s="149" t="s">
        <v>438</v>
      </c>
      <c r="H762" s="141"/>
      <c r="I762" s="153" t="s">
        <v>18</v>
      </c>
      <c r="J762" s="153">
        <v>1</v>
      </c>
      <c r="K762" s="145" t="s">
        <v>730</v>
      </c>
      <c r="L762" s="142" t="s">
        <v>191</v>
      </c>
      <c r="M762" s="276" t="s">
        <v>3277</v>
      </c>
      <c r="N762" s="142" t="s">
        <v>2548</v>
      </c>
      <c r="O762" s="149"/>
      <c r="P762" s="145"/>
      <c r="Q762" s="145"/>
      <c r="R762" s="150"/>
    </row>
    <row r="763" spans="1:18" ht="35.25" customHeight="1">
      <c r="A763" s="15">
        <f t="shared" si="11"/>
        <v>753</v>
      </c>
      <c r="B763" s="144" t="s">
        <v>1287</v>
      </c>
      <c r="C763" s="150" t="s">
        <v>1238</v>
      </c>
      <c r="D763" s="156"/>
      <c r="E763" s="156"/>
      <c r="F763" s="156"/>
      <c r="G763" s="149" t="s">
        <v>2372</v>
      </c>
      <c r="H763" s="141"/>
      <c r="I763" s="153" t="s">
        <v>18</v>
      </c>
      <c r="J763" s="153">
        <v>1</v>
      </c>
      <c r="K763" s="145" t="s">
        <v>730</v>
      </c>
      <c r="L763" s="142" t="s">
        <v>191</v>
      </c>
      <c r="M763" s="276" t="s">
        <v>3277</v>
      </c>
      <c r="N763" s="142" t="s">
        <v>2548</v>
      </c>
      <c r="O763" s="149"/>
      <c r="P763" s="145"/>
      <c r="Q763" s="145"/>
      <c r="R763" s="150"/>
    </row>
    <row r="764" spans="1:18" ht="35.25" customHeight="1">
      <c r="A764" s="15">
        <f t="shared" si="11"/>
        <v>754</v>
      </c>
      <c r="B764" s="144" t="s">
        <v>1288</v>
      </c>
      <c r="C764" s="150" t="s">
        <v>1289</v>
      </c>
      <c r="D764" s="156"/>
      <c r="E764" s="156"/>
      <c r="F764" s="156"/>
      <c r="G764" s="149" t="s">
        <v>32</v>
      </c>
      <c r="H764" s="141"/>
      <c r="I764" s="153" t="s">
        <v>18</v>
      </c>
      <c r="J764" s="153">
        <v>1</v>
      </c>
      <c r="K764" s="145" t="s">
        <v>730</v>
      </c>
      <c r="L764" s="142" t="s">
        <v>191</v>
      </c>
      <c r="M764" s="276" t="s">
        <v>3277</v>
      </c>
      <c r="N764" s="142" t="s">
        <v>2548</v>
      </c>
      <c r="O764" s="149"/>
      <c r="P764" s="145"/>
      <c r="Q764" s="145"/>
      <c r="R764" s="150"/>
    </row>
    <row r="765" spans="1:18" ht="35.25" customHeight="1">
      <c r="A765" s="15">
        <f t="shared" si="11"/>
        <v>755</v>
      </c>
      <c r="B765" s="144" t="s">
        <v>1290</v>
      </c>
      <c r="C765" s="150" t="s">
        <v>1291</v>
      </c>
      <c r="D765" s="156"/>
      <c r="E765" s="156"/>
      <c r="F765" s="156"/>
      <c r="G765" s="149"/>
      <c r="H765" s="141"/>
      <c r="I765" s="153" t="s">
        <v>18</v>
      </c>
      <c r="J765" s="153">
        <v>1</v>
      </c>
      <c r="K765" s="145" t="s">
        <v>730</v>
      </c>
      <c r="L765" s="142" t="s">
        <v>191</v>
      </c>
      <c r="M765" s="276" t="s">
        <v>3277</v>
      </c>
      <c r="N765" s="142" t="s">
        <v>2548</v>
      </c>
      <c r="O765" s="149"/>
      <c r="P765" s="145"/>
      <c r="Q765" s="145"/>
      <c r="R765" s="150"/>
    </row>
    <row r="766" spans="1:18" ht="35.25" customHeight="1">
      <c r="A766" s="15">
        <f t="shared" si="11"/>
        <v>756</v>
      </c>
      <c r="B766" s="144" t="s">
        <v>1292</v>
      </c>
      <c r="C766" s="150" t="s">
        <v>1293</v>
      </c>
      <c r="D766" s="156"/>
      <c r="E766" s="156"/>
      <c r="F766" s="156"/>
      <c r="G766" s="149"/>
      <c r="H766" s="141"/>
      <c r="I766" s="153" t="s">
        <v>181</v>
      </c>
      <c r="J766" s="153">
        <v>1</v>
      </c>
      <c r="K766" s="145" t="s">
        <v>730</v>
      </c>
      <c r="L766" s="142" t="s">
        <v>191</v>
      </c>
      <c r="M766" s="276" t="s">
        <v>3277</v>
      </c>
      <c r="N766" s="142" t="s">
        <v>2548</v>
      </c>
      <c r="O766" s="194">
        <v>44981</v>
      </c>
      <c r="P766" s="145"/>
      <c r="Q766" s="145"/>
      <c r="R766" s="150"/>
    </row>
    <row r="767" spans="1:18" ht="35.25" customHeight="1">
      <c r="A767" s="15">
        <f t="shared" si="11"/>
        <v>757</v>
      </c>
      <c r="B767" s="144" t="s">
        <v>1294</v>
      </c>
      <c r="C767" s="150" t="s">
        <v>1283</v>
      </c>
      <c r="D767" s="156"/>
      <c r="E767" s="156"/>
      <c r="F767" s="156"/>
      <c r="G767" s="149" t="s">
        <v>2380</v>
      </c>
      <c r="H767" s="141"/>
      <c r="I767" s="153" t="s">
        <v>18</v>
      </c>
      <c r="J767" s="153">
        <v>1</v>
      </c>
      <c r="K767" s="145" t="s">
        <v>730</v>
      </c>
      <c r="L767" s="142" t="s">
        <v>191</v>
      </c>
      <c r="M767" s="19"/>
      <c r="N767" s="142" t="s">
        <v>2549</v>
      </c>
      <c r="O767" s="149"/>
      <c r="P767" s="145"/>
      <c r="Q767" s="145"/>
      <c r="R767" s="150"/>
    </row>
    <row r="768" spans="1:18" ht="35.25" customHeight="1">
      <c r="A768" s="15">
        <f t="shared" si="11"/>
        <v>758</v>
      </c>
      <c r="B768" s="144" t="s">
        <v>1295</v>
      </c>
      <c r="C768" s="150" t="s">
        <v>1296</v>
      </c>
      <c r="D768" s="156"/>
      <c r="E768" s="156"/>
      <c r="F768" s="156"/>
      <c r="G768" s="149"/>
      <c r="H768" s="141"/>
      <c r="I768" s="153" t="s">
        <v>18</v>
      </c>
      <c r="J768" s="153">
        <v>1</v>
      </c>
      <c r="K768" s="145" t="s">
        <v>730</v>
      </c>
      <c r="L768" s="142" t="s">
        <v>191</v>
      </c>
      <c r="M768" s="19"/>
      <c r="N768" s="142" t="s">
        <v>2549</v>
      </c>
      <c r="O768" s="149"/>
      <c r="P768" s="145"/>
      <c r="Q768" s="145"/>
      <c r="R768" s="150"/>
    </row>
    <row r="769" spans="1:18" ht="35.25" customHeight="1">
      <c r="A769" s="15">
        <f t="shared" si="11"/>
        <v>759</v>
      </c>
      <c r="B769" s="144" t="s">
        <v>1297</v>
      </c>
      <c r="C769" s="150" t="s">
        <v>1279</v>
      </c>
      <c r="D769" s="156"/>
      <c r="E769" s="156"/>
      <c r="F769" s="156"/>
      <c r="G769" s="149" t="s">
        <v>438</v>
      </c>
      <c r="H769" s="141"/>
      <c r="I769" s="153" t="s">
        <v>18</v>
      </c>
      <c r="J769" s="153">
        <v>1</v>
      </c>
      <c r="K769" s="145" t="s">
        <v>730</v>
      </c>
      <c r="L769" s="142" t="s">
        <v>191</v>
      </c>
      <c r="M769" s="19"/>
      <c r="N769" s="142" t="s">
        <v>2549</v>
      </c>
      <c r="O769" s="149"/>
      <c r="P769" s="145"/>
      <c r="Q769" s="145"/>
      <c r="R769" s="150"/>
    </row>
    <row r="770" spans="1:18" ht="35.25" customHeight="1">
      <c r="A770" s="15">
        <f t="shared" si="11"/>
        <v>760</v>
      </c>
      <c r="B770" s="144" t="s">
        <v>1298</v>
      </c>
      <c r="C770" s="150" t="s">
        <v>1238</v>
      </c>
      <c r="D770" s="156"/>
      <c r="E770" s="156"/>
      <c r="F770" s="156"/>
      <c r="G770" s="149" t="s">
        <v>2372</v>
      </c>
      <c r="H770" s="141"/>
      <c r="I770" s="153" t="s">
        <v>18</v>
      </c>
      <c r="J770" s="153">
        <v>1</v>
      </c>
      <c r="K770" s="145" t="s">
        <v>730</v>
      </c>
      <c r="L770" s="142" t="s">
        <v>191</v>
      </c>
      <c r="M770" s="19"/>
      <c r="N770" s="142" t="s">
        <v>2549</v>
      </c>
      <c r="O770" s="149"/>
      <c r="P770" s="145"/>
      <c r="Q770" s="145"/>
      <c r="R770" s="150"/>
    </row>
    <row r="771" spans="1:18" ht="35.25" customHeight="1">
      <c r="A771" s="15">
        <f t="shared" si="11"/>
        <v>761</v>
      </c>
      <c r="B771" s="144" t="s">
        <v>1299</v>
      </c>
      <c r="C771" s="150" t="s">
        <v>1289</v>
      </c>
      <c r="D771" s="156"/>
      <c r="E771" s="156"/>
      <c r="F771" s="156"/>
      <c r="G771" s="149" t="s">
        <v>32</v>
      </c>
      <c r="H771" s="141"/>
      <c r="I771" s="153" t="s">
        <v>18</v>
      </c>
      <c r="J771" s="153">
        <v>1</v>
      </c>
      <c r="K771" s="145" t="s">
        <v>730</v>
      </c>
      <c r="L771" s="142" t="s">
        <v>191</v>
      </c>
      <c r="M771" s="19"/>
      <c r="N771" s="142" t="s">
        <v>2549</v>
      </c>
      <c r="O771" s="149"/>
      <c r="P771" s="145"/>
      <c r="Q771" s="145"/>
      <c r="R771" s="150"/>
    </row>
    <row r="772" spans="1:18" ht="35.25" customHeight="1">
      <c r="A772" s="15">
        <f t="shared" si="11"/>
        <v>762</v>
      </c>
      <c r="B772" s="144" t="s">
        <v>1300</v>
      </c>
      <c r="C772" s="150" t="s">
        <v>620</v>
      </c>
      <c r="D772" s="156"/>
      <c r="E772" s="156"/>
      <c r="F772" s="156"/>
      <c r="G772" s="144" t="s">
        <v>634</v>
      </c>
      <c r="H772" s="141"/>
      <c r="I772" s="144" t="s">
        <v>2500</v>
      </c>
      <c r="J772" s="153">
        <v>1</v>
      </c>
      <c r="K772" s="145" t="s">
        <v>730</v>
      </c>
      <c r="L772" s="142" t="s">
        <v>191</v>
      </c>
      <c r="M772" s="19"/>
      <c r="N772" s="142" t="s">
        <v>2550</v>
      </c>
      <c r="O772" s="149"/>
      <c r="P772" s="145"/>
      <c r="Q772" s="145"/>
      <c r="R772" s="150"/>
    </row>
    <row r="773" spans="1:18" ht="35.25" customHeight="1">
      <c r="A773" s="15">
        <f t="shared" si="11"/>
        <v>763</v>
      </c>
      <c r="B773" s="144" t="s">
        <v>1301</v>
      </c>
      <c r="C773" s="150" t="s">
        <v>1302</v>
      </c>
      <c r="D773" s="156"/>
      <c r="E773" s="156"/>
      <c r="F773" s="156"/>
      <c r="G773" s="144" t="s">
        <v>2384</v>
      </c>
      <c r="H773" s="141"/>
      <c r="I773" s="144" t="s">
        <v>2500</v>
      </c>
      <c r="J773" s="153">
        <v>1</v>
      </c>
      <c r="K773" s="145" t="s">
        <v>730</v>
      </c>
      <c r="L773" s="142" t="s">
        <v>191</v>
      </c>
      <c r="M773" s="19"/>
      <c r="N773" s="142" t="s">
        <v>2550</v>
      </c>
      <c r="O773" s="149"/>
      <c r="P773" s="145"/>
      <c r="Q773" s="145"/>
      <c r="R773" s="150"/>
    </row>
    <row r="774" spans="1:18" ht="35.25" customHeight="1">
      <c r="A774" s="15">
        <f t="shared" si="11"/>
        <v>764</v>
      </c>
      <c r="B774" s="144" t="s">
        <v>1303</v>
      </c>
      <c r="C774" s="150" t="s">
        <v>1304</v>
      </c>
      <c r="D774" s="156"/>
      <c r="E774" s="156"/>
      <c r="F774" s="156"/>
      <c r="G774" s="144" t="s">
        <v>2385</v>
      </c>
      <c r="H774" s="141"/>
      <c r="I774" s="144" t="s">
        <v>2501</v>
      </c>
      <c r="J774" s="153">
        <v>1</v>
      </c>
      <c r="K774" s="145" t="s">
        <v>730</v>
      </c>
      <c r="L774" s="142" t="s">
        <v>191</v>
      </c>
      <c r="M774" s="19"/>
      <c r="N774" s="142" t="s">
        <v>2550</v>
      </c>
      <c r="O774" s="149"/>
      <c r="P774" s="145"/>
      <c r="Q774" s="145"/>
      <c r="R774" s="150"/>
    </row>
    <row r="775" spans="1:18" ht="35.25" customHeight="1">
      <c r="A775" s="15">
        <f t="shared" si="11"/>
        <v>765</v>
      </c>
      <c r="B775" s="144" t="s">
        <v>1305</v>
      </c>
      <c r="C775" s="150" t="s">
        <v>1306</v>
      </c>
      <c r="D775" s="156"/>
      <c r="E775" s="156"/>
      <c r="F775" s="156"/>
      <c r="G775" s="149" t="s">
        <v>438</v>
      </c>
      <c r="H775" s="141"/>
      <c r="I775" s="144" t="s">
        <v>566</v>
      </c>
      <c r="J775" s="153">
        <v>1</v>
      </c>
      <c r="K775" s="145" t="s">
        <v>730</v>
      </c>
      <c r="L775" s="142" t="s">
        <v>191</v>
      </c>
      <c r="M775" s="19"/>
      <c r="N775" s="142" t="s">
        <v>2550</v>
      </c>
      <c r="O775" s="149"/>
      <c r="P775" s="145"/>
      <c r="Q775" s="145"/>
      <c r="R775" s="150"/>
    </row>
    <row r="776" spans="1:18" ht="35.25" customHeight="1">
      <c r="A776" s="15">
        <f t="shared" si="11"/>
        <v>766</v>
      </c>
      <c r="B776" s="144" t="s">
        <v>1307</v>
      </c>
      <c r="C776" s="150" t="s">
        <v>1308</v>
      </c>
      <c r="D776" s="156"/>
      <c r="E776" s="156"/>
      <c r="F776" s="156"/>
      <c r="G776" s="154"/>
      <c r="H776" s="141"/>
      <c r="I776" s="144" t="s">
        <v>566</v>
      </c>
      <c r="J776" s="153">
        <v>1</v>
      </c>
      <c r="K776" s="145" t="s">
        <v>730</v>
      </c>
      <c r="L776" s="142" t="s">
        <v>191</v>
      </c>
      <c r="M776" s="19"/>
      <c r="N776" s="142" t="s">
        <v>2550</v>
      </c>
      <c r="O776" s="149"/>
      <c r="P776" s="145"/>
      <c r="Q776" s="145"/>
      <c r="R776" s="150"/>
    </row>
    <row r="777" spans="1:18" ht="35.25" customHeight="1">
      <c r="A777" s="15">
        <f t="shared" si="11"/>
        <v>767</v>
      </c>
      <c r="B777" s="144" t="s">
        <v>1309</v>
      </c>
      <c r="C777" s="150" t="s">
        <v>1289</v>
      </c>
      <c r="D777" s="156"/>
      <c r="E777" s="156"/>
      <c r="F777" s="156"/>
      <c r="G777" s="154"/>
      <c r="H777" s="141"/>
      <c r="I777" s="144" t="s">
        <v>566</v>
      </c>
      <c r="J777" s="153">
        <v>1</v>
      </c>
      <c r="K777" s="145" t="s">
        <v>730</v>
      </c>
      <c r="L777" s="142" t="s">
        <v>191</v>
      </c>
      <c r="M777" s="19"/>
      <c r="N777" s="142" t="s">
        <v>2550</v>
      </c>
      <c r="O777" s="149"/>
      <c r="P777" s="145"/>
      <c r="Q777" s="145"/>
      <c r="R777" s="150"/>
    </row>
    <row r="778" spans="1:18" ht="35.25" customHeight="1">
      <c r="A778" s="15">
        <f t="shared" si="11"/>
        <v>768</v>
      </c>
      <c r="B778" s="144" t="s">
        <v>1310</v>
      </c>
      <c r="C778" s="150" t="s">
        <v>641</v>
      </c>
      <c r="D778" s="156"/>
      <c r="E778" s="156"/>
      <c r="F778" s="156"/>
      <c r="G778" s="154" t="s">
        <v>2386</v>
      </c>
      <c r="H778" s="141"/>
      <c r="I778" s="144" t="s">
        <v>2502</v>
      </c>
      <c r="J778" s="153">
        <v>1</v>
      </c>
      <c r="K778" s="145" t="s">
        <v>730</v>
      </c>
      <c r="L778" s="142" t="s">
        <v>191</v>
      </c>
      <c r="M778" s="19"/>
      <c r="N778" s="142" t="s">
        <v>2551</v>
      </c>
      <c r="O778" s="149"/>
      <c r="P778" s="145"/>
      <c r="Q778" s="145"/>
      <c r="R778" s="150"/>
    </row>
    <row r="779" spans="1:18" ht="35.25" customHeight="1">
      <c r="A779" s="15">
        <f t="shared" si="11"/>
        <v>769</v>
      </c>
      <c r="B779" s="144" t="s">
        <v>1311</v>
      </c>
      <c r="C779" s="150" t="s">
        <v>1306</v>
      </c>
      <c r="D779" s="156"/>
      <c r="E779" s="156"/>
      <c r="F779" s="156"/>
      <c r="G779" s="149" t="s">
        <v>438</v>
      </c>
      <c r="H779" s="141"/>
      <c r="I779" s="144" t="s">
        <v>2502</v>
      </c>
      <c r="J779" s="153">
        <v>1</v>
      </c>
      <c r="K779" s="145" t="s">
        <v>730</v>
      </c>
      <c r="L779" s="142" t="s">
        <v>191</v>
      </c>
      <c r="M779" s="19"/>
      <c r="N779" s="142" t="s">
        <v>2551</v>
      </c>
      <c r="O779" s="149"/>
      <c r="P779" s="145"/>
      <c r="Q779" s="145"/>
      <c r="R779" s="150"/>
    </row>
    <row r="780" spans="1:18" ht="35.25" customHeight="1">
      <c r="A780" s="15">
        <f t="shared" si="11"/>
        <v>770</v>
      </c>
      <c r="B780" s="144" t="s">
        <v>1312</v>
      </c>
      <c r="C780" s="150" t="s">
        <v>1308</v>
      </c>
      <c r="D780" s="156"/>
      <c r="E780" s="156"/>
      <c r="F780" s="156"/>
      <c r="G780" s="154"/>
      <c r="H780" s="141"/>
      <c r="I780" s="144" t="s">
        <v>2502</v>
      </c>
      <c r="J780" s="153">
        <v>1</v>
      </c>
      <c r="K780" s="145" t="s">
        <v>730</v>
      </c>
      <c r="L780" s="142" t="s">
        <v>191</v>
      </c>
      <c r="M780" s="19"/>
      <c r="N780" s="142" t="s">
        <v>2551</v>
      </c>
      <c r="O780" s="149"/>
      <c r="P780" s="145"/>
      <c r="Q780" s="145"/>
      <c r="R780" s="150"/>
    </row>
    <row r="781" spans="1:18" ht="35.25" customHeight="1">
      <c r="A781" s="15">
        <f t="shared" si="11"/>
        <v>771</v>
      </c>
      <c r="B781" s="144" t="s">
        <v>1313</v>
      </c>
      <c r="C781" s="150" t="s">
        <v>1289</v>
      </c>
      <c r="D781" s="156"/>
      <c r="E781" s="156"/>
      <c r="F781" s="156"/>
      <c r="G781" s="154"/>
      <c r="H781" s="141"/>
      <c r="I781" s="144" t="s">
        <v>2502</v>
      </c>
      <c r="J781" s="153">
        <v>1</v>
      </c>
      <c r="K781" s="145" t="s">
        <v>730</v>
      </c>
      <c r="L781" s="142" t="s">
        <v>191</v>
      </c>
      <c r="M781" s="19"/>
      <c r="N781" s="142" t="s">
        <v>2551</v>
      </c>
      <c r="O781" s="149"/>
      <c r="P781" s="145"/>
      <c r="Q781" s="145"/>
      <c r="R781" s="150"/>
    </row>
    <row r="782" spans="1:18" ht="35.25" customHeight="1">
      <c r="A782" s="15">
        <f t="shared" si="11"/>
        <v>772</v>
      </c>
      <c r="B782" s="144" t="s">
        <v>1314</v>
      </c>
      <c r="C782" s="150" t="s">
        <v>620</v>
      </c>
      <c r="D782" s="156"/>
      <c r="E782" s="156"/>
      <c r="F782" s="156"/>
      <c r="G782" s="154" t="s">
        <v>2387</v>
      </c>
      <c r="H782" s="141"/>
      <c r="I782" s="144" t="s">
        <v>2502</v>
      </c>
      <c r="J782" s="153">
        <v>1</v>
      </c>
      <c r="K782" s="145" t="s">
        <v>730</v>
      </c>
      <c r="L782" s="142" t="s">
        <v>191</v>
      </c>
      <c r="M782" s="19"/>
      <c r="N782" s="142" t="s">
        <v>2551</v>
      </c>
      <c r="O782" s="149"/>
      <c r="P782" s="145"/>
      <c r="Q782" s="145"/>
      <c r="R782" s="150"/>
    </row>
    <row r="783" spans="1:18" ht="35.25" customHeight="1">
      <c r="A783" s="15">
        <f t="shared" si="11"/>
        <v>773</v>
      </c>
      <c r="B783" s="144" t="s">
        <v>1315</v>
      </c>
      <c r="C783" s="150" t="s">
        <v>120</v>
      </c>
      <c r="D783" s="156"/>
      <c r="E783" s="156"/>
      <c r="F783" s="156"/>
      <c r="G783" s="154" t="s">
        <v>2388</v>
      </c>
      <c r="H783" s="141"/>
      <c r="I783" s="144" t="s">
        <v>2502</v>
      </c>
      <c r="J783" s="153">
        <v>1</v>
      </c>
      <c r="K783" s="145" t="s">
        <v>730</v>
      </c>
      <c r="L783" s="142" t="s">
        <v>191</v>
      </c>
      <c r="M783" s="19"/>
      <c r="N783" s="142" t="s">
        <v>2551</v>
      </c>
      <c r="O783" s="149"/>
      <c r="P783" s="145"/>
      <c r="Q783" s="145"/>
      <c r="R783" s="150"/>
    </row>
    <row r="784" spans="1:18" ht="35.25" customHeight="1">
      <c r="A784" s="15">
        <f t="shared" si="11"/>
        <v>774</v>
      </c>
      <c r="B784" s="144" t="s">
        <v>1316</v>
      </c>
      <c r="C784" s="150" t="s">
        <v>620</v>
      </c>
      <c r="D784" s="156"/>
      <c r="E784" s="156"/>
      <c r="F784" s="156"/>
      <c r="G784" s="144" t="s">
        <v>2389</v>
      </c>
      <c r="H784" s="141"/>
      <c r="I784" s="144" t="s">
        <v>2497</v>
      </c>
      <c r="J784" s="153">
        <v>1</v>
      </c>
      <c r="K784" s="145" t="s">
        <v>730</v>
      </c>
      <c r="L784" s="142" t="s">
        <v>191</v>
      </c>
      <c r="M784" s="19"/>
      <c r="N784" s="142" t="s">
        <v>2552</v>
      </c>
      <c r="O784" s="149"/>
      <c r="P784" s="145"/>
      <c r="Q784" s="145"/>
      <c r="R784" s="150"/>
    </row>
    <row r="785" spans="1:18" ht="35.25" customHeight="1">
      <c r="A785" s="15">
        <f t="shared" si="11"/>
        <v>775</v>
      </c>
      <c r="B785" s="144" t="s">
        <v>1317</v>
      </c>
      <c r="C785" s="150" t="s">
        <v>1318</v>
      </c>
      <c r="D785" s="156"/>
      <c r="E785" s="156"/>
      <c r="F785" s="156"/>
      <c r="G785" s="144"/>
      <c r="H785" s="141"/>
      <c r="I785" s="144" t="s">
        <v>2502</v>
      </c>
      <c r="J785" s="153">
        <v>1</v>
      </c>
      <c r="K785" s="145" t="s">
        <v>730</v>
      </c>
      <c r="L785" s="142" t="s">
        <v>191</v>
      </c>
      <c r="M785" s="19"/>
      <c r="N785" s="142" t="s">
        <v>2552</v>
      </c>
      <c r="O785" s="149"/>
      <c r="P785" s="145"/>
      <c r="Q785" s="145"/>
      <c r="R785" s="150"/>
    </row>
    <row r="786" spans="1:18" ht="35.25" customHeight="1">
      <c r="A786" s="15">
        <f t="shared" si="11"/>
        <v>776</v>
      </c>
      <c r="B786" s="144" t="s">
        <v>1319</v>
      </c>
      <c r="C786" s="150" t="s">
        <v>894</v>
      </c>
      <c r="D786" s="156"/>
      <c r="E786" s="156"/>
      <c r="F786" s="156"/>
      <c r="G786" s="159" t="s">
        <v>2390</v>
      </c>
      <c r="H786" s="141"/>
      <c r="I786" s="144" t="s">
        <v>2502</v>
      </c>
      <c r="J786" s="153">
        <v>1</v>
      </c>
      <c r="K786" s="145" t="s">
        <v>730</v>
      </c>
      <c r="L786" s="142" t="s">
        <v>191</v>
      </c>
      <c r="M786" s="19"/>
      <c r="N786" s="142" t="s">
        <v>2552</v>
      </c>
      <c r="O786" s="149"/>
      <c r="P786" s="145"/>
      <c r="Q786" s="145"/>
      <c r="R786" s="150"/>
    </row>
    <row r="787" spans="1:18" ht="35.25" customHeight="1">
      <c r="A787" s="15">
        <f t="shared" ref="A787:A850" si="12">A786+1</f>
        <v>777</v>
      </c>
      <c r="B787" s="144" t="s">
        <v>1320</v>
      </c>
      <c r="C787" s="150" t="s">
        <v>1306</v>
      </c>
      <c r="D787" s="156"/>
      <c r="E787" s="156"/>
      <c r="F787" s="156"/>
      <c r="G787" s="149" t="s">
        <v>438</v>
      </c>
      <c r="H787" s="141"/>
      <c r="I787" s="144" t="s">
        <v>2502</v>
      </c>
      <c r="J787" s="153">
        <v>1</v>
      </c>
      <c r="K787" s="145" t="s">
        <v>730</v>
      </c>
      <c r="L787" s="142" t="s">
        <v>191</v>
      </c>
      <c r="M787" s="19"/>
      <c r="N787" s="142" t="s">
        <v>2552</v>
      </c>
      <c r="O787" s="149"/>
      <c r="P787" s="145"/>
      <c r="Q787" s="145"/>
      <c r="R787" s="150"/>
    </row>
    <row r="788" spans="1:18" ht="35.25" customHeight="1">
      <c r="A788" s="15">
        <f t="shared" si="12"/>
        <v>778</v>
      </c>
      <c r="B788" s="144" t="s">
        <v>1321</v>
      </c>
      <c r="C788" s="150" t="s">
        <v>1308</v>
      </c>
      <c r="D788" s="156"/>
      <c r="E788" s="156"/>
      <c r="F788" s="156"/>
      <c r="G788" s="154"/>
      <c r="H788" s="141"/>
      <c r="I788" s="144" t="s">
        <v>2502</v>
      </c>
      <c r="J788" s="153">
        <v>1</v>
      </c>
      <c r="K788" s="145" t="s">
        <v>730</v>
      </c>
      <c r="L788" s="142" t="s">
        <v>191</v>
      </c>
      <c r="M788" s="19"/>
      <c r="N788" s="142" t="s">
        <v>2552</v>
      </c>
      <c r="O788" s="149"/>
      <c r="P788" s="145"/>
      <c r="Q788" s="145"/>
      <c r="R788" s="150"/>
    </row>
    <row r="789" spans="1:18" ht="35.25" customHeight="1">
      <c r="A789" s="15">
        <f t="shared" si="12"/>
        <v>779</v>
      </c>
      <c r="B789" s="144" t="s">
        <v>1322</v>
      </c>
      <c r="C789" s="150" t="s">
        <v>1289</v>
      </c>
      <c r="D789" s="156"/>
      <c r="E789" s="156"/>
      <c r="F789" s="156"/>
      <c r="G789" s="154"/>
      <c r="H789" s="141"/>
      <c r="I789" s="144" t="s">
        <v>2502</v>
      </c>
      <c r="J789" s="153">
        <v>1</v>
      </c>
      <c r="K789" s="145" t="s">
        <v>730</v>
      </c>
      <c r="L789" s="142" t="s">
        <v>191</v>
      </c>
      <c r="M789" s="19"/>
      <c r="N789" s="142" t="s">
        <v>2552</v>
      </c>
      <c r="O789" s="149"/>
      <c r="P789" s="145"/>
      <c r="Q789" s="145"/>
      <c r="R789" s="150"/>
    </row>
    <row r="790" spans="1:18" ht="35.25" customHeight="1">
      <c r="A790" s="15">
        <f t="shared" si="12"/>
        <v>780</v>
      </c>
      <c r="B790" s="144" t="s">
        <v>1323</v>
      </c>
      <c r="C790" s="150" t="s">
        <v>698</v>
      </c>
      <c r="D790" s="156"/>
      <c r="E790" s="156"/>
      <c r="F790" s="156"/>
      <c r="G790" s="154"/>
      <c r="H790" s="141"/>
      <c r="I790" s="144" t="s">
        <v>2502</v>
      </c>
      <c r="J790" s="153">
        <v>1</v>
      </c>
      <c r="K790" s="145" t="s">
        <v>730</v>
      </c>
      <c r="L790" s="142" t="s">
        <v>191</v>
      </c>
      <c r="M790" s="19"/>
      <c r="N790" s="142" t="s">
        <v>2552</v>
      </c>
      <c r="O790" s="149"/>
      <c r="P790" s="145"/>
      <c r="Q790" s="145"/>
      <c r="R790" s="150"/>
    </row>
    <row r="791" spans="1:18" ht="35.25" customHeight="1">
      <c r="A791" s="15">
        <f t="shared" si="12"/>
        <v>781</v>
      </c>
      <c r="B791" s="144" t="s">
        <v>1324</v>
      </c>
      <c r="C791" s="150" t="s">
        <v>1306</v>
      </c>
      <c r="D791" s="156"/>
      <c r="E791" s="156"/>
      <c r="F791" s="156"/>
      <c r="G791" s="149" t="s">
        <v>438</v>
      </c>
      <c r="H791" s="141"/>
      <c r="I791" s="144" t="s">
        <v>566</v>
      </c>
      <c r="J791" s="153">
        <v>1</v>
      </c>
      <c r="K791" s="145" t="s">
        <v>730</v>
      </c>
      <c r="L791" s="142" t="s">
        <v>191</v>
      </c>
      <c r="M791" s="276" t="s">
        <v>3275</v>
      </c>
      <c r="N791" s="142" t="s">
        <v>2553</v>
      </c>
      <c r="O791" s="149"/>
      <c r="P791" s="145"/>
      <c r="Q791" s="145"/>
      <c r="R791" s="150"/>
    </row>
    <row r="792" spans="1:18" ht="35.25" customHeight="1">
      <c r="A792" s="15">
        <f t="shared" si="12"/>
        <v>782</v>
      </c>
      <c r="B792" s="144" t="s">
        <v>1325</v>
      </c>
      <c r="C792" s="150" t="s">
        <v>1289</v>
      </c>
      <c r="D792" s="156"/>
      <c r="E792" s="156"/>
      <c r="F792" s="156"/>
      <c r="G792" s="144" t="s">
        <v>2391</v>
      </c>
      <c r="H792" s="141"/>
      <c r="I792" s="144" t="s">
        <v>566</v>
      </c>
      <c r="J792" s="153">
        <v>1</v>
      </c>
      <c r="K792" s="145" t="s">
        <v>730</v>
      </c>
      <c r="L792" s="142" t="s">
        <v>191</v>
      </c>
      <c r="M792" s="276" t="s">
        <v>3275</v>
      </c>
      <c r="N792" s="142" t="s">
        <v>2553</v>
      </c>
      <c r="O792" s="149"/>
      <c r="P792" s="145"/>
      <c r="Q792" s="145"/>
      <c r="R792" s="143" t="s">
        <v>2503</v>
      </c>
    </row>
    <row r="793" spans="1:18" ht="35.25" customHeight="1">
      <c r="A793" s="15">
        <f t="shared" si="12"/>
        <v>783</v>
      </c>
      <c r="B793" s="144" t="s">
        <v>1326</v>
      </c>
      <c r="C793" s="150" t="s">
        <v>1308</v>
      </c>
      <c r="D793" s="156"/>
      <c r="E793" s="156"/>
      <c r="F793" s="156"/>
      <c r="G793" s="144" t="s">
        <v>2392</v>
      </c>
      <c r="H793" s="141"/>
      <c r="I793" s="144" t="s">
        <v>566</v>
      </c>
      <c r="J793" s="153">
        <v>1</v>
      </c>
      <c r="K793" s="145" t="s">
        <v>730</v>
      </c>
      <c r="L793" s="142" t="s">
        <v>191</v>
      </c>
      <c r="M793" s="276" t="s">
        <v>3275</v>
      </c>
      <c r="N793" s="142" t="s">
        <v>2553</v>
      </c>
      <c r="O793" s="149"/>
      <c r="P793" s="145"/>
      <c r="Q793" s="145"/>
      <c r="R793" s="150"/>
    </row>
    <row r="794" spans="1:18" ht="35.25" customHeight="1">
      <c r="A794" s="15">
        <f t="shared" si="12"/>
        <v>784</v>
      </c>
      <c r="B794" s="144" t="s">
        <v>1327</v>
      </c>
      <c r="C794" s="150" t="s">
        <v>1291</v>
      </c>
      <c r="D794" s="156"/>
      <c r="E794" s="156"/>
      <c r="F794" s="156"/>
      <c r="G794" s="144"/>
      <c r="H794" s="141"/>
      <c r="I794" s="144" t="s">
        <v>566</v>
      </c>
      <c r="J794" s="153">
        <v>1</v>
      </c>
      <c r="K794" s="145" t="s">
        <v>730</v>
      </c>
      <c r="L794" s="142" t="s">
        <v>191</v>
      </c>
      <c r="M794" s="276" t="s">
        <v>3275</v>
      </c>
      <c r="N794" s="142" t="s">
        <v>2553</v>
      </c>
      <c r="O794" s="149"/>
      <c r="P794" s="145"/>
      <c r="Q794" s="145"/>
      <c r="R794" s="150"/>
    </row>
    <row r="795" spans="1:18" ht="35.25" customHeight="1">
      <c r="A795" s="15">
        <f t="shared" si="12"/>
        <v>785</v>
      </c>
      <c r="B795" s="144" t="s">
        <v>1328</v>
      </c>
      <c r="C795" s="150" t="s">
        <v>620</v>
      </c>
      <c r="D795" s="156"/>
      <c r="E795" s="156"/>
      <c r="F795" s="156"/>
      <c r="G795" s="144" t="s">
        <v>634</v>
      </c>
      <c r="H795" s="141"/>
      <c r="I795" s="144" t="s">
        <v>566</v>
      </c>
      <c r="J795" s="153">
        <v>1</v>
      </c>
      <c r="K795" s="145" t="s">
        <v>730</v>
      </c>
      <c r="L795" s="142" t="s">
        <v>191</v>
      </c>
      <c r="M795" s="276" t="s">
        <v>3268</v>
      </c>
      <c r="N795" s="142" t="s">
        <v>2554</v>
      </c>
      <c r="O795" s="149"/>
      <c r="P795" s="145"/>
      <c r="Q795" s="145"/>
      <c r="R795" s="150"/>
    </row>
    <row r="796" spans="1:18" ht="35.25" customHeight="1">
      <c r="A796" s="15">
        <f t="shared" si="12"/>
        <v>786</v>
      </c>
      <c r="B796" s="144" t="s">
        <v>1329</v>
      </c>
      <c r="C796" s="150" t="s">
        <v>1302</v>
      </c>
      <c r="D796" s="156"/>
      <c r="E796" s="156"/>
      <c r="F796" s="156"/>
      <c r="G796" s="144" t="s">
        <v>2393</v>
      </c>
      <c r="H796" s="141"/>
      <c r="I796" s="144" t="s">
        <v>566</v>
      </c>
      <c r="J796" s="153">
        <v>1</v>
      </c>
      <c r="K796" s="145" t="s">
        <v>730</v>
      </c>
      <c r="L796" s="142" t="s">
        <v>191</v>
      </c>
      <c r="M796" s="276" t="s">
        <v>3268</v>
      </c>
      <c r="N796" s="142" t="s">
        <v>2554</v>
      </c>
      <c r="O796" s="149"/>
      <c r="P796" s="145"/>
      <c r="Q796" s="145"/>
      <c r="R796" s="150"/>
    </row>
    <row r="797" spans="1:18" ht="35.25" customHeight="1">
      <c r="A797" s="15">
        <f t="shared" si="12"/>
        <v>787</v>
      </c>
      <c r="B797" s="144" t="s">
        <v>1330</v>
      </c>
      <c r="C797" s="150" t="s">
        <v>1331</v>
      </c>
      <c r="D797" s="156"/>
      <c r="E797" s="156"/>
      <c r="F797" s="156"/>
      <c r="G797" s="144" t="s">
        <v>2371</v>
      </c>
      <c r="H797" s="141"/>
      <c r="I797" s="144" t="s">
        <v>566</v>
      </c>
      <c r="J797" s="153">
        <v>1</v>
      </c>
      <c r="K797" s="145" t="s">
        <v>730</v>
      </c>
      <c r="L797" s="142" t="s">
        <v>191</v>
      </c>
      <c r="M797" s="276" t="s">
        <v>3268</v>
      </c>
      <c r="N797" s="142" t="s">
        <v>2554</v>
      </c>
      <c r="O797" s="149"/>
      <c r="P797" s="145"/>
      <c r="Q797" s="145"/>
      <c r="R797" s="150"/>
    </row>
    <row r="798" spans="1:18" ht="35.25" customHeight="1">
      <c r="A798" s="15">
        <f t="shared" si="12"/>
        <v>788</v>
      </c>
      <c r="B798" s="144" t="s">
        <v>1332</v>
      </c>
      <c r="C798" s="150" t="s">
        <v>641</v>
      </c>
      <c r="D798" s="156"/>
      <c r="E798" s="156"/>
      <c r="F798" s="156"/>
      <c r="G798" s="154" t="s">
        <v>2394</v>
      </c>
      <c r="H798" s="141"/>
      <c r="I798" s="144" t="s">
        <v>566</v>
      </c>
      <c r="J798" s="153">
        <v>1</v>
      </c>
      <c r="K798" s="145" t="s">
        <v>730</v>
      </c>
      <c r="L798" s="142" t="s">
        <v>191</v>
      </c>
      <c r="M798" s="276" t="s">
        <v>3268</v>
      </c>
      <c r="N798" s="142" t="s">
        <v>2554</v>
      </c>
      <c r="O798" s="149"/>
      <c r="P798" s="145"/>
      <c r="Q798" s="145"/>
      <c r="R798" s="150"/>
    </row>
    <row r="799" spans="1:18" ht="35.25" customHeight="1">
      <c r="A799" s="15">
        <f t="shared" si="12"/>
        <v>789</v>
      </c>
      <c r="B799" s="144" t="s">
        <v>1333</v>
      </c>
      <c r="C799" s="150" t="s">
        <v>1306</v>
      </c>
      <c r="D799" s="156"/>
      <c r="E799" s="156"/>
      <c r="F799" s="156"/>
      <c r="G799" s="149" t="s">
        <v>438</v>
      </c>
      <c r="H799" s="141"/>
      <c r="I799" s="144" t="s">
        <v>2502</v>
      </c>
      <c r="J799" s="153">
        <v>1</v>
      </c>
      <c r="K799" s="145" t="s">
        <v>730</v>
      </c>
      <c r="L799" s="142" t="s">
        <v>191</v>
      </c>
      <c r="M799" s="276" t="s">
        <v>3268</v>
      </c>
      <c r="N799" s="142" t="s">
        <v>2554</v>
      </c>
      <c r="O799" s="149"/>
      <c r="P799" s="145"/>
      <c r="Q799" s="145"/>
      <c r="R799" s="150"/>
    </row>
    <row r="800" spans="1:18" ht="35.25" customHeight="1">
      <c r="A800" s="15">
        <f t="shared" si="12"/>
        <v>790</v>
      </c>
      <c r="B800" s="144" t="s">
        <v>1334</v>
      </c>
      <c r="C800" s="150" t="s">
        <v>1308</v>
      </c>
      <c r="D800" s="156"/>
      <c r="E800" s="156"/>
      <c r="F800" s="156"/>
      <c r="G800" s="154"/>
      <c r="H800" s="141"/>
      <c r="I800" s="144" t="s">
        <v>2502</v>
      </c>
      <c r="J800" s="153">
        <v>1</v>
      </c>
      <c r="K800" s="145" t="s">
        <v>730</v>
      </c>
      <c r="L800" s="142" t="s">
        <v>191</v>
      </c>
      <c r="M800" s="276" t="s">
        <v>3268</v>
      </c>
      <c r="N800" s="142" t="s">
        <v>2554</v>
      </c>
      <c r="O800" s="149"/>
      <c r="P800" s="145"/>
      <c r="Q800" s="145"/>
      <c r="R800" s="150"/>
    </row>
    <row r="801" spans="1:18" ht="35.25" customHeight="1">
      <c r="A801" s="15">
        <f t="shared" si="12"/>
        <v>791</v>
      </c>
      <c r="B801" s="144" t="s">
        <v>1335</v>
      </c>
      <c r="C801" s="150" t="s">
        <v>1289</v>
      </c>
      <c r="D801" s="156"/>
      <c r="E801" s="156"/>
      <c r="F801" s="156"/>
      <c r="G801" s="154"/>
      <c r="H801" s="141"/>
      <c r="I801" s="144" t="s">
        <v>2502</v>
      </c>
      <c r="J801" s="153">
        <v>1</v>
      </c>
      <c r="K801" s="145" t="s">
        <v>730</v>
      </c>
      <c r="L801" s="142" t="s">
        <v>191</v>
      </c>
      <c r="M801" s="276" t="s">
        <v>3268</v>
      </c>
      <c r="N801" s="142" t="s">
        <v>2554</v>
      </c>
      <c r="O801" s="149"/>
      <c r="P801" s="145"/>
      <c r="Q801" s="145"/>
      <c r="R801" s="150"/>
    </row>
    <row r="802" spans="1:18" ht="35.25" customHeight="1">
      <c r="A802" s="15">
        <f t="shared" si="12"/>
        <v>792</v>
      </c>
      <c r="B802" s="144" t="s">
        <v>1336</v>
      </c>
      <c r="C802" s="150" t="s">
        <v>1337</v>
      </c>
      <c r="D802" s="156"/>
      <c r="E802" s="156"/>
      <c r="F802" s="156"/>
      <c r="G802" s="150" t="s">
        <v>2395</v>
      </c>
      <c r="H802" s="141"/>
      <c r="I802" s="144" t="s">
        <v>181</v>
      </c>
      <c r="J802" s="153">
        <v>1</v>
      </c>
      <c r="K802" s="145" t="s">
        <v>730</v>
      </c>
      <c r="L802" s="142" t="s">
        <v>191</v>
      </c>
      <c r="M802" s="19"/>
      <c r="N802" s="142" t="s">
        <v>2555</v>
      </c>
      <c r="O802" s="149"/>
      <c r="P802" s="145"/>
      <c r="Q802" s="145"/>
      <c r="R802" s="150" t="s">
        <v>2664</v>
      </c>
    </row>
    <row r="803" spans="1:18" ht="35.25" customHeight="1">
      <c r="A803" s="15">
        <f t="shared" si="12"/>
        <v>793</v>
      </c>
      <c r="B803" s="144" t="s">
        <v>1338</v>
      </c>
      <c r="C803" s="150" t="s">
        <v>1339</v>
      </c>
      <c r="D803" s="156"/>
      <c r="E803" s="156"/>
      <c r="F803" s="156"/>
      <c r="G803" s="150"/>
      <c r="H803" s="141"/>
      <c r="I803" s="144" t="s">
        <v>18</v>
      </c>
      <c r="J803" s="153">
        <v>1</v>
      </c>
      <c r="K803" s="145" t="s">
        <v>730</v>
      </c>
      <c r="L803" s="142" t="s">
        <v>191</v>
      </c>
      <c r="M803" s="19"/>
      <c r="N803" s="142" t="s">
        <v>2555</v>
      </c>
      <c r="O803" s="149"/>
      <c r="P803" s="145"/>
      <c r="Q803" s="145"/>
      <c r="R803" s="150"/>
    </row>
    <row r="804" spans="1:18" ht="35.25" customHeight="1">
      <c r="A804" s="15">
        <f t="shared" si="12"/>
        <v>794</v>
      </c>
      <c r="B804" s="144" t="s">
        <v>1340</v>
      </c>
      <c r="C804" s="150" t="s">
        <v>1306</v>
      </c>
      <c r="D804" s="19"/>
      <c r="E804" s="19"/>
      <c r="F804" s="19"/>
      <c r="G804" s="149" t="s">
        <v>438</v>
      </c>
      <c r="H804" s="141"/>
      <c r="I804" s="144" t="s">
        <v>18</v>
      </c>
      <c r="J804" s="153">
        <v>1</v>
      </c>
      <c r="K804" s="145" t="s">
        <v>730</v>
      </c>
      <c r="L804" s="142" t="s">
        <v>191</v>
      </c>
      <c r="M804" s="19"/>
      <c r="N804" s="142" t="s">
        <v>2555</v>
      </c>
      <c r="O804" s="149"/>
      <c r="P804" s="43"/>
      <c r="Q804" s="43"/>
      <c r="R804" s="150"/>
    </row>
    <row r="805" spans="1:18" ht="35.25" customHeight="1">
      <c r="A805" s="15">
        <f t="shared" si="12"/>
        <v>795</v>
      </c>
      <c r="B805" s="144" t="s">
        <v>1341</v>
      </c>
      <c r="C805" s="150" t="s">
        <v>1308</v>
      </c>
      <c r="D805" s="156"/>
      <c r="E805" s="156"/>
      <c r="F805" s="156"/>
      <c r="G805" s="144" t="s">
        <v>2396</v>
      </c>
      <c r="H805" s="141"/>
      <c r="I805" s="144" t="s">
        <v>18</v>
      </c>
      <c r="J805" s="153">
        <v>1</v>
      </c>
      <c r="K805" s="145" t="s">
        <v>730</v>
      </c>
      <c r="L805" s="142" t="s">
        <v>191</v>
      </c>
      <c r="M805" s="19"/>
      <c r="N805" s="142" t="s">
        <v>2555</v>
      </c>
      <c r="O805" s="149"/>
      <c r="P805" s="156"/>
      <c r="Q805" s="156"/>
      <c r="R805" s="150"/>
    </row>
    <row r="806" spans="1:18" ht="35.25" customHeight="1">
      <c r="A806" s="15">
        <f t="shared" si="12"/>
        <v>796</v>
      </c>
      <c r="B806" s="144" t="s">
        <v>1342</v>
      </c>
      <c r="C806" s="150" t="s">
        <v>1289</v>
      </c>
      <c r="D806" s="156"/>
      <c r="E806" s="156"/>
      <c r="F806" s="156"/>
      <c r="G806" s="154" t="s">
        <v>2397</v>
      </c>
      <c r="H806" s="141"/>
      <c r="I806" s="144" t="s">
        <v>18</v>
      </c>
      <c r="J806" s="153">
        <v>1</v>
      </c>
      <c r="K806" s="145" t="s">
        <v>730</v>
      </c>
      <c r="L806" s="142" t="s">
        <v>191</v>
      </c>
      <c r="M806" s="19"/>
      <c r="N806" s="142" t="s">
        <v>2555</v>
      </c>
      <c r="O806" s="149"/>
      <c r="P806" s="156"/>
      <c r="Q806" s="156"/>
      <c r="R806" s="143" t="s">
        <v>2504</v>
      </c>
    </row>
    <row r="807" spans="1:18" ht="35.25" customHeight="1">
      <c r="A807" s="15">
        <f t="shared" si="12"/>
        <v>797</v>
      </c>
      <c r="B807" s="144" t="s">
        <v>1343</v>
      </c>
      <c r="C807" s="150" t="s">
        <v>620</v>
      </c>
      <c r="D807" s="156"/>
      <c r="E807" s="156"/>
      <c r="F807" s="156"/>
      <c r="G807" s="144" t="s">
        <v>2398</v>
      </c>
      <c r="H807" s="141"/>
      <c r="I807" s="144" t="s">
        <v>18</v>
      </c>
      <c r="J807" s="153">
        <v>1</v>
      </c>
      <c r="K807" s="145" t="s">
        <v>730</v>
      </c>
      <c r="L807" s="142" t="s">
        <v>191</v>
      </c>
      <c r="M807" s="19"/>
      <c r="N807" s="142" t="s">
        <v>2556</v>
      </c>
      <c r="O807" s="149"/>
      <c r="P807" s="156"/>
      <c r="Q807" s="156"/>
      <c r="R807" s="150"/>
    </row>
    <row r="808" spans="1:18" ht="35.25" customHeight="1">
      <c r="A808" s="15">
        <f t="shared" si="12"/>
        <v>798</v>
      </c>
      <c r="B808" s="144" t="s">
        <v>1344</v>
      </c>
      <c r="C808" s="150" t="s">
        <v>1339</v>
      </c>
      <c r="D808" s="156"/>
      <c r="E808" s="156"/>
      <c r="F808" s="156"/>
      <c r="G808" s="144"/>
      <c r="H808" s="141"/>
      <c r="I808" s="144" t="s">
        <v>18</v>
      </c>
      <c r="J808" s="153">
        <v>1</v>
      </c>
      <c r="K808" s="145" t="s">
        <v>730</v>
      </c>
      <c r="L808" s="142" t="s">
        <v>191</v>
      </c>
      <c r="M808" s="19"/>
      <c r="N808" s="142" t="s">
        <v>2556</v>
      </c>
      <c r="O808" s="149"/>
      <c r="P808" s="156"/>
      <c r="Q808" s="156"/>
      <c r="R808" s="150"/>
    </row>
    <row r="809" spans="1:18" ht="35.25" customHeight="1">
      <c r="A809" s="15">
        <f t="shared" si="12"/>
        <v>799</v>
      </c>
      <c r="B809" s="144" t="s">
        <v>1345</v>
      </c>
      <c r="C809" s="150" t="s">
        <v>1306</v>
      </c>
      <c r="D809" s="156"/>
      <c r="E809" s="156"/>
      <c r="F809" s="156"/>
      <c r="G809" s="149" t="s">
        <v>438</v>
      </c>
      <c r="H809" s="141"/>
      <c r="I809" s="144" t="s">
        <v>18</v>
      </c>
      <c r="J809" s="153">
        <v>1</v>
      </c>
      <c r="K809" s="145" t="s">
        <v>730</v>
      </c>
      <c r="L809" s="142" t="s">
        <v>191</v>
      </c>
      <c r="M809" s="19"/>
      <c r="N809" s="142" t="s">
        <v>2556</v>
      </c>
      <c r="O809" s="149"/>
      <c r="P809" s="156"/>
      <c r="Q809" s="156"/>
      <c r="R809" s="150"/>
    </row>
    <row r="810" spans="1:18" ht="35.25" customHeight="1">
      <c r="A810" s="15">
        <f t="shared" si="12"/>
        <v>800</v>
      </c>
      <c r="B810" s="144" t="s">
        <v>1346</v>
      </c>
      <c r="C810" s="150" t="s">
        <v>1308</v>
      </c>
      <c r="D810" s="156"/>
      <c r="E810" s="156"/>
      <c r="F810" s="156"/>
      <c r="G810" s="144"/>
      <c r="H810" s="141"/>
      <c r="I810" s="144" t="s">
        <v>18</v>
      </c>
      <c r="J810" s="153">
        <v>1</v>
      </c>
      <c r="K810" s="145" t="s">
        <v>730</v>
      </c>
      <c r="L810" s="142" t="s">
        <v>191</v>
      </c>
      <c r="M810" s="19"/>
      <c r="N810" s="142" t="s">
        <v>2556</v>
      </c>
      <c r="O810" s="149"/>
      <c r="P810" s="156"/>
      <c r="Q810" s="156"/>
      <c r="R810" s="150"/>
    </row>
    <row r="811" spans="1:18" ht="35.25" customHeight="1">
      <c r="A811" s="15">
        <f t="shared" si="12"/>
        <v>801</v>
      </c>
      <c r="B811" s="144" t="s">
        <v>1347</v>
      </c>
      <c r="C811" s="150" t="s">
        <v>1289</v>
      </c>
      <c r="D811" s="156"/>
      <c r="E811" s="156"/>
      <c r="F811" s="156"/>
      <c r="G811" s="144"/>
      <c r="H811" s="141"/>
      <c r="I811" s="144" t="s">
        <v>18</v>
      </c>
      <c r="J811" s="153">
        <v>1</v>
      </c>
      <c r="K811" s="145" t="s">
        <v>730</v>
      </c>
      <c r="L811" s="142" t="s">
        <v>191</v>
      </c>
      <c r="M811" s="19"/>
      <c r="N811" s="142" t="s">
        <v>2556</v>
      </c>
      <c r="O811" s="149"/>
      <c r="P811" s="156"/>
      <c r="Q811" s="156"/>
      <c r="R811" s="150"/>
    </row>
    <row r="812" spans="1:18" ht="35.25" customHeight="1">
      <c r="A812" s="15">
        <f t="shared" si="12"/>
        <v>802</v>
      </c>
      <c r="B812" s="144" t="s">
        <v>1348</v>
      </c>
      <c r="C812" s="150" t="s">
        <v>620</v>
      </c>
      <c r="D812" s="156"/>
      <c r="E812" s="156"/>
      <c r="F812" s="156"/>
      <c r="G812" s="144" t="s">
        <v>634</v>
      </c>
      <c r="H812" s="141"/>
      <c r="I812" s="144" t="s">
        <v>2500</v>
      </c>
      <c r="J812" s="153">
        <v>1</v>
      </c>
      <c r="K812" s="145" t="s">
        <v>730</v>
      </c>
      <c r="L812" s="142" t="s">
        <v>191</v>
      </c>
      <c r="M812" s="19"/>
      <c r="N812" s="142" t="s">
        <v>2557</v>
      </c>
      <c r="O812" s="149"/>
      <c r="P812" s="156"/>
      <c r="Q812" s="156"/>
      <c r="R812" s="150"/>
    </row>
    <row r="813" spans="1:18" ht="35.25" customHeight="1">
      <c r="A813" s="15">
        <f t="shared" si="12"/>
        <v>803</v>
      </c>
      <c r="B813" s="144" t="s">
        <v>1349</v>
      </c>
      <c r="C813" s="150" t="s">
        <v>1350</v>
      </c>
      <c r="D813" s="156"/>
      <c r="E813" s="156"/>
      <c r="F813" s="156"/>
      <c r="G813" s="144"/>
      <c r="H813" s="141"/>
      <c r="I813" s="144" t="s">
        <v>2500</v>
      </c>
      <c r="J813" s="153">
        <v>1</v>
      </c>
      <c r="K813" s="145" t="s">
        <v>730</v>
      </c>
      <c r="L813" s="142" t="s">
        <v>191</v>
      </c>
      <c r="M813" s="19"/>
      <c r="N813" s="142" t="s">
        <v>2557</v>
      </c>
      <c r="O813" s="149"/>
      <c r="P813" s="156"/>
      <c r="Q813" s="156"/>
      <c r="R813" s="150"/>
    </row>
    <row r="814" spans="1:18" ht="35.25" customHeight="1">
      <c r="A814" s="15">
        <f t="shared" si="12"/>
        <v>804</v>
      </c>
      <c r="B814" s="144" t="s">
        <v>1351</v>
      </c>
      <c r="C814" s="150" t="s">
        <v>1352</v>
      </c>
      <c r="D814" s="156"/>
      <c r="E814" s="156"/>
      <c r="F814" s="156"/>
      <c r="G814" s="199"/>
      <c r="H814" s="141"/>
      <c r="I814" s="144" t="s">
        <v>2500</v>
      </c>
      <c r="J814" s="153">
        <v>1</v>
      </c>
      <c r="K814" s="145" t="s">
        <v>730</v>
      </c>
      <c r="L814" s="142" t="s">
        <v>191</v>
      </c>
      <c r="M814" s="19"/>
      <c r="N814" s="142" t="s">
        <v>2557</v>
      </c>
      <c r="O814" s="149"/>
      <c r="P814" s="156"/>
      <c r="Q814" s="156"/>
      <c r="R814" s="150"/>
    </row>
    <row r="815" spans="1:18" ht="35.25" customHeight="1">
      <c r="A815" s="15">
        <f t="shared" si="12"/>
        <v>805</v>
      </c>
      <c r="B815" s="144" t="s">
        <v>1353</v>
      </c>
      <c r="C815" s="150" t="s">
        <v>1354</v>
      </c>
      <c r="D815" s="156"/>
      <c r="E815" s="156"/>
      <c r="F815" s="156"/>
      <c r="G815" s="199"/>
      <c r="H815" s="141"/>
      <c r="I815" s="144" t="s">
        <v>2500</v>
      </c>
      <c r="J815" s="153">
        <v>1</v>
      </c>
      <c r="K815" s="145" t="s">
        <v>730</v>
      </c>
      <c r="L815" s="142" t="s">
        <v>191</v>
      </c>
      <c r="M815" s="19"/>
      <c r="N815" s="142" t="s">
        <v>2557</v>
      </c>
      <c r="O815" s="149"/>
      <c r="P815" s="156"/>
      <c r="Q815" s="156"/>
      <c r="R815" s="150"/>
    </row>
    <row r="816" spans="1:18" ht="35.25" customHeight="1">
      <c r="A816" s="15">
        <f t="shared" si="12"/>
        <v>806</v>
      </c>
      <c r="B816" s="144" t="s">
        <v>1355</v>
      </c>
      <c r="C816" s="150" t="s">
        <v>1356</v>
      </c>
      <c r="D816" s="156"/>
      <c r="E816" s="156"/>
      <c r="F816" s="156"/>
      <c r="G816" s="199"/>
      <c r="H816" s="141"/>
      <c r="I816" s="144" t="s">
        <v>2500</v>
      </c>
      <c r="J816" s="153">
        <v>1</v>
      </c>
      <c r="K816" s="145" t="s">
        <v>730</v>
      </c>
      <c r="L816" s="142" t="s">
        <v>191</v>
      </c>
      <c r="M816" s="19"/>
      <c r="N816" s="142" t="s">
        <v>2557</v>
      </c>
      <c r="O816" s="149"/>
      <c r="P816" s="156"/>
      <c r="Q816" s="156"/>
      <c r="R816" s="150"/>
    </row>
    <row r="817" spans="1:39" ht="35.25" customHeight="1">
      <c r="A817" s="15">
        <f t="shared" si="12"/>
        <v>807</v>
      </c>
      <c r="B817" s="144" t="s">
        <v>1357</v>
      </c>
      <c r="C817" s="150" t="s">
        <v>641</v>
      </c>
      <c r="D817" s="156"/>
      <c r="E817" s="156"/>
      <c r="F817" s="156"/>
      <c r="G817" s="159" t="s">
        <v>2399</v>
      </c>
      <c r="H817" s="141"/>
      <c r="I817" s="144" t="s">
        <v>2500</v>
      </c>
      <c r="J817" s="153">
        <v>1</v>
      </c>
      <c r="K817" s="145" t="s">
        <v>730</v>
      </c>
      <c r="L817" s="142" t="s">
        <v>191</v>
      </c>
      <c r="M817" s="19"/>
      <c r="N817" s="142" t="s">
        <v>2557</v>
      </c>
      <c r="O817" s="149"/>
      <c r="P817" s="156"/>
      <c r="Q817" s="156"/>
      <c r="R817" s="150"/>
    </row>
    <row r="818" spans="1:39" ht="35.25" customHeight="1">
      <c r="A818" s="15">
        <f t="shared" si="12"/>
        <v>808</v>
      </c>
      <c r="B818" s="144" t="s">
        <v>1358</v>
      </c>
      <c r="C818" s="150" t="s">
        <v>1306</v>
      </c>
      <c r="D818" s="156"/>
      <c r="E818" s="156"/>
      <c r="F818" s="156"/>
      <c r="G818" s="149" t="s">
        <v>438</v>
      </c>
      <c r="H818" s="141"/>
      <c r="I818" s="144" t="s">
        <v>18</v>
      </c>
      <c r="J818" s="153">
        <v>1</v>
      </c>
      <c r="K818" s="145" t="s">
        <v>730</v>
      </c>
      <c r="L818" s="142" t="s">
        <v>191</v>
      </c>
      <c r="M818" s="19"/>
      <c r="N818" s="142" t="s">
        <v>2557</v>
      </c>
      <c r="O818" s="149"/>
      <c r="P818" s="156"/>
      <c r="Q818" s="156"/>
      <c r="R818" s="150"/>
    </row>
    <row r="819" spans="1:39" ht="35.25" customHeight="1">
      <c r="A819" s="15">
        <f t="shared" si="12"/>
        <v>809</v>
      </c>
      <c r="B819" s="144" t="s">
        <v>1359</v>
      </c>
      <c r="C819" s="150" t="s">
        <v>1308</v>
      </c>
      <c r="D819" s="156"/>
      <c r="E819" s="156"/>
      <c r="F819" s="156"/>
      <c r="G819" s="144"/>
      <c r="H819" s="141"/>
      <c r="I819" s="144" t="s">
        <v>18</v>
      </c>
      <c r="J819" s="153">
        <v>1</v>
      </c>
      <c r="K819" s="145" t="s">
        <v>730</v>
      </c>
      <c r="L819" s="142" t="s">
        <v>191</v>
      </c>
      <c r="M819" s="19"/>
      <c r="N819" s="142" t="s">
        <v>2557</v>
      </c>
      <c r="O819" s="149"/>
      <c r="P819" s="156"/>
      <c r="Q819" s="156"/>
      <c r="R819" s="150"/>
    </row>
    <row r="820" spans="1:39" ht="35.25" customHeight="1">
      <c r="A820" s="15">
        <f t="shared" si="12"/>
        <v>810</v>
      </c>
      <c r="B820" s="144" t="s">
        <v>1360</v>
      </c>
      <c r="C820" s="150" t="s">
        <v>1289</v>
      </c>
      <c r="D820" s="156"/>
      <c r="E820" s="156"/>
      <c r="F820" s="156"/>
      <c r="G820" s="154"/>
      <c r="H820" s="141"/>
      <c r="I820" s="144" t="s">
        <v>18</v>
      </c>
      <c r="J820" s="153">
        <v>1</v>
      </c>
      <c r="K820" s="145" t="s">
        <v>730</v>
      </c>
      <c r="L820" s="142" t="s">
        <v>191</v>
      </c>
      <c r="M820" s="19"/>
      <c r="N820" s="142" t="s">
        <v>2557</v>
      </c>
      <c r="O820" s="149"/>
      <c r="P820" s="156"/>
      <c r="Q820" s="156"/>
      <c r="R820" s="150"/>
    </row>
    <row r="821" spans="1:39" ht="35.25" customHeight="1">
      <c r="A821" s="15">
        <f t="shared" si="12"/>
        <v>811</v>
      </c>
      <c r="B821" s="144" t="s">
        <v>1361</v>
      </c>
      <c r="C821" s="150" t="s">
        <v>30</v>
      </c>
      <c r="D821" s="156"/>
      <c r="E821" s="156"/>
      <c r="F821" s="156"/>
      <c r="G821" s="199"/>
      <c r="H821" s="141"/>
      <c r="I821" s="144" t="s">
        <v>18</v>
      </c>
      <c r="J821" s="153">
        <v>1</v>
      </c>
      <c r="K821" s="145" t="s">
        <v>730</v>
      </c>
      <c r="L821" s="142" t="s">
        <v>2518</v>
      </c>
      <c r="M821" s="276" t="s">
        <v>3250</v>
      </c>
      <c r="N821" s="142" t="s">
        <v>2575</v>
      </c>
      <c r="O821" s="149" t="s">
        <v>2637</v>
      </c>
      <c r="P821" s="156"/>
      <c r="Q821" s="156"/>
      <c r="R821" s="142" t="s">
        <v>272</v>
      </c>
    </row>
    <row r="822" spans="1:39" ht="35.25" customHeight="1">
      <c r="A822" s="15">
        <f t="shared" si="12"/>
        <v>812</v>
      </c>
      <c r="B822" s="144" t="s">
        <v>1362</v>
      </c>
      <c r="C822" s="150" t="s">
        <v>1363</v>
      </c>
      <c r="D822" s="156"/>
      <c r="E822" s="156"/>
      <c r="F822" s="156"/>
      <c r="G822" s="154" t="s">
        <v>2400</v>
      </c>
      <c r="H822" s="141"/>
      <c r="I822" s="144" t="s">
        <v>18</v>
      </c>
      <c r="J822" s="153">
        <v>1</v>
      </c>
      <c r="K822" s="145" t="s">
        <v>730</v>
      </c>
      <c r="L822" s="142" t="s">
        <v>2519</v>
      </c>
      <c r="M822" s="276" t="s">
        <v>3251</v>
      </c>
      <c r="N822" s="142" t="s">
        <v>2558</v>
      </c>
      <c r="O822" s="149"/>
      <c r="P822" s="156"/>
      <c r="Q822" s="156"/>
      <c r="R822" s="150"/>
    </row>
    <row r="823" spans="1:39" s="136" customFormat="1" ht="35.25" customHeight="1">
      <c r="A823" s="15">
        <f t="shared" si="12"/>
        <v>813</v>
      </c>
      <c r="B823" s="144" t="s">
        <v>1364</v>
      </c>
      <c r="C823" s="150" t="s">
        <v>1176</v>
      </c>
      <c r="D823" s="176"/>
      <c r="E823" s="176"/>
      <c r="F823" s="176"/>
      <c r="G823" s="154"/>
      <c r="H823" s="141"/>
      <c r="I823" s="144" t="s">
        <v>18</v>
      </c>
      <c r="J823" s="153">
        <v>1</v>
      </c>
      <c r="K823" s="145" t="s">
        <v>730</v>
      </c>
      <c r="L823" s="142" t="s">
        <v>2519</v>
      </c>
      <c r="M823" s="276" t="s">
        <v>3251</v>
      </c>
      <c r="N823" s="142" t="s">
        <v>2558</v>
      </c>
      <c r="O823" s="149"/>
      <c r="P823" s="176"/>
      <c r="Q823" s="176"/>
      <c r="R823" s="150"/>
      <c r="S823"/>
      <c r="T823"/>
      <c r="U823"/>
      <c r="V823"/>
      <c r="W823"/>
      <c r="X823"/>
      <c r="Y823"/>
      <c r="Z823"/>
      <c r="AA823"/>
      <c r="AB823"/>
      <c r="AC823"/>
      <c r="AD823"/>
      <c r="AE823"/>
      <c r="AF823"/>
      <c r="AG823"/>
      <c r="AH823"/>
      <c r="AI823"/>
      <c r="AJ823"/>
      <c r="AK823"/>
      <c r="AL823"/>
      <c r="AM823"/>
    </row>
    <row r="824" spans="1:39" ht="35.25" customHeight="1">
      <c r="A824" s="15">
        <f t="shared" si="12"/>
        <v>814</v>
      </c>
      <c r="B824" s="144" t="s">
        <v>1365</v>
      </c>
      <c r="C824" s="150" t="s">
        <v>601</v>
      </c>
      <c r="D824" s="176"/>
      <c r="E824" s="176"/>
      <c r="F824" s="176"/>
      <c r="G824" s="154"/>
      <c r="H824" s="141"/>
      <c r="I824" s="144" t="s">
        <v>18</v>
      </c>
      <c r="J824" s="153">
        <v>1</v>
      </c>
      <c r="K824" s="145" t="s">
        <v>730</v>
      </c>
      <c r="L824" s="142" t="s">
        <v>2519</v>
      </c>
      <c r="M824" s="276" t="s">
        <v>3251</v>
      </c>
      <c r="N824" s="142" t="s">
        <v>2558</v>
      </c>
      <c r="O824" s="149"/>
      <c r="P824" s="176"/>
      <c r="Q824" s="176"/>
      <c r="R824" s="150"/>
    </row>
    <row r="825" spans="1:39" ht="35.25" customHeight="1">
      <c r="A825" s="15">
        <f t="shared" si="12"/>
        <v>815</v>
      </c>
      <c r="B825" s="144" t="s">
        <v>1366</v>
      </c>
      <c r="C825" s="150" t="s">
        <v>1306</v>
      </c>
      <c r="D825" s="176"/>
      <c r="E825" s="176"/>
      <c r="F825" s="176"/>
      <c r="G825" s="149" t="s">
        <v>438</v>
      </c>
      <c r="H825" s="141"/>
      <c r="I825" s="144" t="s">
        <v>18</v>
      </c>
      <c r="J825" s="153">
        <v>1</v>
      </c>
      <c r="K825" s="145" t="s">
        <v>730</v>
      </c>
      <c r="L825" s="142" t="s">
        <v>2519</v>
      </c>
      <c r="M825" s="276" t="s">
        <v>3251</v>
      </c>
      <c r="N825" s="142" t="s">
        <v>2558</v>
      </c>
      <c r="O825" s="149"/>
      <c r="P825" s="176"/>
      <c r="Q825" s="176"/>
      <c r="R825" s="150"/>
    </row>
    <row r="826" spans="1:39" ht="35.25" customHeight="1">
      <c r="A826" s="15">
        <f t="shared" si="12"/>
        <v>816</v>
      </c>
      <c r="B826" s="144" t="s">
        <v>1367</v>
      </c>
      <c r="C826" s="150" t="s">
        <v>1308</v>
      </c>
      <c r="D826" s="176"/>
      <c r="E826" s="176"/>
      <c r="F826" s="176"/>
      <c r="G826" s="154"/>
      <c r="H826" s="141"/>
      <c r="I826" s="144" t="s">
        <v>18</v>
      </c>
      <c r="J826" s="153">
        <v>1</v>
      </c>
      <c r="K826" s="145" t="s">
        <v>730</v>
      </c>
      <c r="L826" s="142" t="s">
        <v>2519</v>
      </c>
      <c r="M826" s="276" t="s">
        <v>3251</v>
      </c>
      <c r="N826" s="142" t="s">
        <v>2558</v>
      </c>
      <c r="O826" s="149"/>
      <c r="P826" s="176"/>
      <c r="Q826" s="176"/>
      <c r="R826" s="150"/>
    </row>
    <row r="827" spans="1:39" ht="35.25" customHeight="1">
      <c r="A827" s="15">
        <f t="shared" si="12"/>
        <v>817</v>
      </c>
      <c r="B827" s="144" t="s">
        <v>1368</v>
      </c>
      <c r="C827" s="150" t="s">
        <v>1289</v>
      </c>
      <c r="D827" s="176"/>
      <c r="E827" s="176"/>
      <c r="F827" s="176"/>
      <c r="G827" s="154"/>
      <c r="H827" s="141"/>
      <c r="I827" s="144" t="s">
        <v>18</v>
      </c>
      <c r="J827" s="153">
        <v>1</v>
      </c>
      <c r="K827" s="145" t="s">
        <v>730</v>
      </c>
      <c r="L827" s="142" t="s">
        <v>2519</v>
      </c>
      <c r="M827" s="276" t="s">
        <v>3251</v>
      </c>
      <c r="N827" s="142" t="s">
        <v>2558</v>
      </c>
      <c r="O827" s="149"/>
      <c r="P827" s="176"/>
      <c r="Q827" s="176"/>
      <c r="R827" s="150"/>
    </row>
    <row r="828" spans="1:39" ht="35.25" customHeight="1">
      <c r="A828" s="15">
        <f t="shared" si="12"/>
        <v>818</v>
      </c>
      <c r="B828" s="144" t="s">
        <v>1369</v>
      </c>
      <c r="C828" s="150" t="s">
        <v>1370</v>
      </c>
      <c r="D828" s="156"/>
      <c r="E828" s="156"/>
      <c r="F828" s="156"/>
      <c r="G828" s="154"/>
      <c r="H828" s="141"/>
      <c r="I828" s="144" t="s">
        <v>18</v>
      </c>
      <c r="J828" s="153">
        <v>1</v>
      </c>
      <c r="K828" s="145" t="s">
        <v>730</v>
      </c>
      <c r="L828" s="142" t="s">
        <v>191</v>
      </c>
      <c r="M828" s="19"/>
      <c r="N828" s="142" t="s">
        <v>2544</v>
      </c>
      <c r="O828" s="149"/>
      <c r="P828" s="176"/>
      <c r="Q828" s="176"/>
      <c r="R828" s="142" t="s">
        <v>272</v>
      </c>
    </row>
    <row r="829" spans="1:39" ht="35.25" customHeight="1">
      <c r="A829" s="15">
        <f t="shared" si="12"/>
        <v>819</v>
      </c>
      <c r="B829" s="144" t="s">
        <v>1371</v>
      </c>
      <c r="C829" s="150" t="s">
        <v>1370</v>
      </c>
      <c r="D829" s="176"/>
      <c r="E829" s="176"/>
      <c r="F829" s="176"/>
      <c r="G829" s="154"/>
      <c r="H829" s="141"/>
      <c r="I829" s="144" t="s">
        <v>18</v>
      </c>
      <c r="J829" s="153">
        <v>1</v>
      </c>
      <c r="K829" s="145" t="s">
        <v>730</v>
      </c>
      <c r="L829" s="142" t="s">
        <v>191</v>
      </c>
      <c r="M829" s="19"/>
      <c r="N829" s="142" t="s">
        <v>2544</v>
      </c>
      <c r="O829" s="149"/>
      <c r="P829" s="176"/>
      <c r="Q829" s="176"/>
      <c r="R829" s="142" t="s">
        <v>272</v>
      </c>
    </row>
    <row r="830" spans="1:39" ht="35.25" customHeight="1">
      <c r="A830" s="15">
        <f t="shared" si="12"/>
        <v>820</v>
      </c>
      <c r="B830" s="144" t="s">
        <v>193</v>
      </c>
      <c r="C830" s="150" t="s">
        <v>1372</v>
      </c>
      <c r="D830" s="176"/>
      <c r="E830" s="176"/>
      <c r="F830" s="176"/>
      <c r="G830" s="154"/>
      <c r="H830" s="141"/>
      <c r="I830" s="144" t="s">
        <v>18</v>
      </c>
      <c r="J830" s="153">
        <v>1</v>
      </c>
      <c r="K830" s="145" t="s">
        <v>730</v>
      </c>
      <c r="L830" s="142" t="s">
        <v>191</v>
      </c>
      <c r="M830" s="19"/>
      <c r="N830" s="142" t="s">
        <v>2544</v>
      </c>
      <c r="O830" s="149"/>
      <c r="P830" s="176"/>
      <c r="Q830" s="176"/>
      <c r="R830" s="142" t="s">
        <v>272</v>
      </c>
    </row>
    <row r="831" spans="1:39" ht="35.25" customHeight="1">
      <c r="A831" s="15">
        <f t="shared" si="12"/>
        <v>821</v>
      </c>
      <c r="B831" s="144" t="s">
        <v>1373</v>
      </c>
      <c r="C831" s="150" t="s">
        <v>1374</v>
      </c>
      <c r="D831" s="176"/>
      <c r="E831" s="176"/>
      <c r="F831" s="176"/>
      <c r="G831" s="154"/>
      <c r="H831" s="141"/>
      <c r="I831" s="144" t="s">
        <v>18</v>
      </c>
      <c r="J831" s="153">
        <v>1</v>
      </c>
      <c r="K831" s="145" t="s">
        <v>730</v>
      </c>
      <c r="L831" s="142" t="s">
        <v>191</v>
      </c>
      <c r="M831" s="19"/>
      <c r="N831" s="142" t="s">
        <v>2544</v>
      </c>
      <c r="O831" s="149"/>
      <c r="P831" s="176"/>
      <c r="Q831" s="176"/>
      <c r="R831" s="142" t="s">
        <v>272</v>
      </c>
    </row>
    <row r="832" spans="1:39" ht="35.25" customHeight="1">
      <c r="A832" s="15">
        <f t="shared" si="12"/>
        <v>822</v>
      </c>
      <c r="B832" s="144" t="s">
        <v>1375</v>
      </c>
      <c r="C832" s="150" t="s">
        <v>1376</v>
      </c>
      <c r="D832" s="176"/>
      <c r="E832" s="176"/>
      <c r="F832" s="176"/>
      <c r="G832" s="154"/>
      <c r="H832" s="141"/>
      <c r="I832" s="144" t="s">
        <v>76</v>
      </c>
      <c r="J832" s="153">
        <v>1</v>
      </c>
      <c r="K832" s="145" t="s">
        <v>730</v>
      </c>
      <c r="L832" s="142" t="s">
        <v>191</v>
      </c>
      <c r="M832" s="19"/>
      <c r="N832" s="142" t="s">
        <v>2544</v>
      </c>
      <c r="O832" s="149"/>
      <c r="P832" s="176"/>
      <c r="Q832" s="176"/>
      <c r="R832" s="142" t="s">
        <v>272</v>
      </c>
    </row>
    <row r="833" spans="1:18" ht="35.25" customHeight="1">
      <c r="A833" s="15">
        <f t="shared" si="12"/>
        <v>823</v>
      </c>
      <c r="B833" s="144" t="s">
        <v>1377</v>
      </c>
      <c r="C833" s="150" t="s">
        <v>1071</v>
      </c>
      <c r="D833" s="176"/>
      <c r="E833" s="176"/>
      <c r="F833" s="176"/>
      <c r="G833" s="154"/>
      <c r="H833" s="141"/>
      <c r="I833" s="144" t="s">
        <v>18</v>
      </c>
      <c r="J833" s="153">
        <v>1</v>
      </c>
      <c r="K833" s="145" t="s">
        <v>730</v>
      </c>
      <c r="L833" s="142" t="s">
        <v>191</v>
      </c>
      <c r="M833" s="19"/>
      <c r="N833" s="142" t="s">
        <v>2544</v>
      </c>
      <c r="O833" s="149"/>
      <c r="P833" s="176"/>
      <c r="Q833" s="176"/>
      <c r="R833" s="142" t="s">
        <v>272</v>
      </c>
    </row>
    <row r="834" spans="1:18" ht="35.25" customHeight="1">
      <c r="A834" s="15">
        <f t="shared" si="12"/>
        <v>824</v>
      </c>
      <c r="B834" s="144" t="s">
        <v>1378</v>
      </c>
      <c r="C834" s="150" t="s">
        <v>1306</v>
      </c>
      <c r="D834" s="156"/>
      <c r="E834" s="156"/>
      <c r="F834" s="156"/>
      <c r="G834" s="149" t="s">
        <v>438</v>
      </c>
      <c r="H834" s="141"/>
      <c r="I834" s="144" t="s">
        <v>18</v>
      </c>
      <c r="J834" s="153">
        <v>1</v>
      </c>
      <c r="K834" s="145" t="s">
        <v>730</v>
      </c>
      <c r="L834" s="142" t="s">
        <v>191</v>
      </c>
      <c r="M834" s="19"/>
      <c r="N834" s="142" t="s">
        <v>2544</v>
      </c>
      <c r="O834" s="149"/>
      <c r="P834" s="156"/>
      <c r="Q834" s="156"/>
      <c r="R834" s="142" t="s">
        <v>272</v>
      </c>
    </row>
    <row r="835" spans="1:18" ht="35.25" customHeight="1">
      <c r="A835" s="15">
        <f t="shared" si="12"/>
        <v>825</v>
      </c>
      <c r="B835" s="144" t="s">
        <v>1379</v>
      </c>
      <c r="C835" s="150" t="s">
        <v>1306</v>
      </c>
      <c r="D835" s="156"/>
      <c r="E835" s="156"/>
      <c r="F835" s="156"/>
      <c r="G835" s="149" t="s">
        <v>438</v>
      </c>
      <c r="H835" s="141"/>
      <c r="I835" s="144" t="s">
        <v>18</v>
      </c>
      <c r="J835" s="153">
        <v>1</v>
      </c>
      <c r="K835" s="145" t="s">
        <v>730</v>
      </c>
      <c r="L835" s="142" t="s">
        <v>191</v>
      </c>
      <c r="M835" s="19"/>
      <c r="N835" s="142" t="s">
        <v>2544</v>
      </c>
      <c r="O835" s="149"/>
      <c r="P835" s="156"/>
      <c r="Q835" s="156"/>
      <c r="R835" s="142" t="s">
        <v>272</v>
      </c>
    </row>
    <row r="836" spans="1:18" ht="35.25" customHeight="1">
      <c r="A836" s="15">
        <f t="shared" si="12"/>
        <v>826</v>
      </c>
      <c r="B836" s="144" t="s">
        <v>1380</v>
      </c>
      <c r="C836" s="150" t="s">
        <v>1306</v>
      </c>
      <c r="D836" s="156"/>
      <c r="E836" s="156"/>
      <c r="F836" s="156"/>
      <c r="G836" s="149" t="s">
        <v>438</v>
      </c>
      <c r="H836" s="141"/>
      <c r="I836" s="144" t="s">
        <v>18</v>
      </c>
      <c r="J836" s="153">
        <v>1</v>
      </c>
      <c r="K836" s="145" t="s">
        <v>730</v>
      </c>
      <c r="L836" s="142" t="s">
        <v>191</v>
      </c>
      <c r="M836" s="19"/>
      <c r="N836" s="142" t="s">
        <v>2544</v>
      </c>
      <c r="O836" s="149"/>
      <c r="P836" s="156"/>
      <c r="Q836" s="156"/>
      <c r="R836" s="142" t="s">
        <v>272</v>
      </c>
    </row>
    <row r="837" spans="1:18" ht="35.25" customHeight="1">
      <c r="A837" s="15">
        <f t="shared" si="12"/>
        <v>827</v>
      </c>
      <c r="B837" s="144" t="s">
        <v>1381</v>
      </c>
      <c r="C837" s="150" t="s">
        <v>1306</v>
      </c>
      <c r="D837" s="156"/>
      <c r="E837" s="156"/>
      <c r="F837" s="156"/>
      <c r="G837" s="149" t="s">
        <v>438</v>
      </c>
      <c r="H837" s="141"/>
      <c r="I837" s="144" t="s">
        <v>18</v>
      </c>
      <c r="J837" s="153">
        <v>1</v>
      </c>
      <c r="K837" s="145" t="s">
        <v>730</v>
      </c>
      <c r="L837" s="142" t="s">
        <v>191</v>
      </c>
      <c r="M837" s="19"/>
      <c r="N837" s="142" t="s">
        <v>2544</v>
      </c>
      <c r="O837" s="149"/>
      <c r="P837" s="156"/>
      <c r="Q837" s="156"/>
      <c r="R837" s="142" t="s">
        <v>272</v>
      </c>
    </row>
    <row r="838" spans="1:18" ht="35.25" customHeight="1">
      <c r="A838" s="15">
        <f t="shared" si="12"/>
        <v>828</v>
      </c>
      <c r="B838" s="144" t="s">
        <v>1382</v>
      </c>
      <c r="C838" s="150" t="s">
        <v>1306</v>
      </c>
      <c r="D838" s="156"/>
      <c r="E838" s="156"/>
      <c r="F838" s="156"/>
      <c r="G838" s="149" t="s">
        <v>438</v>
      </c>
      <c r="H838" s="141"/>
      <c r="I838" s="144" t="s">
        <v>18</v>
      </c>
      <c r="J838" s="153">
        <v>1</v>
      </c>
      <c r="K838" s="145" t="s">
        <v>730</v>
      </c>
      <c r="L838" s="142" t="s">
        <v>191</v>
      </c>
      <c r="M838" s="19"/>
      <c r="N838" s="142" t="s">
        <v>2544</v>
      </c>
      <c r="O838" s="149"/>
      <c r="P838" s="156"/>
      <c r="Q838" s="156"/>
      <c r="R838" s="142" t="s">
        <v>272</v>
      </c>
    </row>
    <row r="839" spans="1:18" ht="35.25" customHeight="1">
      <c r="A839" s="15">
        <f t="shared" si="12"/>
        <v>829</v>
      </c>
      <c r="B839" s="144" t="s">
        <v>1383</v>
      </c>
      <c r="C839" s="150" t="s">
        <v>1306</v>
      </c>
      <c r="D839" s="156"/>
      <c r="E839" s="156"/>
      <c r="F839" s="156"/>
      <c r="G839" s="149" t="s">
        <v>438</v>
      </c>
      <c r="H839" s="141"/>
      <c r="I839" s="144" t="s">
        <v>18</v>
      </c>
      <c r="J839" s="153">
        <v>1</v>
      </c>
      <c r="K839" s="145" t="s">
        <v>730</v>
      </c>
      <c r="L839" s="142" t="s">
        <v>191</v>
      </c>
      <c r="M839" s="19"/>
      <c r="N839" s="142" t="s">
        <v>2544</v>
      </c>
      <c r="O839" s="149"/>
      <c r="P839" s="156"/>
      <c r="Q839" s="156"/>
      <c r="R839" s="142" t="s">
        <v>272</v>
      </c>
    </row>
    <row r="840" spans="1:18" ht="35.25" customHeight="1">
      <c r="A840" s="15">
        <f t="shared" si="12"/>
        <v>830</v>
      </c>
      <c r="B840" s="144" t="s">
        <v>1384</v>
      </c>
      <c r="C840" s="150" t="s">
        <v>1306</v>
      </c>
      <c r="D840" s="176"/>
      <c r="E840" s="176"/>
      <c r="F840" s="176"/>
      <c r="G840" s="149" t="s">
        <v>438</v>
      </c>
      <c r="H840" s="141"/>
      <c r="I840" s="144" t="s">
        <v>18</v>
      </c>
      <c r="J840" s="153">
        <v>1</v>
      </c>
      <c r="K840" s="145" t="s">
        <v>730</v>
      </c>
      <c r="L840" s="142" t="s">
        <v>191</v>
      </c>
      <c r="M840" s="19"/>
      <c r="N840" s="142" t="s">
        <v>2544</v>
      </c>
      <c r="O840" s="149"/>
      <c r="P840" s="156"/>
      <c r="Q840" s="156"/>
      <c r="R840" s="142" t="s">
        <v>272</v>
      </c>
    </row>
    <row r="841" spans="1:18" ht="35.25" customHeight="1">
      <c r="A841" s="15">
        <f t="shared" si="12"/>
        <v>831</v>
      </c>
      <c r="B841" s="144" t="s">
        <v>1385</v>
      </c>
      <c r="C841" s="150" t="s">
        <v>1306</v>
      </c>
      <c r="D841" s="156"/>
      <c r="E841" s="156"/>
      <c r="F841" s="156"/>
      <c r="G841" s="149" t="s">
        <v>438</v>
      </c>
      <c r="H841" s="141"/>
      <c r="I841" s="144" t="s">
        <v>18</v>
      </c>
      <c r="J841" s="153">
        <v>1</v>
      </c>
      <c r="K841" s="145" t="s">
        <v>730</v>
      </c>
      <c r="L841" s="142" t="s">
        <v>191</v>
      </c>
      <c r="M841" s="19"/>
      <c r="N841" s="142" t="s">
        <v>2544</v>
      </c>
      <c r="O841" s="149"/>
      <c r="P841" s="156"/>
      <c r="Q841" s="156"/>
      <c r="R841" s="142" t="s">
        <v>272</v>
      </c>
    </row>
    <row r="842" spans="1:18" ht="35.25" customHeight="1">
      <c r="A842" s="15">
        <f t="shared" si="12"/>
        <v>832</v>
      </c>
      <c r="B842" s="144" t="s">
        <v>1386</v>
      </c>
      <c r="C842" s="150" t="s">
        <v>1306</v>
      </c>
      <c r="D842" s="156"/>
      <c r="E842" s="156"/>
      <c r="F842" s="156"/>
      <c r="G842" s="149" t="s">
        <v>438</v>
      </c>
      <c r="H842" s="141"/>
      <c r="I842" s="144" t="s">
        <v>18</v>
      </c>
      <c r="J842" s="153">
        <v>1</v>
      </c>
      <c r="K842" s="145" t="s">
        <v>730</v>
      </c>
      <c r="L842" s="142" t="s">
        <v>191</v>
      </c>
      <c r="M842" s="19"/>
      <c r="N842" s="142" t="s">
        <v>2544</v>
      </c>
      <c r="O842" s="149"/>
      <c r="P842" s="156"/>
      <c r="Q842" s="156"/>
      <c r="R842" s="142" t="s">
        <v>272</v>
      </c>
    </row>
    <row r="843" spans="1:18" ht="35.25" customHeight="1">
      <c r="A843" s="15">
        <f t="shared" si="12"/>
        <v>833</v>
      </c>
      <c r="B843" s="144" t="s">
        <v>1387</v>
      </c>
      <c r="C843" s="150" t="s">
        <v>1306</v>
      </c>
      <c r="D843" s="156"/>
      <c r="E843" s="156"/>
      <c r="F843" s="156"/>
      <c r="G843" s="149" t="s">
        <v>438</v>
      </c>
      <c r="H843" s="141"/>
      <c r="I843" s="144" t="s">
        <v>18</v>
      </c>
      <c r="J843" s="153">
        <v>1</v>
      </c>
      <c r="K843" s="145" t="s">
        <v>730</v>
      </c>
      <c r="L843" s="142" t="s">
        <v>191</v>
      </c>
      <c r="M843" s="19"/>
      <c r="N843" s="142" t="s">
        <v>2544</v>
      </c>
      <c r="O843" s="149"/>
      <c r="P843" s="156"/>
      <c r="Q843" s="156"/>
      <c r="R843" s="142" t="s">
        <v>272</v>
      </c>
    </row>
    <row r="844" spans="1:18" ht="35.25" customHeight="1">
      <c r="A844" s="15">
        <f t="shared" si="12"/>
        <v>834</v>
      </c>
      <c r="B844" s="144" t="s">
        <v>1388</v>
      </c>
      <c r="C844" s="150" t="s">
        <v>1289</v>
      </c>
      <c r="D844" s="156"/>
      <c r="E844" s="156"/>
      <c r="F844" s="156"/>
      <c r="G844" s="154"/>
      <c r="H844" s="141"/>
      <c r="I844" s="144" t="s">
        <v>18</v>
      </c>
      <c r="J844" s="153">
        <v>1</v>
      </c>
      <c r="K844" s="145" t="s">
        <v>730</v>
      </c>
      <c r="L844" s="142" t="s">
        <v>191</v>
      </c>
      <c r="M844" s="19"/>
      <c r="N844" s="142" t="s">
        <v>2544</v>
      </c>
      <c r="O844" s="149"/>
      <c r="P844" s="156"/>
      <c r="Q844" s="156"/>
      <c r="R844" s="142" t="s">
        <v>272</v>
      </c>
    </row>
    <row r="845" spans="1:18" ht="35.25" customHeight="1">
      <c r="A845" s="15">
        <f t="shared" si="12"/>
        <v>835</v>
      </c>
      <c r="B845" s="144" t="s">
        <v>1389</v>
      </c>
      <c r="C845" s="150" t="s">
        <v>1289</v>
      </c>
      <c r="D845" s="156"/>
      <c r="E845" s="156"/>
      <c r="F845" s="156"/>
      <c r="G845" s="154"/>
      <c r="H845" s="141"/>
      <c r="I845" s="144" t="s">
        <v>18</v>
      </c>
      <c r="J845" s="153">
        <v>1</v>
      </c>
      <c r="K845" s="145" t="s">
        <v>730</v>
      </c>
      <c r="L845" s="142" t="s">
        <v>191</v>
      </c>
      <c r="M845" s="19"/>
      <c r="N845" s="142" t="s">
        <v>2544</v>
      </c>
      <c r="O845" s="149"/>
      <c r="P845" s="156"/>
      <c r="Q845" s="156"/>
      <c r="R845" s="142" t="s">
        <v>272</v>
      </c>
    </row>
    <row r="846" spans="1:18" ht="35.25" customHeight="1">
      <c r="A846" s="15">
        <f t="shared" si="12"/>
        <v>836</v>
      </c>
      <c r="B846" s="144" t="s">
        <v>1390</v>
      </c>
      <c r="C846" s="150" t="s">
        <v>1289</v>
      </c>
      <c r="D846" s="156"/>
      <c r="E846" s="156"/>
      <c r="F846" s="156"/>
      <c r="G846" s="154"/>
      <c r="H846" s="141"/>
      <c r="I846" s="144" t="s">
        <v>18</v>
      </c>
      <c r="J846" s="153">
        <v>1</v>
      </c>
      <c r="K846" s="145" t="s">
        <v>730</v>
      </c>
      <c r="L846" s="142" t="s">
        <v>191</v>
      </c>
      <c r="M846" s="19"/>
      <c r="N846" s="142" t="s">
        <v>2544</v>
      </c>
      <c r="O846" s="149"/>
      <c r="P846" s="156"/>
      <c r="Q846" s="156"/>
      <c r="R846" s="142" t="s">
        <v>272</v>
      </c>
    </row>
    <row r="847" spans="1:18" ht="35.25" customHeight="1">
      <c r="A847" s="15">
        <f t="shared" si="12"/>
        <v>837</v>
      </c>
      <c r="B847" s="144" t="s">
        <v>1391</v>
      </c>
      <c r="C847" s="150" t="s">
        <v>1392</v>
      </c>
      <c r="D847" s="156"/>
      <c r="E847" s="156"/>
      <c r="F847" s="156"/>
      <c r="G847" s="144" t="s">
        <v>2401</v>
      </c>
      <c r="H847" s="141"/>
      <c r="I847" s="144" t="s">
        <v>18</v>
      </c>
      <c r="J847" s="153">
        <v>7</v>
      </c>
      <c r="K847" s="145" t="s">
        <v>730</v>
      </c>
      <c r="L847" s="142" t="s">
        <v>191</v>
      </c>
      <c r="M847" s="19"/>
      <c r="N847" s="142" t="s">
        <v>2544</v>
      </c>
      <c r="O847" s="149"/>
      <c r="P847" s="156"/>
      <c r="Q847" s="156"/>
      <c r="R847" s="142" t="s">
        <v>272</v>
      </c>
    </row>
    <row r="848" spans="1:18" ht="35.25" customHeight="1">
      <c r="A848" s="15">
        <f t="shared" si="12"/>
        <v>838</v>
      </c>
      <c r="B848" s="144" t="s">
        <v>1393</v>
      </c>
      <c r="C848" s="150" t="s">
        <v>1394</v>
      </c>
      <c r="D848" s="156"/>
      <c r="E848" s="156"/>
      <c r="F848" s="156"/>
      <c r="G848" s="144" t="s">
        <v>2402</v>
      </c>
      <c r="H848" s="141"/>
      <c r="I848" s="144" t="s">
        <v>18</v>
      </c>
      <c r="J848" s="153">
        <v>1</v>
      </c>
      <c r="K848" s="145" t="s">
        <v>730</v>
      </c>
      <c r="L848" s="142" t="s">
        <v>191</v>
      </c>
      <c r="M848" s="19"/>
      <c r="N848" s="142" t="s">
        <v>2544</v>
      </c>
      <c r="O848" s="149"/>
      <c r="P848" s="156"/>
      <c r="Q848" s="156"/>
      <c r="R848" s="142" t="s">
        <v>272</v>
      </c>
    </row>
    <row r="849" spans="1:18" ht="35.25" customHeight="1">
      <c r="A849" s="15">
        <f t="shared" si="12"/>
        <v>839</v>
      </c>
      <c r="B849" s="144" t="s">
        <v>1395</v>
      </c>
      <c r="C849" s="150" t="s">
        <v>1306</v>
      </c>
      <c r="D849" s="156"/>
      <c r="E849" s="156"/>
      <c r="F849" s="156"/>
      <c r="G849" s="149" t="s">
        <v>438</v>
      </c>
      <c r="H849" s="141"/>
      <c r="I849" s="144" t="s">
        <v>18</v>
      </c>
      <c r="J849" s="153">
        <v>1</v>
      </c>
      <c r="K849" s="145" t="s">
        <v>730</v>
      </c>
      <c r="L849" s="142" t="s">
        <v>191</v>
      </c>
      <c r="M849" s="19"/>
      <c r="N849" s="142" t="s">
        <v>2559</v>
      </c>
      <c r="O849" s="149"/>
      <c r="P849" s="156"/>
      <c r="Q849" s="156"/>
      <c r="R849" s="150"/>
    </row>
    <row r="850" spans="1:18" ht="35.25" customHeight="1">
      <c r="A850" s="15">
        <f t="shared" si="12"/>
        <v>840</v>
      </c>
      <c r="B850" s="144" t="s">
        <v>1396</v>
      </c>
      <c r="C850" s="150" t="s">
        <v>1308</v>
      </c>
      <c r="D850" s="156"/>
      <c r="E850" s="156"/>
      <c r="F850" s="156"/>
      <c r="G850" s="144" t="s">
        <v>2396</v>
      </c>
      <c r="H850" s="141"/>
      <c r="I850" s="144" t="s">
        <v>18</v>
      </c>
      <c r="J850" s="153">
        <v>1</v>
      </c>
      <c r="K850" s="145" t="s">
        <v>730</v>
      </c>
      <c r="L850" s="142" t="s">
        <v>191</v>
      </c>
      <c r="M850" s="19"/>
      <c r="N850" s="142" t="s">
        <v>2559</v>
      </c>
      <c r="O850" s="149"/>
      <c r="P850" s="156"/>
      <c r="Q850" s="156"/>
      <c r="R850" s="150"/>
    </row>
    <row r="851" spans="1:18" ht="35.25" customHeight="1">
      <c r="A851" s="15">
        <f t="shared" ref="A851:A914" si="13">A850+1</f>
        <v>841</v>
      </c>
      <c r="B851" s="144" t="s">
        <v>1397</v>
      </c>
      <c r="C851" s="150" t="s">
        <v>1289</v>
      </c>
      <c r="D851" s="156"/>
      <c r="E851" s="156"/>
      <c r="F851" s="156"/>
      <c r="G851" s="144"/>
      <c r="H851" s="141"/>
      <c r="I851" s="144" t="s">
        <v>18</v>
      </c>
      <c r="J851" s="153">
        <v>1</v>
      </c>
      <c r="K851" s="145" t="s">
        <v>730</v>
      </c>
      <c r="L851" s="142" t="s">
        <v>191</v>
      </c>
      <c r="M851" s="19"/>
      <c r="N851" s="142" t="s">
        <v>2559</v>
      </c>
      <c r="O851" s="149"/>
      <c r="P851" s="156"/>
      <c r="Q851" s="156"/>
      <c r="R851" s="150"/>
    </row>
    <row r="852" spans="1:18" ht="35.25" customHeight="1">
      <c r="A852" s="15">
        <f t="shared" si="13"/>
        <v>842</v>
      </c>
      <c r="B852" s="144" t="s">
        <v>1398</v>
      </c>
      <c r="C852" s="150" t="s">
        <v>1399</v>
      </c>
      <c r="D852" s="156"/>
      <c r="E852" s="156"/>
      <c r="F852" s="156"/>
      <c r="G852" s="144"/>
      <c r="H852" s="141"/>
      <c r="I852" s="144" t="s">
        <v>18</v>
      </c>
      <c r="J852" s="153">
        <v>1</v>
      </c>
      <c r="K852" s="145" t="s">
        <v>730</v>
      </c>
      <c r="L852" s="142" t="s">
        <v>191</v>
      </c>
      <c r="M852" s="19"/>
      <c r="N852" s="142" t="s">
        <v>2559</v>
      </c>
      <c r="O852" s="194">
        <v>44977</v>
      </c>
      <c r="P852" s="156"/>
      <c r="Q852" s="156"/>
      <c r="R852" s="150"/>
    </row>
    <row r="853" spans="1:18" ht="35.25" customHeight="1">
      <c r="A853" s="15">
        <f t="shared" si="13"/>
        <v>843</v>
      </c>
      <c r="B853" s="144" t="s">
        <v>1400</v>
      </c>
      <c r="C853" s="150" t="s">
        <v>1401</v>
      </c>
      <c r="D853" s="156"/>
      <c r="E853" s="156"/>
      <c r="F853" s="156"/>
      <c r="G853" s="144"/>
      <c r="H853" s="141"/>
      <c r="I853" s="144" t="s">
        <v>18</v>
      </c>
      <c r="J853" s="153">
        <v>1</v>
      </c>
      <c r="K853" s="145" t="s">
        <v>730</v>
      </c>
      <c r="L853" s="142" t="s">
        <v>191</v>
      </c>
      <c r="M853" s="19"/>
      <c r="N853" s="142" t="s">
        <v>2559</v>
      </c>
      <c r="O853" s="194">
        <v>44977</v>
      </c>
      <c r="P853" s="156"/>
      <c r="Q853" s="156"/>
      <c r="R853" s="150"/>
    </row>
    <row r="854" spans="1:18" ht="35.25" customHeight="1">
      <c r="A854" s="15">
        <f t="shared" si="13"/>
        <v>844</v>
      </c>
      <c r="B854" s="144" t="s">
        <v>1402</v>
      </c>
      <c r="C854" s="150" t="s">
        <v>1403</v>
      </c>
      <c r="D854" s="156"/>
      <c r="E854" s="156"/>
      <c r="F854" s="156"/>
      <c r="G854" s="144"/>
      <c r="H854" s="141"/>
      <c r="I854" s="144" t="s">
        <v>18</v>
      </c>
      <c r="J854" s="153">
        <v>1</v>
      </c>
      <c r="K854" s="145" t="s">
        <v>730</v>
      </c>
      <c r="L854" s="142" t="s">
        <v>191</v>
      </c>
      <c r="M854" s="19"/>
      <c r="N854" s="142" t="s">
        <v>2559</v>
      </c>
      <c r="O854" s="194">
        <v>44977</v>
      </c>
      <c r="P854" s="156"/>
      <c r="Q854" s="156"/>
      <c r="R854" s="150"/>
    </row>
    <row r="855" spans="1:18" ht="35.25" customHeight="1">
      <c r="A855" s="15">
        <f t="shared" si="13"/>
        <v>845</v>
      </c>
      <c r="B855" s="144" t="s">
        <v>1404</v>
      </c>
      <c r="C855" s="150" t="s">
        <v>985</v>
      </c>
      <c r="D855" s="156"/>
      <c r="E855" s="156"/>
      <c r="F855" s="156"/>
      <c r="G855" s="144"/>
      <c r="H855" s="141"/>
      <c r="I855" s="144" t="s">
        <v>18</v>
      </c>
      <c r="J855" s="153">
        <v>1</v>
      </c>
      <c r="K855" s="145" t="s">
        <v>730</v>
      </c>
      <c r="L855" s="142" t="s">
        <v>191</v>
      </c>
      <c r="M855" s="19"/>
      <c r="N855" s="142" t="s">
        <v>2560</v>
      </c>
      <c r="O855" s="194">
        <v>44977</v>
      </c>
      <c r="P855" s="156"/>
      <c r="Q855" s="156"/>
      <c r="R855" s="150"/>
    </row>
    <row r="856" spans="1:18" ht="35.25" customHeight="1">
      <c r="A856" s="15">
        <f t="shared" si="13"/>
        <v>846</v>
      </c>
      <c r="B856" s="144" t="s">
        <v>1405</v>
      </c>
      <c r="C856" s="150" t="s">
        <v>985</v>
      </c>
      <c r="D856" s="156"/>
      <c r="E856" s="156"/>
      <c r="F856" s="156"/>
      <c r="G856" s="144"/>
      <c r="H856" s="141"/>
      <c r="I856" s="144" t="s">
        <v>18</v>
      </c>
      <c r="J856" s="153">
        <v>1</v>
      </c>
      <c r="K856" s="145" t="s">
        <v>730</v>
      </c>
      <c r="L856" s="142" t="s">
        <v>191</v>
      </c>
      <c r="M856" s="19"/>
      <c r="N856" s="142" t="s">
        <v>2561</v>
      </c>
      <c r="O856" s="194">
        <v>44977</v>
      </c>
      <c r="P856" s="156"/>
      <c r="Q856" s="156"/>
      <c r="R856" s="150"/>
    </row>
    <row r="857" spans="1:18" ht="35.25" customHeight="1">
      <c r="A857" s="15">
        <f t="shared" si="13"/>
        <v>847</v>
      </c>
      <c r="B857" s="144" t="s">
        <v>1406</v>
      </c>
      <c r="C857" s="150" t="s">
        <v>641</v>
      </c>
      <c r="D857" s="156"/>
      <c r="E857" s="156"/>
      <c r="F857" s="156"/>
      <c r="G857" s="154" t="s">
        <v>2403</v>
      </c>
      <c r="H857" s="141"/>
      <c r="I857" s="144" t="s">
        <v>566</v>
      </c>
      <c r="J857" s="153">
        <v>1</v>
      </c>
      <c r="K857" s="145" t="s">
        <v>730</v>
      </c>
      <c r="L857" s="43" t="s">
        <v>191</v>
      </c>
      <c r="M857" s="19"/>
      <c r="N857" s="142" t="s">
        <v>2561</v>
      </c>
      <c r="O857" s="194">
        <v>44978</v>
      </c>
      <c r="P857" s="156"/>
      <c r="Q857" s="156"/>
      <c r="R857" s="150" t="s">
        <v>2665</v>
      </c>
    </row>
    <row r="858" spans="1:18" ht="35.25" customHeight="1">
      <c r="A858" s="15">
        <f t="shared" si="13"/>
        <v>848</v>
      </c>
      <c r="B858" s="144" t="s">
        <v>1407</v>
      </c>
      <c r="C858" s="150" t="s">
        <v>698</v>
      </c>
      <c r="D858" s="156"/>
      <c r="E858" s="156"/>
      <c r="F858" s="156"/>
      <c r="G858" s="144"/>
      <c r="H858" s="141"/>
      <c r="I858" s="144" t="s">
        <v>566</v>
      </c>
      <c r="J858" s="153">
        <v>1</v>
      </c>
      <c r="K858" s="145" t="s">
        <v>730</v>
      </c>
      <c r="L858" s="43" t="s">
        <v>191</v>
      </c>
      <c r="M858" s="19"/>
      <c r="N858" s="142" t="s">
        <v>2561</v>
      </c>
      <c r="O858" s="194">
        <v>44978</v>
      </c>
      <c r="P858" s="156"/>
      <c r="Q858" s="156"/>
      <c r="R858" s="150"/>
    </row>
    <row r="859" spans="1:18" ht="35.25" customHeight="1">
      <c r="A859" s="15">
        <f t="shared" si="13"/>
        <v>849</v>
      </c>
      <c r="B859" s="144" t="s">
        <v>1408</v>
      </c>
      <c r="C859" s="150" t="s">
        <v>985</v>
      </c>
      <c r="D859" s="156"/>
      <c r="E859" s="156"/>
      <c r="F859" s="156"/>
      <c r="G859" s="144"/>
      <c r="H859" s="141"/>
      <c r="I859" s="144" t="s">
        <v>18</v>
      </c>
      <c r="J859" s="153">
        <v>1</v>
      </c>
      <c r="K859" s="145" t="s">
        <v>730</v>
      </c>
      <c r="L859" s="142" t="s">
        <v>191</v>
      </c>
      <c r="M859" s="276" t="s">
        <v>3249</v>
      </c>
      <c r="N859" s="142" t="s">
        <v>2562</v>
      </c>
      <c r="O859" s="194">
        <v>44978</v>
      </c>
      <c r="P859" s="156"/>
      <c r="Q859" s="156"/>
      <c r="R859" s="150"/>
    </row>
    <row r="860" spans="1:18" ht="35.25" customHeight="1">
      <c r="A860" s="15">
        <f t="shared" si="13"/>
        <v>850</v>
      </c>
      <c r="B860" s="144" t="s">
        <v>1409</v>
      </c>
      <c r="C860" s="150" t="s">
        <v>723</v>
      </c>
      <c r="D860" s="156"/>
      <c r="E860" s="156"/>
      <c r="F860" s="156"/>
      <c r="G860" s="144"/>
      <c r="H860" s="141"/>
      <c r="I860" s="144" t="s">
        <v>18</v>
      </c>
      <c r="J860" s="153">
        <v>1</v>
      </c>
      <c r="K860" s="145" t="s">
        <v>730</v>
      </c>
      <c r="L860" s="142" t="s">
        <v>191</v>
      </c>
      <c r="M860" s="19"/>
      <c r="N860" s="142" t="s">
        <v>2544</v>
      </c>
      <c r="O860" s="149"/>
      <c r="P860" s="156"/>
      <c r="Q860" s="156"/>
      <c r="R860" s="142" t="s">
        <v>272</v>
      </c>
    </row>
    <row r="861" spans="1:18" ht="35.25" customHeight="1">
      <c r="A861" s="15">
        <f t="shared" si="13"/>
        <v>851</v>
      </c>
      <c r="B861" s="144" t="s">
        <v>1410</v>
      </c>
      <c r="C861" s="150" t="s">
        <v>723</v>
      </c>
      <c r="D861" s="156"/>
      <c r="E861" s="156"/>
      <c r="F861" s="156"/>
      <c r="G861" s="144"/>
      <c r="H861" s="141"/>
      <c r="I861" s="144" t="s">
        <v>18</v>
      </c>
      <c r="J861" s="153">
        <v>1</v>
      </c>
      <c r="K861" s="145" t="s">
        <v>730</v>
      </c>
      <c r="L861" s="142" t="s">
        <v>191</v>
      </c>
      <c r="M861" s="19"/>
      <c r="N861" s="142" t="s">
        <v>2544</v>
      </c>
      <c r="O861" s="149"/>
      <c r="P861" s="156"/>
      <c r="Q861" s="156"/>
      <c r="R861" s="142" t="s">
        <v>272</v>
      </c>
    </row>
    <row r="862" spans="1:18" ht="35.25" customHeight="1">
      <c r="A862" s="15">
        <f t="shared" si="13"/>
        <v>852</v>
      </c>
      <c r="B862" s="144" t="s">
        <v>1411</v>
      </c>
      <c r="C862" s="150" t="s">
        <v>723</v>
      </c>
      <c r="D862" s="156"/>
      <c r="E862" s="156"/>
      <c r="F862" s="156"/>
      <c r="G862" s="144"/>
      <c r="H862" s="141"/>
      <c r="I862" s="144" t="s">
        <v>18</v>
      </c>
      <c r="J862" s="153">
        <v>1</v>
      </c>
      <c r="K862" s="145" t="s">
        <v>730</v>
      </c>
      <c r="L862" s="142" t="s">
        <v>191</v>
      </c>
      <c r="M862" s="19"/>
      <c r="N862" s="142" t="s">
        <v>2544</v>
      </c>
      <c r="O862" s="149"/>
      <c r="P862" s="156"/>
      <c r="Q862" s="156"/>
      <c r="R862" s="142" t="s">
        <v>272</v>
      </c>
    </row>
    <row r="863" spans="1:18" ht="35.25" customHeight="1">
      <c r="A863" s="15">
        <f t="shared" si="13"/>
        <v>853</v>
      </c>
      <c r="B863" s="144" t="s">
        <v>1412</v>
      </c>
      <c r="C863" s="150" t="s">
        <v>723</v>
      </c>
      <c r="D863" s="156"/>
      <c r="E863" s="156"/>
      <c r="F863" s="156"/>
      <c r="G863" s="144"/>
      <c r="H863" s="141"/>
      <c r="I863" s="144" t="s">
        <v>18</v>
      </c>
      <c r="J863" s="153">
        <v>1</v>
      </c>
      <c r="K863" s="145" t="s">
        <v>730</v>
      </c>
      <c r="L863" s="142" t="s">
        <v>191</v>
      </c>
      <c r="M863" s="19"/>
      <c r="N863" s="142" t="s">
        <v>2544</v>
      </c>
      <c r="O863" s="149"/>
      <c r="P863" s="156"/>
      <c r="Q863" s="156"/>
      <c r="R863" s="142" t="s">
        <v>272</v>
      </c>
    </row>
    <row r="864" spans="1:18" ht="35.25" customHeight="1">
      <c r="A864" s="15">
        <f t="shared" si="13"/>
        <v>854</v>
      </c>
      <c r="B864" s="144" t="s">
        <v>1413</v>
      </c>
      <c r="C864" s="150" t="s">
        <v>723</v>
      </c>
      <c r="D864" s="156"/>
      <c r="E864" s="156"/>
      <c r="F864" s="156"/>
      <c r="G864" s="144"/>
      <c r="H864" s="141"/>
      <c r="I864" s="144" t="s">
        <v>18</v>
      </c>
      <c r="J864" s="153">
        <v>1</v>
      </c>
      <c r="K864" s="145" t="s">
        <v>730</v>
      </c>
      <c r="L864" s="142" t="s">
        <v>191</v>
      </c>
      <c r="M864" s="19"/>
      <c r="N864" s="142" t="s">
        <v>2544</v>
      </c>
      <c r="O864" s="149"/>
      <c r="P864" s="156"/>
      <c r="Q864" s="156"/>
      <c r="R864" s="142" t="s">
        <v>272</v>
      </c>
    </row>
    <row r="865" spans="1:18" ht="35.25" customHeight="1">
      <c r="A865" s="15">
        <f t="shared" si="13"/>
        <v>855</v>
      </c>
      <c r="B865" s="144" t="s">
        <v>1414</v>
      </c>
      <c r="C865" s="150" t="s">
        <v>723</v>
      </c>
      <c r="D865" s="156"/>
      <c r="E865" s="156"/>
      <c r="F865" s="156"/>
      <c r="G865" s="144"/>
      <c r="H865" s="141"/>
      <c r="I865" s="144" t="s">
        <v>18</v>
      </c>
      <c r="J865" s="153">
        <v>1</v>
      </c>
      <c r="K865" s="145" t="s">
        <v>730</v>
      </c>
      <c r="L865" s="142" t="s">
        <v>191</v>
      </c>
      <c r="M865" s="19"/>
      <c r="N865" s="142" t="s">
        <v>2544</v>
      </c>
      <c r="O865" s="149"/>
      <c r="P865" s="156"/>
      <c r="Q865" s="156"/>
      <c r="R865" s="142" t="s">
        <v>272</v>
      </c>
    </row>
    <row r="866" spans="1:18" ht="35.25" customHeight="1">
      <c r="A866" s="15">
        <f t="shared" si="13"/>
        <v>856</v>
      </c>
      <c r="B866" s="144" t="s">
        <v>1415</v>
      </c>
      <c r="C866" s="150" t="s">
        <v>723</v>
      </c>
      <c r="D866" s="156"/>
      <c r="E866" s="156"/>
      <c r="F866" s="156"/>
      <c r="G866" s="144"/>
      <c r="H866" s="141"/>
      <c r="I866" s="144" t="s">
        <v>18</v>
      </c>
      <c r="J866" s="153">
        <v>1</v>
      </c>
      <c r="K866" s="145" t="s">
        <v>730</v>
      </c>
      <c r="L866" s="142" t="s">
        <v>191</v>
      </c>
      <c r="M866" s="19"/>
      <c r="N866" s="142" t="s">
        <v>2544</v>
      </c>
      <c r="O866" s="149"/>
      <c r="P866" s="156"/>
      <c r="Q866" s="156"/>
      <c r="R866" s="142" t="s">
        <v>272</v>
      </c>
    </row>
    <row r="867" spans="1:18" ht="35.25" customHeight="1">
      <c r="A867" s="15">
        <f t="shared" si="13"/>
        <v>857</v>
      </c>
      <c r="B867" s="144" t="s">
        <v>1416</v>
      </c>
      <c r="C867" s="150" t="s">
        <v>723</v>
      </c>
      <c r="D867" s="156"/>
      <c r="E867" s="156"/>
      <c r="F867" s="156"/>
      <c r="G867" s="144"/>
      <c r="H867" s="141"/>
      <c r="I867" s="144" t="s">
        <v>18</v>
      </c>
      <c r="J867" s="153">
        <v>1</v>
      </c>
      <c r="K867" s="145" t="s">
        <v>730</v>
      </c>
      <c r="L867" s="142" t="s">
        <v>191</v>
      </c>
      <c r="M867" s="19"/>
      <c r="N867" s="142" t="s">
        <v>2544</v>
      </c>
      <c r="O867" s="149"/>
      <c r="P867" s="156"/>
      <c r="Q867" s="156"/>
      <c r="R867" s="142" t="s">
        <v>272</v>
      </c>
    </row>
    <row r="868" spans="1:18" ht="35.25" customHeight="1">
      <c r="A868" s="15">
        <f t="shared" si="13"/>
        <v>858</v>
      </c>
      <c r="B868" s="144" t="s">
        <v>1417</v>
      </c>
      <c r="C868" s="150" t="s">
        <v>723</v>
      </c>
      <c r="D868" s="156"/>
      <c r="E868" s="156"/>
      <c r="F868" s="156"/>
      <c r="G868" s="144"/>
      <c r="H868" s="141"/>
      <c r="I868" s="144" t="s">
        <v>18</v>
      </c>
      <c r="J868" s="153">
        <v>1</v>
      </c>
      <c r="K868" s="145" t="s">
        <v>730</v>
      </c>
      <c r="L868" s="142" t="s">
        <v>191</v>
      </c>
      <c r="M868" s="19"/>
      <c r="N868" s="142" t="s">
        <v>2544</v>
      </c>
      <c r="O868" s="149"/>
      <c r="P868" s="156"/>
      <c r="Q868" s="156"/>
      <c r="R868" s="142" t="s">
        <v>272</v>
      </c>
    </row>
    <row r="869" spans="1:18" ht="35.25" customHeight="1">
      <c r="A869" s="15">
        <f t="shared" si="13"/>
        <v>859</v>
      </c>
      <c r="B869" s="144" t="s">
        <v>1418</v>
      </c>
      <c r="C869" s="150" t="s">
        <v>723</v>
      </c>
      <c r="D869" s="156"/>
      <c r="E869" s="156"/>
      <c r="F869" s="156"/>
      <c r="G869" s="144"/>
      <c r="H869" s="141"/>
      <c r="I869" s="144" t="s">
        <v>18</v>
      </c>
      <c r="J869" s="153">
        <v>1</v>
      </c>
      <c r="K869" s="145" t="s">
        <v>730</v>
      </c>
      <c r="L869" s="142" t="s">
        <v>191</v>
      </c>
      <c r="M869" s="19"/>
      <c r="N869" s="142" t="s">
        <v>2544</v>
      </c>
      <c r="O869" s="149"/>
      <c r="P869" s="156"/>
      <c r="Q869" s="156"/>
      <c r="R869" s="142" t="s">
        <v>272</v>
      </c>
    </row>
    <row r="870" spans="1:18" ht="35.25" customHeight="1">
      <c r="A870" s="15">
        <f t="shared" si="13"/>
        <v>860</v>
      </c>
      <c r="B870" s="144" t="s">
        <v>1419</v>
      </c>
      <c r="C870" s="150" t="s">
        <v>723</v>
      </c>
      <c r="D870" s="156"/>
      <c r="E870" s="156"/>
      <c r="F870" s="156"/>
      <c r="G870" s="144"/>
      <c r="H870" s="141"/>
      <c r="I870" s="144" t="s">
        <v>18</v>
      </c>
      <c r="J870" s="153">
        <v>1</v>
      </c>
      <c r="K870" s="145" t="s">
        <v>730</v>
      </c>
      <c r="L870" s="142" t="s">
        <v>191</v>
      </c>
      <c r="M870" s="19"/>
      <c r="N870" s="142" t="s">
        <v>2544</v>
      </c>
      <c r="O870" s="149"/>
      <c r="P870" s="156"/>
      <c r="Q870" s="156"/>
      <c r="R870" s="142" t="s">
        <v>272</v>
      </c>
    </row>
    <row r="871" spans="1:18" ht="35.25" customHeight="1">
      <c r="A871" s="15">
        <f t="shared" si="13"/>
        <v>861</v>
      </c>
      <c r="B871" s="144" t="s">
        <v>1420</v>
      </c>
      <c r="C871" s="150" t="s">
        <v>723</v>
      </c>
      <c r="D871" s="156"/>
      <c r="E871" s="156"/>
      <c r="F871" s="156"/>
      <c r="G871" s="144"/>
      <c r="H871" s="141"/>
      <c r="I871" s="144" t="s">
        <v>18</v>
      </c>
      <c r="J871" s="153">
        <v>1</v>
      </c>
      <c r="K871" s="145" t="s">
        <v>730</v>
      </c>
      <c r="L871" s="142" t="s">
        <v>191</v>
      </c>
      <c r="M871" s="19"/>
      <c r="N871" s="142" t="s">
        <v>2544</v>
      </c>
      <c r="O871" s="149"/>
      <c r="P871" s="156"/>
      <c r="Q871" s="156"/>
      <c r="R871" s="142" t="s">
        <v>272</v>
      </c>
    </row>
    <row r="872" spans="1:18" ht="35.25" customHeight="1">
      <c r="A872" s="15">
        <f t="shared" si="13"/>
        <v>862</v>
      </c>
      <c r="B872" s="144" t="s">
        <v>1421</v>
      </c>
      <c r="C872" s="150" t="s">
        <v>723</v>
      </c>
      <c r="D872" s="156"/>
      <c r="E872" s="156"/>
      <c r="F872" s="156"/>
      <c r="G872" s="144"/>
      <c r="H872" s="141"/>
      <c r="I872" s="144" t="s">
        <v>18</v>
      </c>
      <c r="J872" s="153">
        <v>1</v>
      </c>
      <c r="K872" s="145" t="s">
        <v>730</v>
      </c>
      <c r="L872" s="142" t="s">
        <v>191</v>
      </c>
      <c r="M872" s="19"/>
      <c r="N872" s="142" t="s">
        <v>2544</v>
      </c>
      <c r="O872" s="149"/>
      <c r="P872" s="156"/>
      <c r="Q872" s="156"/>
      <c r="R872" s="142" t="s">
        <v>272</v>
      </c>
    </row>
    <row r="873" spans="1:18" ht="35.25" customHeight="1">
      <c r="A873" s="15">
        <f t="shared" si="13"/>
        <v>863</v>
      </c>
      <c r="B873" s="144" t="s">
        <v>1422</v>
      </c>
      <c r="C873" s="150" t="s">
        <v>723</v>
      </c>
      <c r="D873" s="156"/>
      <c r="E873" s="156"/>
      <c r="F873" s="156"/>
      <c r="G873" s="144"/>
      <c r="H873" s="141"/>
      <c r="I873" s="144" t="s">
        <v>18</v>
      </c>
      <c r="J873" s="153">
        <v>1</v>
      </c>
      <c r="K873" s="145" t="s">
        <v>730</v>
      </c>
      <c r="L873" s="142" t="s">
        <v>191</v>
      </c>
      <c r="M873" s="19"/>
      <c r="N873" s="142" t="s">
        <v>2544</v>
      </c>
      <c r="O873" s="149"/>
      <c r="P873" s="156"/>
      <c r="Q873" s="156"/>
      <c r="R873" s="142" t="s">
        <v>272</v>
      </c>
    </row>
    <row r="874" spans="1:18" ht="35.25" customHeight="1">
      <c r="A874" s="15">
        <f t="shared" si="13"/>
        <v>864</v>
      </c>
      <c r="B874" s="144" t="s">
        <v>1423</v>
      </c>
      <c r="C874" s="150" t="s">
        <v>723</v>
      </c>
      <c r="D874" s="156"/>
      <c r="E874" s="156"/>
      <c r="F874" s="156"/>
      <c r="G874" s="144"/>
      <c r="H874" s="141"/>
      <c r="I874" s="144" t="s">
        <v>18</v>
      </c>
      <c r="J874" s="153">
        <v>1</v>
      </c>
      <c r="K874" s="145" t="s">
        <v>730</v>
      </c>
      <c r="L874" s="142" t="s">
        <v>191</v>
      </c>
      <c r="M874" s="19"/>
      <c r="N874" s="142" t="s">
        <v>2544</v>
      </c>
      <c r="O874" s="149"/>
      <c r="P874" s="156"/>
      <c r="Q874" s="156"/>
      <c r="R874" s="142" t="s">
        <v>272</v>
      </c>
    </row>
    <row r="875" spans="1:18" ht="35.25" customHeight="1">
      <c r="A875" s="15">
        <f t="shared" si="13"/>
        <v>865</v>
      </c>
      <c r="B875" s="144" t="s">
        <v>1424</v>
      </c>
      <c r="C875" s="150" t="s">
        <v>723</v>
      </c>
      <c r="D875" s="156"/>
      <c r="E875" s="156"/>
      <c r="F875" s="156"/>
      <c r="G875" s="144"/>
      <c r="H875" s="141"/>
      <c r="I875" s="144" t="s">
        <v>18</v>
      </c>
      <c r="J875" s="153">
        <v>1</v>
      </c>
      <c r="K875" s="145" t="s">
        <v>730</v>
      </c>
      <c r="L875" s="142" t="s">
        <v>191</v>
      </c>
      <c r="M875" s="19"/>
      <c r="N875" s="142" t="s">
        <v>2544</v>
      </c>
      <c r="O875" s="149"/>
      <c r="P875" s="156"/>
      <c r="Q875" s="156"/>
      <c r="R875" s="142" t="s">
        <v>272</v>
      </c>
    </row>
    <row r="876" spans="1:18" ht="35.25" customHeight="1">
      <c r="A876" s="15">
        <f t="shared" si="13"/>
        <v>866</v>
      </c>
      <c r="B876" s="144" t="s">
        <v>1425</v>
      </c>
      <c r="C876" s="150" t="s">
        <v>723</v>
      </c>
      <c r="D876" s="156"/>
      <c r="E876" s="156"/>
      <c r="F876" s="156"/>
      <c r="G876" s="144"/>
      <c r="H876" s="141"/>
      <c r="I876" s="144" t="s">
        <v>18</v>
      </c>
      <c r="J876" s="153">
        <v>1</v>
      </c>
      <c r="K876" s="145" t="s">
        <v>730</v>
      </c>
      <c r="L876" s="142" t="s">
        <v>191</v>
      </c>
      <c r="M876" s="19"/>
      <c r="N876" s="142" t="s">
        <v>2544</v>
      </c>
      <c r="O876" s="149"/>
      <c r="P876" s="156"/>
      <c r="Q876" s="156"/>
      <c r="R876" s="142" t="s">
        <v>272</v>
      </c>
    </row>
    <row r="877" spans="1:18" ht="35.25" customHeight="1">
      <c r="A877" s="15">
        <f t="shared" si="13"/>
        <v>867</v>
      </c>
      <c r="B877" s="144" t="s">
        <v>1426</v>
      </c>
      <c r="C877" s="150" t="s">
        <v>723</v>
      </c>
      <c r="D877" s="156"/>
      <c r="E877" s="156"/>
      <c r="F877" s="156"/>
      <c r="G877" s="144"/>
      <c r="H877" s="141"/>
      <c r="I877" s="144" t="s">
        <v>18</v>
      </c>
      <c r="J877" s="153">
        <v>1</v>
      </c>
      <c r="K877" s="145" t="s">
        <v>730</v>
      </c>
      <c r="L877" s="142" t="s">
        <v>191</v>
      </c>
      <c r="M877" s="19"/>
      <c r="N877" s="142" t="s">
        <v>2544</v>
      </c>
      <c r="O877" s="149"/>
      <c r="P877" s="156"/>
      <c r="Q877" s="156"/>
      <c r="R877" s="142" t="s">
        <v>272</v>
      </c>
    </row>
    <row r="878" spans="1:18" ht="35.25" customHeight="1">
      <c r="A878" s="15">
        <f t="shared" si="13"/>
        <v>868</v>
      </c>
      <c r="B878" s="144" t="s">
        <v>1427</v>
      </c>
      <c r="C878" s="150" t="s">
        <v>723</v>
      </c>
      <c r="D878" s="156"/>
      <c r="E878" s="156"/>
      <c r="F878" s="156"/>
      <c r="G878" s="144"/>
      <c r="H878" s="141"/>
      <c r="I878" s="144" t="s">
        <v>18</v>
      </c>
      <c r="J878" s="153">
        <v>1</v>
      </c>
      <c r="K878" s="145" t="s">
        <v>730</v>
      </c>
      <c r="L878" s="142" t="s">
        <v>191</v>
      </c>
      <c r="M878" s="19"/>
      <c r="N878" s="142" t="s">
        <v>2544</v>
      </c>
      <c r="O878" s="149"/>
      <c r="P878" s="156"/>
      <c r="Q878" s="156"/>
      <c r="R878" s="142" t="s">
        <v>272</v>
      </c>
    </row>
    <row r="879" spans="1:18" ht="35.25" customHeight="1">
      <c r="A879" s="15">
        <f t="shared" si="13"/>
        <v>869</v>
      </c>
      <c r="B879" s="144" t="s">
        <v>1428</v>
      </c>
      <c r="C879" s="150" t="s">
        <v>723</v>
      </c>
      <c r="D879" s="156"/>
      <c r="E879" s="156"/>
      <c r="F879" s="156"/>
      <c r="G879" s="144"/>
      <c r="H879" s="141"/>
      <c r="I879" s="144" t="s">
        <v>18</v>
      </c>
      <c r="J879" s="153">
        <v>1</v>
      </c>
      <c r="K879" s="145" t="s">
        <v>730</v>
      </c>
      <c r="L879" s="142" t="s">
        <v>191</v>
      </c>
      <c r="M879" s="19"/>
      <c r="N879" s="142" t="s">
        <v>2544</v>
      </c>
      <c r="O879" s="149"/>
      <c r="P879" s="156"/>
      <c r="Q879" s="156"/>
      <c r="R879" s="142" t="s">
        <v>272</v>
      </c>
    </row>
    <row r="880" spans="1:18" ht="35.25" customHeight="1">
      <c r="A880" s="15">
        <f t="shared" si="13"/>
        <v>870</v>
      </c>
      <c r="B880" s="144" t="s">
        <v>1429</v>
      </c>
      <c r="C880" s="150" t="s">
        <v>723</v>
      </c>
      <c r="D880" s="156"/>
      <c r="E880" s="156"/>
      <c r="F880" s="156"/>
      <c r="G880" s="144"/>
      <c r="H880" s="141"/>
      <c r="I880" s="144" t="s">
        <v>18</v>
      </c>
      <c r="J880" s="153">
        <v>1</v>
      </c>
      <c r="K880" s="145" t="s">
        <v>730</v>
      </c>
      <c r="L880" s="142" t="s">
        <v>191</v>
      </c>
      <c r="M880" s="19"/>
      <c r="N880" s="142" t="s">
        <v>2544</v>
      </c>
      <c r="O880" s="149"/>
      <c r="P880" s="156"/>
      <c r="Q880" s="156"/>
      <c r="R880" s="142" t="s">
        <v>272</v>
      </c>
    </row>
    <row r="881" spans="1:18" ht="35.25" customHeight="1">
      <c r="A881" s="15">
        <f t="shared" si="13"/>
        <v>871</v>
      </c>
      <c r="B881" s="144" t="s">
        <v>1430</v>
      </c>
      <c r="C881" s="150" t="s">
        <v>723</v>
      </c>
      <c r="D881" s="156"/>
      <c r="E881" s="156"/>
      <c r="F881" s="156"/>
      <c r="G881" s="144"/>
      <c r="H881" s="141"/>
      <c r="I881" s="144" t="s">
        <v>18</v>
      </c>
      <c r="J881" s="153">
        <v>1</v>
      </c>
      <c r="K881" s="145" t="s">
        <v>730</v>
      </c>
      <c r="L881" s="142" t="s">
        <v>191</v>
      </c>
      <c r="M881" s="19"/>
      <c r="N881" s="142" t="s">
        <v>2544</v>
      </c>
      <c r="O881" s="149"/>
      <c r="P881" s="156"/>
      <c r="Q881" s="156"/>
      <c r="R881" s="142" t="s">
        <v>272</v>
      </c>
    </row>
    <row r="882" spans="1:18" ht="35.25" customHeight="1">
      <c r="A882" s="15">
        <f t="shared" si="13"/>
        <v>872</v>
      </c>
      <c r="B882" s="144" t="s">
        <v>1431</v>
      </c>
      <c r="C882" s="150" t="s">
        <v>723</v>
      </c>
      <c r="D882" s="156"/>
      <c r="E882" s="156"/>
      <c r="F882" s="156"/>
      <c r="G882" s="144"/>
      <c r="H882" s="141"/>
      <c r="I882" s="144" t="s">
        <v>18</v>
      </c>
      <c r="J882" s="153">
        <v>1</v>
      </c>
      <c r="K882" s="145" t="s">
        <v>730</v>
      </c>
      <c r="L882" s="142" t="s">
        <v>191</v>
      </c>
      <c r="M882" s="19"/>
      <c r="N882" s="142" t="s">
        <v>2544</v>
      </c>
      <c r="O882" s="149"/>
      <c r="P882" s="156"/>
      <c r="Q882" s="156"/>
      <c r="R882" s="142" t="s">
        <v>272</v>
      </c>
    </row>
    <row r="883" spans="1:18" ht="35.25" customHeight="1">
      <c r="A883" s="15">
        <f t="shared" si="13"/>
        <v>873</v>
      </c>
      <c r="B883" s="144" t="s">
        <v>1432</v>
      </c>
      <c r="C883" s="150" t="s">
        <v>723</v>
      </c>
      <c r="D883" s="156"/>
      <c r="E883" s="156"/>
      <c r="F883" s="156"/>
      <c r="G883" s="144"/>
      <c r="H883" s="141"/>
      <c r="I883" s="144" t="s">
        <v>18</v>
      </c>
      <c r="J883" s="153">
        <v>1</v>
      </c>
      <c r="K883" s="145" t="s">
        <v>730</v>
      </c>
      <c r="L883" s="142" t="s">
        <v>191</v>
      </c>
      <c r="M883" s="19"/>
      <c r="N883" s="142" t="s">
        <v>2544</v>
      </c>
      <c r="O883" s="149"/>
      <c r="P883" s="156"/>
      <c r="Q883" s="156"/>
      <c r="R883" s="142" t="s">
        <v>272</v>
      </c>
    </row>
    <row r="884" spans="1:18" ht="35.25" customHeight="1">
      <c r="A884" s="15">
        <f t="shared" si="13"/>
        <v>874</v>
      </c>
      <c r="B884" s="144" t="s">
        <v>1433</v>
      </c>
      <c r="C884" s="150" t="s">
        <v>723</v>
      </c>
      <c r="D884" s="156"/>
      <c r="E884" s="156"/>
      <c r="F884" s="156"/>
      <c r="G884" s="144"/>
      <c r="H884" s="141"/>
      <c r="I884" s="144" t="s">
        <v>18</v>
      </c>
      <c r="J884" s="153">
        <v>1</v>
      </c>
      <c r="K884" s="145" t="s">
        <v>730</v>
      </c>
      <c r="L884" s="142" t="s">
        <v>191</v>
      </c>
      <c r="M884" s="19"/>
      <c r="N884" s="142" t="s">
        <v>2544</v>
      </c>
      <c r="O884" s="149"/>
      <c r="P884" s="156"/>
      <c r="Q884" s="156"/>
      <c r="R884" s="142" t="s">
        <v>272</v>
      </c>
    </row>
    <row r="885" spans="1:18" ht="35.25" customHeight="1">
      <c r="A885" s="15">
        <f t="shared" si="13"/>
        <v>875</v>
      </c>
      <c r="B885" s="144" t="s">
        <v>1434</v>
      </c>
      <c r="C885" s="150" t="s">
        <v>723</v>
      </c>
      <c r="D885" s="156"/>
      <c r="E885" s="156"/>
      <c r="F885" s="156"/>
      <c r="G885" s="144"/>
      <c r="H885" s="141"/>
      <c r="I885" s="144" t="s">
        <v>18</v>
      </c>
      <c r="J885" s="153">
        <v>1</v>
      </c>
      <c r="K885" s="145" t="s">
        <v>730</v>
      </c>
      <c r="L885" s="142" t="s">
        <v>191</v>
      </c>
      <c r="M885" s="19"/>
      <c r="N885" s="142" t="s">
        <v>2544</v>
      </c>
      <c r="O885" s="149"/>
      <c r="P885" s="156"/>
      <c r="Q885" s="156"/>
      <c r="R885" s="142" t="s">
        <v>272</v>
      </c>
    </row>
    <row r="886" spans="1:18" ht="35.25" customHeight="1">
      <c r="A886" s="15">
        <f t="shared" si="13"/>
        <v>876</v>
      </c>
      <c r="B886" s="144" t="s">
        <v>1435</v>
      </c>
      <c r="C886" s="150" t="s">
        <v>723</v>
      </c>
      <c r="D886" s="156"/>
      <c r="E886" s="156"/>
      <c r="F886" s="156"/>
      <c r="G886" s="144"/>
      <c r="H886" s="141"/>
      <c r="I886" s="144" t="s">
        <v>18</v>
      </c>
      <c r="J886" s="153">
        <v>1</v>
      </c>
      <c r="K886" s="145" t="s">
        <v>730</v>
      </c>
      <c r="L886" s="142" t="s">
        <v>191</v>
      </c>
      <c r="M886" s="19"/>
      <c r="N886" s="142" t="s">
        <v>2544</v>
      </c>
      <c r="O886" s="149"/>
      <c r="P886" s="156"/>
      <c r="Q886" s="156"/>
      <c r="R886" s="142" t="s">
        <v>272</v>
      </c>
    </row>
    <row r="887" spans="1:18" ht="35.25" customHeight="1">
      <c r="A887" s="15">
        <f t="shared" si="13"/>
        <v>877</v>
      </c>
      <c r="B887" s="144" t="s">
        <v>1436</v>
      </c>
      <c r="C887" s="150" t="s">
        <v>723</v>
      </c>
      <c r="D887" s="156"/>
      <c r="E887" s="156"/>
      <c r="F887" s="156"/>
      <c r="G887" s="144"/>
      <c r="H887" s="141"/>
      <c r="I887" s="144" t="s">
        <v>18</v>
      </c>
      <c r="J887" s="153">
        <v>1</v>
      </c>
      <c r="K887" s="145" t="s">
        <v>730</v>
      </c>
      <c r="L887" s="142" t="s">
        <v>191</v>
      </c>
      <c r="M887" s="19"/>
      <c r="N887" s="142" t="s">
        <v>2544</v>
      </c>
      <c r="O887" s="149"/>
      <c r="P887" s="156"/>
      <c r="Q887" s="156"/>
      <c r="R887" s="142" t="s">
        <v>272</v>
      </c>
    </row>
    <row r="888" spans="1:18" ht="35.25" customHeight="1">
      <c r="A888" s="15">
        <f t="shared" si="13"/>
        <v>878</v>
      </c>
      <c r="B888" s="144" t="s">
        <v>1437</v>
      </c>
      <c r="C888" s="150" t="s">
        <v>723</v>
      </c>
      <c r="D888" s="156"/>
      <c r="E888" s="156"/>
      <c r="F888" s="156"/>
      <c r="G888" s="144"/>
      <c r="H888" s="141"/>
      <c r="I888" s="144" t="s">
        <v>18</v>
      </c>
      <c r="J888" s="153">
        <v>1</v>
      </c>
      <c r="K888" s="145" t="s">
        <v>730</v>
      </c>
      <c r="L888" s="142" t="s">
        <v>191</v>
      </c>
      <c r="M888" s="19"/>
      <c r="N888" s="142" t="s">
        <v>2544</v>
      </c>
      <c r="O888" s="149"/>
      <c r="P888" s="156"/>
      <c r="Q888" s="156"/>
      <c r="R888" s="142" t="s">
        <v>272</v>
      </c>
    </row>
    <row r="889" spans="1:18" ht="35.25" customHeight="1">
      <c r="A889" s="15">
        <f t="shared" si="13"/>
        <v>879</v>
      </c>
      <c r="B889" s="144" t="s">
        <v>1438</v>
      </c>
      <c r="C889" s="150" t="s">
        <v>723</v>
      </c>
      <c r="D889" s="156"/>
      <c r="E889" s="156"/>
      <c r="F889" s="156"/>
      <c r="G889" s="144"/>
      <c r="H889" s="141"/>
      <c r="I889" s="144" t="s">
        <v>18</v>
      </c>
      <c r="J889" s="153">
        <v>1</v>
      </c>
      <c r="K889" s="145" t="s">
        <v>730</v>
      </c>
      <c r="L889" s="142" t="s">
        <v>191</v>
      </c>
      <c r="M889" s="19"/>
      <c r="N889" s="142" t="s">
        <v>2544</v>
      </c>
      <c r="O889" s="149"/>
      <c r="P889" s="156"/>
      <c r="Q889" s="156"/>
      <c r="R889" s="142" t="s">
        <v>272</v>
      </c>
    </row>
    <row r="890" spans="1:18" ht="35.25" customHeight="1">
      <c r="A890" s="15">
        <f t="shared" si="13"/>
        <v>880</v>
      </c>
      <c r="B890" s="144" t="s">
        <v>1439</v>
      </c>
      <c r="C890" s="150" t="s">
        <v>723</v>
      </c>
      <c r="D890" s="156"/>
      <c r="E890" s="156"/>
      <c r="F890" s="156"/>
      <c r="G890" s="144"/>
      <c r="H890" s="141"/>
      <c r="I890" s="144" t="s">
        <v>18</v>
      </c>
      <c r="J890" s="153">
        <v>1</v>
      </c>
      <c r="K890" s="145" t="s">
        <v>730</v>
      </c>
      <c r="L890" s="142" t="s">
        <v>191</v>
      </c>
      <c r="M890" s="19"/>
      <c r="N890" s="142" t="s">
        <v>2544</v>
      </c>
      <c r="O890" s="149"/>
      <c r="P890" s="156"/>
      <c r="Q890" s="156"/>
      <c r="R890" s="142" t="s">
        <v>272</v>
      </c>
    </row>
    <row r="891" spans="1:18" ht="35.25" customHeight="1">
      <c r="A891" s="15">
        <f t="shared" si="13"/>
        <v>881</v>
      </c>
      <c r="B891" s="144" t="s">
        <v>1440</v>
      </c>
      <c r="C891" s="150" t="s">
        <v>723</v>
      </c>
      <c r="D891" s="156"/>
      <c r="E891" s="156"/>
      <c r="F891" s="156"/>
      <c r="G891" s="144"/>
      <c r="H891" s="141"/>
      <c r="I891" s="144" t="s">
        <v>18</v>
      </c>
      <c r="J891" s="153">
        <v>1</v>
      </c>
      <c r="K891" s="145" t="s">
        <v>730</v>
      </c>
      <c r="L891" s="142" t="s">
        <v>191</v>
      </c>
      <c r="M891" s="19"/>
      <c r="N891" s="142" t="s">
        <v>2544</v>
      </c>
      <c r="O891" s="149"/>
      <c r="P891" s="156"/>
      <c r="Q891" s="156"/>
      <c r="R891" s="142" t="s">
        <v>272</v>
      </c>
    </row>
    <row r="892" spans="1:18" ht="35.25" customHeight="1">
      <c r="A892" s="15">
        <f t="shared" si="13"/>
        <v>882</v>
      </c>
      <c r="B892" s="144" t="s">
        <v>1441</v>
      </c>
      <c r="C892" s="150" t="s">
        <v>723</v>
      </c>
      <c r="D892" s="156"/>
      <c r="E892" s="156"/>
      <c r="F892" s="156"/>
      <c r="G892" s="144"/>
      <c r="H892" s="141"/>
      <c r="I892" s="144" t="s">
        <v>18</v>
      </c>
      <c r="J892" s="153">
        <v>1</v>
      </c>
      <c r="K892" s="145" t="s">
        <v>730</v>
      </c>
      <c r="L892" s="142" t="s">
        <v>191</v>
      </c>
      <c r="M892" s="19"/>
      <c r="N892" s="142" t="s">
        <v>2544</v>
      </c>
      <c r="O892" s="149"/>
      <c r="P892" s="156"/>
      <c r="Q892" s="156"/>
      <c r="R892" s="142" t="s">
        <v>272</v>
      </c>
    </row>
    <row r="893" spans="1:18" ht="35.25" customHeight="1">
      <c r="A893" s="15">
        <f t="shared" si="13"/>
        <v>883</v>
      </c>
      <c r="B893" s="144" t="s">
        <v>1442</v>
      </c>
      <c r="C893" s="150" t="s">
        <v>723</v>
      </c>
      <c r="D893" s="156"/>
      <c r="E893" s="156"/>
      <c r="F893" s="156"/>
      <c r="G893" s="144"/>
      <c r="H893" s="141"/>
      <c r="I893" s="144" t="s">
        <v>18</v>
      </c>
      <c r="J893" s="153">
        <v>1</v>
      </c>
      <c r="K893" s="145" t="s">
        <v>730</v>
      </c>
      <c r="L893" s="142" t="s">
        <v>191</v>
      </c>
      <c r="M893" s="19"/>
      <c r="N893" s="142" t="s">
        <v>2544</v>
      </c>
      <c r="O893" s="149"/>
      <c r="P893" s="156"/>
      <c r="Q893" s="156"/>
      <c r="R893" s="142" t="s">
        <v>272</v>
      </c>
    </row>
    <row r="894" spans="1:18" ht="35.25" customHeight="1">
      <c r="A894" s="15">
        <f t="shared" si="13"/>
        <v>884</v>
      </c>
      <c r="B894" s="144" t="s">
        <v>1443</v>
      </c>
      <c r="C894" s="150" t="s">
        <v>723</v>
      </c>
      <c r="D894" s="156"/>
      <c r="E894" s="156"/>
      <c r="F894" s="156"/>
      <c r="G894" s="144"/>
      <c r="H894" s="141"/>
      <c r="I894" s="144" t="s">
        <v>18</v>
      </c>
      <c r="J894" s="153">
        <v>1</v>
      </c>
      <c r="K894" s="145" t="s">
        <v>730</v>
      </c>
      <c r="L894" s="142" t="s">
        <v>191</v>
      </c>
      <c r="M894" s="19"/>
      <c r="N894" s="142" t="s">
        <v>2544</v>
      </c>
      <c r="O894" s="149"/>
      <c r="P894" s="156"/>
      <c r="Q894" s="156"/>
      <c r="R894" s="142" t="s">
        <v>272</v>
      </c>
    </row>
    <row r="895" spans="1:18" ht="35.25" customHeight="1">
      <c r="A895" s="15">
        <f t="shared" si="13"/>
        <v>885</v>
      </c>
      <c r="B895" s="144" t="s">
        <v>1444</v>
      </c>
      <c r="C895" s="150" t="s">
        <v>723</v>
      </c>
      <c r="D895" s="156"/>
      <c r="E895" s="156"/>
      <c r="F895" s="156"/>
      <c r="G895" s="144"/>
      <c r="H895" s="141"/>
      <c r="I895" s="144" t="s">
        <v>18</v>
      </c>
      <c r="J895" s="153">
        <v>1</v>
      </c>
      <c r="K895" s="145" t="s">
        <v>730</v>
      </c>
      <c r="L895" s="142" t="s">
        <v>191</v>
      </c>
      <c r="M895" s="19"/>
      <c r="N895" s="142" t="s">
        <v>2544</v>
      </c>
      <c r="O895" s="149"/>
      <c r="P895" s="156"/>
      <c r="Q895" s="156"/>
      <c r="R895" s="142" t="s">
        <v>272</v>
      </c>
    </row>
    <row r="896" spans="1:18" ht="35.25" customHeight="1">
      <c r="A896" s="15">
        <f t="shared" si="13"/>
        <v>886</v>
      </c>
      <c r="B896" s="144" t="s">
        <v>1445</v>
      </c>
      <c r="C896" s="150" t="s">
        <v>723</v>
      </c>
      <c r="D896" s="156"/>
      <c r="E896" s="156"/>
      <c r="F896" s="156"/>
      <c r="G896" s="144"/>
      <c r="H896" s="141"/>
      <c r="I896" s="144" t="s">
        <v>18</v>
      </c>
      <c r="J896" s="153">
        <v>1</v>
      </c>
      <c r="K896" s="145" t="s">
        <v>730</v>
      </c>
      <c r="L896" s="142" t="s">
        <v>191</v>
      </c>
      <c r="M896" s="19"/>
      <c r="N896" s="142" t="s">
        <v>2544</v>
      </c>
      <c r="O896" s="149"/>
      <c r="P896" s="156"/>
      <c r="Q896" s="156"/>
      <c r="R896" s="142" t="s">
        <v>272</v>
      </c>
    </row>
    <row r="897" spans="1:18" ht="35.25" customHeight="1">
      <c r="A897" s="15">
        <f t="shared" si="13"/>
        <v>887</v>
      </c>
      <c r="B897" s="144" t="s">
        <v>1446</v>
      </c>
      <c r="C897" s="150" t="s">
        <v>723</v>
      </c>
      <c r="D897" s="156"/>
      <c r="E897" s="156"/>
      <c r="F897" s="156"/>
      <c r="G897" s="144"/>
      <c r="H897" s="141"/>
      <c r="I897" s="144" t="s">
        <v>18</v>
      </c>
      <c r="J897" s="153">
        <v>1</v>
      </c>
      <c r="K897" s="145" t="s">
        <v>730</v>
      </c>
      <c r="L897" s="142" t="s">
        <v>191</v>
      </c>
      <c r="M897" s="19"/>
      <c r="N897" s="142" t="s">
        <v>2544</v>
      </c>
      <c r="O897" s="149"/>
      <c r="P897" s="156"/>
      <c r="Q897" s="156"/>
      <c r="R897" s="142" t="s">
        <v>272</v>
      </c>
    </row>
    <row r="898" spans="1:18" ht="35.25" customHeight="1">
      <c r="A898" s="15">
        <f t="shared" si="13"/>
        <v>888</v>
      </c>
      <c r="B898" s="144" t="s">
        <v>1447</v>
      </c>
      <c r="C898" s="150" t="s">
        <v>723</v>
      </c>
      <c r="D898" s="156"/>
      <c r="E898" s="156"/>
      <c r="F898" s="156"/>
      <c r="G898" s="144"/>
      <c r="H898" s="141"/>
      <c r="I898" s="144" t="s">
        <v>18</v>
      </c>
      <c r="J898" s="153">
        <v>1</v>
      </c>
      <c r="K898" s="145" t="s">
        <v>730</v>
      </c>
      <c r="L898" s="142" t="s">
        <v>191</v>
      </c>
      <c r="M898" s="19"/>
      <c r="N898" s="142" t="s">
        <v>2544</v>
      </c>
      <c r="O898" s="149"/>
      <c r="P898" s="156"/>
      <c r="Q898" s="156"/>
      <c r="R898" s="142" t="s">
        <v>272</v>
      </c>
    </row>
    <row r="899" spans="1:18" ht="35.25" customHeight="1">
      <c r="A899" s="15">
        <f t="shared" si="13"/>
        <v>889</v>
      </c>
      <c r="B899" s="144" t="s">
        <v>1448</v>
      </c>
      <c r="C899" s="150" t="s">
        <v>723</v>
      </c>
      <c r="D899" s="156"/>
      <c r="E899" s="156"/>
      <c r="F899" s="156"/>
      <c r="G899" s="144"/>
      <c r="H899" s="141"/>
      <c r="I899" s="144" t="s">
        <v>18</v>
      </c>
      <c r="J899" s="153">
        <v>1</v>
      </c>
      <c r="K899" s="145" t="s">
        <v>730</v>
      </c>
      <c r="L899" s="142" t="s">
        <v>191</v>
      </c>
      <c r="M899" s="19"/>
      <c r="N899" s="142" t="s">
        <v>2544</v>
      </c>
      <c r="O899" s="149"/>
      <c r="P899" s="156"/>
      <c r="Q899" s="156"/>
      <c r="R899" s="142" t="s">
        <v>272</v>
      </c>
    </row>
    <row r="900" spans="1:18" ht="35.25" customHeight="1">
      <c r="A900" s="15">
        <f t="shared" si="13"/>
        <v>890</v>
      </c>
      <c r="B900" s="144" t="s">
        <v>1449</v>
      </c>
      <c r="C900" s="150" t="s">
        <v>723</v>
      </c>
      <c r="D900" s="156"/>
      <c r="E900" s="156"/>
      <c r="F900" s="156"/>
      <c r="G900" s="144"/>
      <c r="H900" s="141"/>
      <c r="I900" s="144" t="s">
        <v>18</v>
      </c>
      <c r="J900" s="153">
        <v>1</v>
      </c>
      <c r="K900" s="145" t="s">
        <v>730</v>
      </c>
      <c r="L900" s="142" t="s">
        <v>191</v>
      </c>
      <c r="M900" s="19"/>
      <c r="N900" s="142" t="s">
        <v>2544</v>
      </c>
      <c r="O900" s="149"/>
      <c r="P900" s="156"/>
      <c r="Q900" s="156"/>
      <c r="R900" s="142" t="s">
        <v>272</v>
      </c>
    </row>
    <row r="901" spans="1:18" ht="35.25" customHeight="1">
      <c r="A901" s="15">
        <f t="shared" si="13"/>
        <v>891</v>
      </c>
      <c r="B901" s="144" t="s">
        <v>1450</v>
      </c>
      <c r="C901" s="150" t="s">
        <v>723</v>
      </c>
      <c r="D901" s="156"/>
      <c r="E901" s="156"/>
      <c r="F901" s="156"/>
      <c r="G901" s="144"/>
      <c r="H901" s="141"/>
      <c r="I901" s="144" t="s">
        <v>18</v>
      </c>
      <c r="J901" s="153">
        <v>1</v>
      </c>
      <c r="K901" s="145" t="s">
        <v>730</v>
      </c>
      <c r="L901" s="142" t="s">
        <v>191</v>
      </c>
      <c r="M901" s="19"/>
      <c r="N901" s="142" t="s">
        <v>2544</v>
      </c>
      <c r="O901" s="149"/>
      <c r="P901" s="156"/>
      <c r="Q901" s="156"/>
      <c r="R901" s="142" t="s">
        <v>272</v>
      </c>
    </row>
    <row r="902" spans="1:18" ht="35.25" customHeight="1">
      <c r="A902" s="15">
        <f t="shared" si="13"/>
        <v>892</v>
      </c>
      <c r="B902" s="144" t="s">
        <v>1451</v>
      </c>
      <c r="C902" s="150" t="s">
        <v>723</v>
      </c>
      <c r="D902" s="156"/>
      <c r="E902" s="156"/>
      <c r="F902" s="156"/>
      <c r="G902" s="144"/>
      <c r="H902" s="141"/>
      <c r="I902" s="144" t="s">
        <v>18</v>
      </c>
      <c r="J902" s="153">
        <v>1</v>
      </c>
      <c r="K902" s="145" t="s">
        <v>730</v>
      </c>
      <c r="L902" s="142" t="s">
        <v>191</v>
      </c>
      <c r="M902" s="19"/>
      <c r="N902" s="142" t="s">
        <v>2544</v>
      </c>
      <c r="O902" s="149"/>
      <c r="P902" s="156"/>
      <c r="Q902" s="156"/>
      <c r="R902" s="142" t="s">
        <v>272</v>
      </c>
    </row>
    <row r="903" spans="1:18" ht="35.25" customHeight="1">
      <c r="A903" s="15">
        <f t="shared" si="13"/>
        <v>893</v>
      </c>
      <c r="B903" s="144" t="s">
        <v>1452</v>
      </c>
      <c r="C903" s="150" t="s">
        <v>723</v>
      </c>
      <c r="D903" s="156"/>
      <c r="E903" s="156"/>
      <c r="F903" s="156"/>
      <c r="G903" s="144"/>
      <c r="H903" s="141"/>
      <c r="I903" s="144" t="s">
        <v>18</v>
      </c>
      <c r="J903" s="153">
        <v>1</v>
      </c>
      <c r="K903" s="145" t="s">
        <v>730</v>
      </c>
      <c r="L903" s="142" t="s">
        <v>191</v>
      </c>
      <c r="M903" s="19"/>
      <c r="N903" s="142" t="s">
        <v>2544</v>
      </c>
      <c r="O903" s="149"/>
      <c r="P903" s="156"/>
      <c r="Q903" s="156"/>
      <c r="R903" s="142" t="s">
        <v>272</v>
      </c>
    </row>
    <row r="904" spans="1:18" ht="35.25" customHeight="1">
      <c r="A904" s="15">
        <f t="shared" si="13"/>
        <v>894</v>
      </c>
      <c r="B904" s="144" t="s">
        <v>1453</v>
      </c>
      <c r="C904" s="150" t="s">
        <v>723</v>
      </c>
      <c r="D904" s="156"/>
      <c r="E904" s="156"/>
      <c r="F904" s="156"/>
      <c r="G904" s="144"/>
      <c r="H904" s="141"/>
      <c r="I904" s="144" t="s">
        <v>18</v>
      </c>
      <c r="J904" s="153">
        <v>1</v>
      </c>
      <c r="K904" s="145" t="s">
        <v>730</v>
      </c>
      <c r="L904" s="142" t="s">
        <v>191</v>
      </c>
      <c r="M904" s="19"/>
      <c r="N904" s="142" t="s">
        <v>2544</v>
      </c>
      <c r="O904" s="149"/>
      <c r="P904" s="156"/>
      <c r="Q904" s="156"/>
      <c r="R904" s="142" t="s">
        <v>272</v>
      </c>
    </row>
    <row r="905" spans="1:18" ht="35.25" customHeight="1">
      <c r="A905" s="15">
        <f t="shared" si="13"/>
        <v>895</v>
      </c>
      <c r="B905" s="144" t="s">
        <v>1454</v>
      </c>
      <c r="C905" s="150" t="s">
        <v>723</v>
      </c>
      <c r="D905" s="156"/>
      <c r="E905" s="156"/>
      <c r="F905" s="156"/>
      <c r="G905" s="144"/>
      <c r="H905" s="141"/>
      <c r="I905" s="144" t="s">
        <v>18</v>
      </c>
      <c r="J905" s="153">
        <v>1</v>
      </c>
      <c r="K905" s="145" t="s">
        <v>730</v>
      </c>
      <c r="L905" s="142" t="s">
        <v>191</v>
      </c>
      <c r="M905" s="19"/>
      <c r="N905" s="142" t="s">
        <v>2544</v>
      </c>
      <c r="O905" s="149"/>
      <c r="P905" s="156"/>
      <c r="Q905" s="156"/>
      <c r="R905" s="142" t="s">
        <v>272</v>
      </c>
    </row>
    <row r="906" spans="1:18" ht="35.25" customHeight="1">
      <c r="A906" s="15">
        <f t="shared" si="13"/>
        <v>896</v>
      </c>
      <c r="B906" s="144" t="s">
        <v>1455</v>
      </c>
      <c r="C906" s="150" t="s">
        <v>723</v>
      </c>
      <c r="D906" s="156"/>
      <c r="E906" s="156"/>
      <c r="F906" s="156"/>
      <c r="G906" s="144"/>
      <c r="H906" s="141"/>
      <c r="I906" s="144" t="s">
        <v>18</v>
      </c>
      <c r="J906" s="153">
        <v>1</v>
      </c>
      <c r="K906" s="145" t="s">
        <v>730</v>
      </c>
      <c r="L906" s="142" t="s">
        <v>191</v>
      </c>
      <c r="M906" s="19"/>
      <c r="N906" s="142" t="s">
        <v>2544</v>
      </c>
      <c r="O906" s="149"/>
      <c r="P906" s="156"/>
      <c r="Q906" s="156"/>
      <c r="R906" s="142" t="s">
        <v>272</v>
      </c>
    </row>
    <row r="907" spans="1:18" ht="35.25" customHeight="1">
      <c r="A907" s="15">
        <f t="shared" si="13"/>
        <v>897</v>
      </c>
      <c r="B907" s="144" t="s">
        <v>1456</v>
      </c>
      <c r="C907" s="150" t="s">
        <v>723</v>
      </c>
      <c r="D907" s="156"/>
      <c r="E907" s="156"/>
      <c r="F907" s="156"/>
      <c r="G907" s="144"/>
      <c r="H907" s="141"/>
      <c r="I907" s="144" t="s">
        <v>18</v>
      </c>
      <c r="J907" s="153">
        <v>1</v>
      </c>
      <c r="K907" s="145" t="s">
        <v>730</v>
      </c>
      <c r="L907" s="142" t="s">
        <v>191</v>
      </c>
      <c r="M907" s="19"/>
      <c r="N907" s="142" t="s">
        <v>2544</v>
      </c>
      <c r="O907" s="149"/>
      <c r="P907" s="156"/>
      <c r="Q907" s="156"/>
      <c r="R907" s="142" t="s">
        <v>272</v>
      </c>
    </row>
    <row r="908" spans="1:18" ht="35.25" customHeight="1">
      <c r="A908" s="15">
        <f t="shared" si="13"/>
        <v>898</v>
      </c>
      <c r="B908" s="144" t="s">
        <v>1457</v>
      </c>
      <c r="C908" s="150" t="s">
        <v>723</v>
      </c>
      <c r="D908" s="156"/>
      <c r="E908" s="156"/>
      <c r="F908" s="156"/>
      <c r="G908" s="144"/>
      <c r="H908" s="141"/>
      <c r="I908" s="144" t="s">
        <v>18</v>
      </c>
      <c r="J908" s="153">
        <v>1</v>
      </c>
      <c r="K908" s="145" t="s">
        <v>730</v>
      </c>
      <c r="L908" s="142" t="s">
        <v>191</v>
      </c>
      <c r="M908" s="19"/>
      <c r="N908" s="142" t="s">
        <v>2544</v>
      </c>
      <c r="O908" s="149"/>
      <c r="P908" s="156"/>
      <c r="Q908" s="156"/>
      <c r="R908" s="142" t="s">
        <v>272</v>
      </c>
    </row>
    <row r="909" spans="1:18" ht="35.25" customHeight="1">
      <c r="A909" s="15">
        <f t="shared" si="13"/>
        <v>899</v>
      </c>
      <c r="B909" s="144" t="s">
        <v>1458</v>
      </c>
      <c r="C909" s="150" t="s">
        <v>723</v>
      </c>
      <c r="D909" s="156"/>
      <c r="E909" s="156"/>
      <c r="F909" s="156"/>
      <c r="G909" s="144"/>
      <c r="H909" s="141"/>
      <c r="I909" s="144" t="s">
        <v>18</v>
      </c>
      <c r="J909" s="153">
        <v>1</v>
      </c>
      <c r="K909" s="145" t="s">
        <v>730</v>
      </c>
      <c r="L909" s="142" t="s">
        <v>191</v>
      </c>
      <c r="M909" s="19"/>
      <c r="N909" s="142" t="s">
        <v>2544</v>
      </c>
      <c r="O909" s="149"/>
      <c r="P909" s="156"/>
      <c r="Q909" s="156"/>
      <c r="R909" s="142" t="s">
        <v>272</v>
      </c>
    </row>
    <row r="910" spans="1:18" ht="35.25" customHeight="1">
      <c r="A910" s="15">
        <f t="shared" si="13"/>
        <v>900</v>
      </c>
      <c r="B910" s="144" t="s">
        <v>1459</v>
      </c>
      <c r="C910" s="150" t="s">
        <v>723</v>
      </c>
      <c r="D910" s="156"/>
      <c r="E910" s="156"/>
      <c r="F910" s="156"/>
      <c r="G910" s="144"/>
      <c r="H910" s="141"/>
      <c r="I910" s="144" t="s">
        <v>18</v>
      </c>
      <c r="J910" s="153">
        <v>1</v>
      </c>
      <c r="K910" s="145" t="s">
        <v>730</v>
      </c>
      <c r="L910" s="142" t="s">
        <v>191</v>
      </c>
      <c r="M910" s="19"/>
      <c r="N910" s="142" t="s">
        <v>2544</v>
      </c>
      <c r="O910" s="149"/>
      <c r="P910" s="156"/>
      <c r="Q910" s="156"/>
      <c r="R910" s="142" t="s">
        <v>272</v>
      </c>
    </row>
    <row r="911" spans="1:18" ht="35.25" customHeight="1">
      <c r="A911" s="15">
        <f t="shared" si="13"/>
        <v>901</v>
      </c>
      <c r="B911" s="144" t="s">
        <v>1460</v>
      </c>
      <c r="C911" s="150" t="s">
        <v>723</v>
      </c>
      <c r="D911" s="156"/>
      <c r="E911" s="156"/>
      <c r="F911" s="156"/>
      <c r="G911" s="144"/>
      <c r="H911" s="141"/>
      <c r="I911" s="144" t="s">
        <v>18</v>
      </c>
      <c r="J911" s="153">
        <v>1</v>
      </c>
      <c r="K911" s="145" t="s">
        <v>730</v>
      </c>
      <c r="L911" s="142" t="s">
        <v>191</v>
      </c>
      <c r="M911" s="19"/>
      <c r="N911" s="142" t="s">
        <v>2544</v>
      </c>
      <c r="O911" s="149"/>
      <c r="P911" s="156"/>
      <c r="Q911" s="156"/>
      <c r="R911" s="142" t="s">
        <v>272</v>
      </c>
    </row>
    <row r="912" spans="1:18" ht="35.25" customHeight="1">
      <c r="A912" s="15">
        <f t="shared" si="13"/>
        <v>902</v>
      </c>
      <c r="B912" s="144" t="s">
        <v>1461</v>
      </c>
      <c r="C912" s="150" t="s">
        <v>723</v>
      </c>
      <c r="D912" s="156"/>
      <c r="E912" s="156"/>
      <c r="F912" s="156"/>
      <c r="G912" s="144"/>
      <c r="H912" s="141"/>
      <c r="I912" s="144" t="s">
        <v>18</v>
      </c>
      <c r="J912" s="153">
        <v>1</v>
      </c>
      <c r="K912" s="145" t="s">
        <v>730</v>
      </c>
      <c r="L912" s="142" t="s">
        <v>191</v>
      </c>
      <c r="M912" s="19"/>
      <c r="N912" s="142" t="s">
        <v>2544</v>
      </c>
      <c r="O912" s="149"/>
      <c r="P912" s="156"/>
      <c r="Q912" s="156"/>
      <c r="R912" s="142" t="s">
        <v>272</v>
      </c>
    </row>
    <row r="913" spans="1:39" ht="35.25" customHeight="1">
      <c r="A913" s="15">
        <f t="shared" si="13"/>
        <v>903</v>
      </c>
      <c r="B913" s="144" t="s">
        <v>1462</v>
      </c>
      <c r="C913" s="150" t="s">
        <v>723</v>
      </c>
      <c r="D913" s="156"/>
      <c r="E913" s="156"/>
      <c r="F913" s="156"/>
      <c r="G913" s="144"/>
      <c r="H913" s="141"/>
      <c r="I913" s="144" t="s">
        <v>18</v>
      </c>
      <c r="J913" s="153">
        <v>1</v>
      </c>
      <c r="K913" s="145" t="s">
        <v>730</v>
      </c>
      <c r="L913" s="142" t="s">
        <v>191</v>
      </c>
      <c r="M913" s="19"/>
      <c r="N913" s="142" t="s">
        <v>2544</v>
      </c>
      <c r="O913" s="149"/>
      <c r="P913" s="156"/>
      <c r="Q913" s="156"/>
      <c r="R913" s="142" t="s">
        <v>272</v>
      </c>
    </row>
    <row r="914" spans="1:39" ht="35.25" customHeight="1">
      <c r="A914" s="15">
        <f t="shared" si="13"/>
        <v>904</v>
      </c>
      <c r="B914" s="144" t="s">
        <v>1463</v>
      </c>
      <c r="C914" s="150" t="s">
        <v>723</v>
      </c>
      <c r="D914" s="156"/>
      <c r="E914" s="156"/>
      <c r="F914" s="156"/>
      <c r="G914" s="144"/>
      <c r="H914" s="141"/>
      <c r="I914" s="144" t="s">
        <v>18</v>
      </c>
      <c r="J914" s="153">
        <v>1</v>
      </c>
      <c r="K914" s="145" t="s">
        <v>730</v>
      </c>
      <c r="L914" s="142" t="s">
        <v>191</v>
      </c>
      <c r="M914" s="19"/>
      <c r="N914" s="142" t="s">
        <v>2544</v>
      </c>
      <c r="O914" s="149"/>
      <c r="P914" s="156"/>
      <c r="Q914" s="156"/>
      <c r="R914" s="142" t="s">
        <v>272</v>
      </c>
    </row>
    <row r="915" spans="1:39" ht="35.25" customHeight="1">
      <c r="A915" s="15">
        <f t="shared" ref="A915:A978" si="14">A914+1</f>
        <v>905</v>
      </c>
      <c r="B915" s="144" t="s">
        <v>1464</v>
      </c>
      <c r="C915" s="150" t="s">
        <v>723</v>
      </c>
      <c r="D915" s="156"/>
      <c r="E915" s="156"/>
      <c r="F915" s="156"/>
      <c r="G915" s="144"/>
      <c r="H915" s="141"/>
      <c r="I915" s="144" t="s">
        <v>18</v>
      </c>
      <c r="J915" s="153">
        <v>1</v>
      </c>
      <c r="K915" s="145" t="s">
        <v>730</v>
      </c>
      <c r="L915" s="142" t="s">
        <v>191</v>
      </c>
      <c r="M915" s="19"/>
      <c r="N915" s="142" t="s">
        <v>2544</v>
      </c>
      <c r="O915" s="149"/>
      <c r="P915" s="156"/>
      <c r="Q915" s="156"/>
      <c r="R915" s="142" t="s">
        <v>272</v>
      </c>
    </row>
    <row r="916" spans="1:39" ht="35.25" customHeight="1">
      <c r="A916" s="15">
        <f t="shared" si="14"/>
        <v>906</v>
      </c>
      <c r="B916" s="144" t="s">
        <v>1465</v>
      </c>
      <c r="C916" s="150" t="s">
        <v>723</v>
      </c>
      <c r="D916" s="156"/>
      <c r="E916" s="156"/>
      <c r="F916" s="156"/>
      <c r="G916" s="144"/>
      <c r="H916" s="141"/>
      <c r="I916" s="144" t="s">
        <v>18</v>
      </c>
      <c r="J916" s="153">
        <v>1</v>
      </c>
      <c r="K916" s="145" t="s">
        <v>730</v>
      </c>
      <c r="L916" s="142" t="s">
        <v>191</v>
      </c>
      <c r="M916" s="19"/>
      <c r="N916" s="142" t="s">
        <v>2544</v>
      </c>
      <c r="O916" s="149"/>
      <c r="P916" s="156"/>
      <c r="Q916" s="156"/>
      <c r="R916" s="142" t="s">
        <v>272</v>
      </c>
    </row>
    <row r="917" spans="1:39" ht="35.25" customHeight="1">
      <c r="A917" s="15">
        <f t="shared" si="14"/>
        <v>907</v>
      </c>
      <c r="B917" s="144" t="s">
        <v>1466</v>
      </c>
      <c r="C917" s="150" t="s">
        <v>723</v>
      </c>
      <c r="D917" s="156"/>
      <c r="E917" s="156"/>
      <c r="F917" s="156"/>
      <c r="G917" s="144"/>
      <c r="H917" s="141"/>
      <c r="I917" s="144" t="s">
        <v>18</v>
      </c>
      <c r="J917" s="153">
        <v>1</v>
      </c>
      <c r="K917" s="145" t="s">
        <v>730</v>
      </c>
      <c r="L917" s="142" t="s">
        <v>191</v>
      </c>
      <c r="M917" s="19"/>
      <c r="N917" s="142" t="s">
        <v>2544</v>
      </c>
      <c r="O917" s="149"/>
      <c r="P917" s="156"/>
      <c r="Q917" s="156"/>
      <c r="R917" s="142" t="s">
        <v>272</v>
      </c>
    </row>
    <row r="918" spans="1:39" ht="35.25" customHeight="1">
      <c r="A918" s="15">
        <f t="shared" si="14"/>
        <v>908</v>
      </c>
      <c r="B918" s="144" t="s">
        <v>1467</v>
      </c>
      <c r="C918" s="150" t="s">
        <v>723</v>
      </c>
      <c r="D918" s="156"/>
      <c r="E918" s="156"/>
      <c r="F918" s="156"/>
      <c r="G918" s="144"/>
      <c r="H918" s="141"/>
      <c r="I918" s="144" t="s">
        <v>18</v>
      </c>
      <c r="J918" s="153">
        <v>1</v>
      </c>
      <c r="K918" s="145" t="s">
        <v>730</v>
      </c>
      <c r="L918" s="142" t="s">
        <v>191</v>
      </c>
      <c r="M918" s="19"/>
      <c r="N918" s="142" t="s">
        <v>2544</v>
      </c>
      <c r="O918" s="149"/>
      <c r="P918" s="156"/>
      <c r="Q918" s="156"/>
      <c r="R918" s="142" t="s">
        <v>272</v>
      </c>
    </row>
    <row r="919" spans="1:39" ht="35.25" customHeight="1">
      <c r="A919" s="15">
        <f t="shared" si="14"/>
        <v>909</v>
      </c>
      <c r="B919" s="144" t="s">
        <v>1468</v>
      </c>
      <c r="C919" s="150" t="s">
        <v>723</v>
      </c>
      <c r="D919" s="156"/>
      <c r="E919" s="156"/>
      <c r="F919" s="156"/>
      <c r="G919" s="144"/>
      <c r="H919" s="141"/>
      <c r="I919" s="144" t="s">
        <v>18</v>
      </c>
      <c r="J919" s="153">
        <v>1</v>
      </c>
      <c r="K919" s="145" t="s">
        <v>730</v>
      </c>
      <c r="L919" s="142" t="s">
        <v>191</v>
      </c>
      <c r="M919" s="19"/>
      <c r="N919" s="142" t="s">
        <v>2544</v>
      </c>
      <c r="O919" s="149"/>
      <c r="P919" s="156"/>
      <c r="Q919" s="156"/>
      <c r="R919" s="142" t="s">
        <v>272</v>
      </c>
    </row>
    <row r="920" spans="1:39" ht="35.25" customHeight="1">
      <c r="A920" s="15">
        <f t="shared" si="14"/>
        <v>910</v>
      </c>
      <c r="B920" s="144" t="s">
        <v>1469</v>
      </c>
      <c r="C920" s="150" t="s">
        <v>723</v>
      </c>
      <c r="D920" s="156"/>
      <c r="E920" s="156"/>
      <c r="F920" s="156"/>
      <c r="G920" s="144"/>
      <c r="H920" s="141"/>
      <c r="I920" s="144" t="s">
        <v>18</v>
      </c>
      <c r="J920" s="153">
        <v>1</v>
      </c>
      <c r="K920" s="145" t="s">
        <v>730</v>
      </c>
      <c r="L920" s="142" t="s">
        <v>191</v>
      </c>
      <c r="M920" s="19"/>
      <c r="N920" s="142" t="s">
        <v>2544</v>
      </c>
      <c r="O920" s="149"/>
      <c r="P920" s="156"/>
      <c r="Q920" s="156"/>
      <c r="R920" s="142" t="s">
        <v>272</v>
      </c>
    </row>
    <row r="921" spans="1:39" ht="35.25" customHeight="1">
      <c r="A921" s="15">
        <f t="shared" si="14"/>
        <v>911</v>
      </c>
      <c r="B921" s="144" t="s">
        <v>1470</v>
      </c>
      <c r="C921" s="150" t="s">
        <v>723</v>
      </c>
      <c r="D921" s="156"/>
      <c r="E921" s="156"/>
      <c r="F921" s="156"/>
      <c r="G921" s="144"/>
      <c r="H921" s="141"/>
      <c r="I921" s="144" t="s">
        <v>18</v>
      </c>
      <c r="J921" s="153">
        <v>1</v>
      </c>
      <c r="K921" s="145" t="s">
        <v>730</v>
      </c>
      <c r="L921" s="142" t="s">
        <v>191</v>
      </c>
      <c r="M921" s="19"/>
      <c r="N921" s="142" t="s">
        <v>2544</v>
      </c>
      <c r="O921" s="149"/>
      <c r="P921" s="184"/>
      <c r="Q921" s="184"/>
      <c r="R921" s="142" t="s">
        <v>272</v>
      </c>
    </row>
    <row r="922" spans="1:39" ht="35.25" customHeight="1">
      <c r="A922" s="15">
        <f t="shared" si="14"/>
        <v>912</v>
      </c>
      <c r="B922" s="144" t="s">
        <v>1471</v>
      </c>
      <c r="C922" s="150" t="s">
        <v>723</v>
      </c>
      <c r="D922" s="156"/>
      <c r="E922" s="156"/>
      <c r="F922" s="156"/>
      <c r="G922" s="144"/>
      <c r="H922" s="141"/>
      <c r="I922" s="144" t="s">
        <v>18</v>
      </c>
      <c r="J922" s="153">
        <v>1</v>
      </c>
      <c r="K922" s="145" t="s">
        <v>730</v>
      </c>
      <c r="L922" s="142" t="s">
        <v>191</v>
      </c>
      <c r="M922" s="19"/>
      <c r="N922" s="142" t="s">
        <v>2544</v>
      </c>
      <c r="O922" s="149"/>
      <c r="P922" s="184"/>
      <c r="Q922" s="184"/>
      <c r="R922" s="142" t="s">
        <v>272</v>
      </c>
    </row>
    <row r="923" spans="1:39" ht="35.25" customHeight="1">
      <c r="A923" s="15">
        <f t="shared" si="14"/>
        <v>913</v>
      </c>
      <c r="B923" s="144" t="s">
        <v>1472</v>
      </c>
      <c r="C923" s="150" t="s">
        <v>723</v>
      </c>
      <c r="D923" s="156"/>
      <c r="E923" s="156"/>
      <c r="F923" s="156"/>
      <c r="G923" s="144"/>
      <c r="H923" s="141"/>
      <c r="I923" s="144" t="s">
        <v>18</v>
      </c>
      <c r="J923" s="153">
        <v>1</v>
      </c>
      <c r="K923" s="145" t="s">
        <v>730</v>
      </c>
      <c r="L923" s="142" t="s">
        <v>191</v>
      </c>
      <c r="M923" s="19"/>
      <c r="N923" s="142" t="s">
        <v>2544</v>
      </c>
      <c r="O923" s="149"/>
      <c r="P923" s="184"/>
      <c r="Q923" s="184"/>
      <c r="R923" s="142" t="s">
        <v>272</v>
      </c>
    </row>
    <row r="924" spans="1:39" ht="35.25" customHeight="1">
      <c r="A924" s="15">
        <f t="shared" si="14"/>
        <v>914</v>
      </c>
      <c r="B924" s="144" t="s">
        <v>1473</v>
      </c>
      <c r="C924" s="150" t="s">
        <v>723</v>
      </c>
      <c r="D924" s="156"/>
      <c r="E924" s="156"/>
      <c r="F924" s="156"/>
      <c r="G924" s="144"/>
      <c r="H924" s="141"/>
      <c r="I924" s="144" t="s">
        <v>18</v>
      </c>
      <c r="J924" s="153">
        <v>1</v>
      </c>
      <c r="K924" s="145" t="s">
        <v>730</v>
      </c>
      <c r="L924" s="142" t="s">
        <v>191</v>
      </c>
      <c r="M924" s="19"/>
      <c r="N924" s="142" t="s">
        <v>2544</v>
      </c>
      <c r="O924" s="149"/>
      <c r="P924" s="184"/>
      <c r="Q924" s="184"/>
      <c r="R924" s="142" t="s">
        <v>272</v>
      </c>
    </row>
    <row r="925" spans="1:39" ht="35.25" customHeight="1">
      <c r="A925" s="15">
        <f t="shared" si="14"/>
        <v>915</v>
      </c>
      <c r="B925" s="144" t="s">
        <v>1474</v>
      </c>
      <c r="C925" s="150" t="s">
        <v>723</v>
      </c>
      <c r="D925" s="156"/>
      <c r="E925" s="156"/>
      <c r="F925" s="156"/>
      <c r="G925" s="144"/>
      <c r="H925" s="141"/>
      <c r="I925" s="144" t="s">
        <v>18</v>
      </c>
      <c r="J925" s="153">
        <v>1</v>
      </c>
      <c r="K925" s="145" t="s">
        <v>730</v>
      </c>
      <c r="L925" s="142" t="s">
        <v>191</v>
      </c>
      <c r="M925" s="19"/>
      <c r="N925" s="142" t="s">
        <v>2544</v>
      </c>
      <c r="O925" s="149"/>
      <c r="P925" s="184"/>
      <c r="Q925" s="184"/>
      <c r="R925" s="142" t="s">
        <v>272</v>
      </c>
    </row>
    <row r="926" spans="1:39" s="136" customFormat="1" ht="35.25" customHeight="1">
      <c r="A926" s="15">
        <f t="shared" si="14"/>
        <v>916</v>
      </c>
      <c r="B926" s="144" t="s">
        <v>1475</v>
      </c>
      <c r="C926" s="150" t="s">
        <v>723</v>
      </c>
      <c r="D926" s="156"/>
      <c r="E926" s="156"/>
      <c r="F926" s="156"/>
      <c r="G926" s="144"/>
      <c r="H926" s="141"/>
      <c r="I926" s="144" t="s">
        <v>18</v>
      </c>
      <c r="J926" s="153">
        <v>1</v>
      </c>
      <c r="K926" s="145" t="s">
        <v>730</v>
      </c>
      <c r="L926" s="142" t="s">
        <v>191</v>
      </c>
      <c r="M926" s="19"/>
      <c r="N926" s="142" t="s">
        <v>2544</v>
      </c>
      <c r="O926" s="149"/>
      <c r="P926" s="156"/>
      <c r="Q926" s="156"/>
      <c r="R926" s="142" t="s">
        <v>272</v>
      </c>
      <c r="S926"/>
      <c r="T926"/>
      <c r="U926"/>
      <c r="V926"/>
      <c r="W926"/>
      <c r="X926"/>
      <c r="Y926"/>
      <c r="Z926"/>
      <c r="AA926"/>
      <c r="AB926"/>
      <c r="AC926"/>
      <c r="AD926"/>
      <c r="AE926"/>
      <c r="AF926"/>
      <c r="AG926"/>
      <c r="AH926"/>
      <c r="AI926"/>
      <c r="AJ926"/>
      <c r="AK926"/>
      <c r="AL926"/>
      <c r="AM926"/>
    </row>
    <row r="927" spans="1:39" s="136" customFormat="1" ht="35.25" customHeight="1">
      <c r="A927" s="15">
        <f t="shared" si="14"/>
        <v>917</v>
      </c>
      <c r="B927" s="144" t="s">
        <v>1476</v>
      </c>
      <c r="C927" s="150" t="s">
        <v>723</v>
      </c>
      <c r="D927" s="156"/>
      <c r="E927" s="156"/>
      <c r="F927" s="156"/>
      <c r="G927" s="144"/>
      <c r="H927" s="141"/>
      <c r="I927" s="144" t="s">
        <v>18</v>
      </c>
      <c r="J927" s="153">
        <v>1</v>
      </c>
      <c r="K927" s="145" t="s">
        <v>730</v>
      </c>
      <c r="L927" s="142" t="s">
        <v>191</v>
      </c>
      <c r="M927" s="19"/>
      <c r="N927" s="142" t="s">
        <v>2544</v>
      </c>
      <c r="O927" s="149"/>
      <c r="P927" s="156"/>
      <c r="Q927" s="156"/>
      <c r="R927" s="142" t="s">
        <v>272</v>
      </c>
      <c r="S927"/>
      <c r="T927"/>
      <c r="U927"/>
      <c r="V927"/>
      <c r="W927"/>
      <c r="X927"/>
      <c r="Y927"/>
      <c r="Z927"/>
      <c r="AA927"/>
      <c r="AB927"/>
      <c r="AC927"/>
      <c r="AD927"/>
      <c r="AE927"/>
      <c r="AF927"/>
      <c r="AG927"/>
      <c r="AH927"/>
      <c r="AI927"/>
      <c r="AJ927"/>
      <c r="AK927"/>
      <c r="AL927"/>
      <c r="AM927"/>
    </row>
    <row r="928" spans="1:39" s="136" customFormat="1" ht="35.25" customHeight="1">
      <c r="A928" s="15">
        <f t="shared" si="14"/>
        <v>918</v>
      </c>
      <c r="B928" s="144" t="s">
        <v>1477</v>
      </c>
      <c r="C928" s="150" t="s">
        <v>723</v>
      </c>
      <c r="D928" s="156"/>
      <c r="E928" s="156"/>
      <c r="F928" s="156"/>
      <c r="G928" s="144"/>
      <c r="H928" s="141"/>
      <c r="I928" s="144" t="s">
        <v>18</v>
      </c>
      <c r="J928" s="153">
        <v>1</v>
      </c>
      <c r="K928" s="145" t="s">
        <v>730</v>
      </c>
      <c r="L928" s="142" t="s">
        <v>191</v>
      </c>
      <c r="M928" s="19"/>
      <c r="N928" s="142" t="s">
        <v>2544</v>
      </c>
      <c r="O928" s="149"/>
      <c r="P928" s="156"/>
      <c r="Q928" s="156"/>
      <c r="R928" s="142" t="s">
        <v>272</v>
      </c>
      <c r="S928"/>
      <c r="T928"/>
      <c r="U928"/>
      <c r="V928"/>
      <c r="W928"/>
      <c r="X928"/>
      <c r="Y928"/>
      <c r="Z928"/>
      <c r="AA928"/>
      <c r="AB928"/>
      <c r="AC928"/>
      <c r="AD928"/>
      <c r="AE928"/>
      <c r="AF928"/>
      <c r="AG928"/>
      <c r="AH928"/>
      <c r="AI928"/>
      <c r="AJ928"/>
      <c r="AK928"/>
      <c r="AL928"/>
      <c r="AM928"/>
    </row>
    <row r="929" spans="1:39" s="136" customFormat="1" ht="35.25" customHeight="1">
      <c r="A929" s="15">
        <f t="shared" si="14"/>
        <v>919</v>
      </c>
      <c r="B929" s="144" t="s">
        <v>1478</v>
      </c>
      <c r="C929" s="150" t="s">
        <v>723</v>
      </c>
      <c r="D929" s="156"/>
      <c r="E929" s="156"/>
      <c r="F929" s="156"/>
      <c r="G929" s="144"/>
      <c r="H929" s="141"/>
      <c r="I929" s="144" t="s">
        <v>18</v>
      </c>
      <c r="J929" s="153">
        <v>1</v>
      </c>
      <c r="K929" s="145" t="s">
        <v>730</v>
      </c>
      <c r="L929" s="142" t="s">
        <v>191</v>
      </c>
      <c r="M929" s="19"/>
      <c r="N929" s="142" t="s">
        <v>2544</v>
      </c>
      <c r="O929" s="149"/>
      <c r="P929" s="156"/>
      <c r="Q929" s="156"/>
      <c r="R929" s="142" t="s">
        <v>272</v>
      </c>
      <c r="S929"/>
      <c r="T929"/>
      <c r="U929"/>
      <c r="V929"/>
      <c r="W929"/>
      <c r="X929"/>
      <c r="Y929"/>
      <c r="Z929"/>
      <c r="AA929"/>
      <c r="AB929"/>
      <c r="AC929"/>
      <c r="AD929"/>
      <c r="AE929"/>
      <c r="AF929"/>
      <c r="AG929"/>
      <c r="AH929"/>
      <c r="AI929"/>
      <c r="AJ929"/>
      <c r="AK929"/>
      <c r="AL929"/>
      <c r="AM929"/>
    </row>
    <row r="930" spans="1:39" s="136" customFormat="1" ht="35.25" customHeight="1">
      <c r="A930" s="15">
        <f t="shared" si="14"/>
        <v>920</v>
      </c>
      <c r="B930" s="144" t="s">
        <v>1479</v>
      </c>
      <c r="C930" s="150" t="s">
        <v>723</v>
      </c>
      <c r="D930" s="156"/>
      <c r="E930" s="156"/>
      <c r="F930" s="156"/>
      <c r="G930" s="144"/>
      <c r="H930" s="141"/>
      <c r="I930" s="144" t="s">
        <v>18</v>
      </c>
      <c r="J930" s="153">
        <v>1</v>
      </c>
      <c r="K930" s="145" t="s">
        <v>730</v>
      </c>
      <c r="L930" s="142" t="s">
        <v>191</v>
      </c>
      <c r="M930" s="19"/>
      <c r="N930" s="142" t="s">
        <v>2544</v>
      </c>
      <c r="O930" s="149"/>
      <c r="P930" s="156"/>
      <c r="Q930" s="156"/>
      <c r="R930" s="142" t="s">
        <v>272</v>
      </c>
      <c r="S930"/>
      <c r="T930"/>
      <c r="U930"/>
      <c r="V930"/>
      <c r="W930"/>
      <c r="X930"/>
      <c r="Y930"/>
      <c r="Z930"/>
      <c r="AA930"/>
      <c r="AB930"/>
      <c r="AC930"/>
      <c r="AD930"/>
      <c r="AE930"/>
      <c r="AF930"/>
      <c r="AG930"/>
      <c r="AH930"/>
      <c r="AI930"/>
      <c r="AJ930"/>
      <c r="AK930"/>
      <c r="AL930"/>
      <c r="AM930"/>
    </row>
    <row r="931" spans="1:39" s="136" customFormat="1" ht="35.25" customHeight="1">
      <c r="A931" s="15">
        <f t="shared" si="14"/>
        <v>921</v>
      </c>
      <c r="B931" s="144" t="s">
        <v>1480</v>
      </c>
      <c r="C931" s="150" t="s">
        <v>723</v>
      </c>
      <c r="D931" s="156"/>
      <c r="E931" s="156"/>
      <c r="F931" s="156"/>
      <c r="G931" s="144"/>
      <c r="H931" s="141"/>
      <c r="I931" s="144" t="s">
        <v>18</v>
      </c>
      <c r="J931" s="153">
        <v>1</v>
      </c>
      <c r="K931" s="145" t="s">
        <v>730</v>
      </c>
      <c r="L931" s="142" t="s">
        <v>191</v>
      </c>
      <c r="M931" s="19"/>
      <c r="N931" s="142" t="s">
        <v>2544</v>
      </c>
      <c r="O931" s="149"/>
      <c r="P931" s="156"/>
      <c r="Q931" s="156"/>
      <c r="R931" s="142" t="s">
        <v>272</v>
      </c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</row>
    <row r="932" spans="1:39" ht="35.25" customHeight="1">
      <c r="A932" s="15">
        <f t="shared" si="14"/>
        <v>922</v>
      </c>
      <c r="B932" s="144" t="s">
        <v>1481</v>
      </c>
      <c r="C932" s="150" t="s">
        <v>723</v>
      </c>
      <c r="D932" s="156"/>
      <c r="E932" s="156"/>
      <c r="F932" s="156"/>
      <c r="G932" s="144"/>
      <c r="H932" s="141"/>
      <c r="I932" s="144" t="s">
        <v>18</v>
      </c>
      <c r="J932" s="153">
        <v>1</v>
      </c>
      <c r="K932" s="145" t="s">
        <v>730</v>
      </c>
      <c r="L932" s="142" t="s">
        <v>191</v>
      </c>
      <c r="M932" s="19"/>
      <c r="N932" s="142" t="s">
        <v>2544</v>
      </c>
      <c r="O932" s="149"/>
      <c r="P932" s="156"/>
      <c r="Q932" s="156"/>
      <c r="R932" s="142" t="s">
        <v>272</v>
      </c>
    </row>
    <row r="933" spans="1:39" ht="35.25" customHeight="1">
      <c r="A933" s="15">
        <f t="shared" si="14"/>
        <v>923</v>
      </c>
      <c r="B933" s="144" t="s">
        <v>1482</v>
      </c>
      <c r="C933" s="150" t="s">
        <v>723</v>
      </c>
      <c r="D933" s="156"/>
      <c r="E933" s="156"/>
      <c r="F933" s="156"/>
      <c r="G933" s="144"/>
      <c r="H933" s="141"/>
      <c r="I933" s="144" t="s">
        <v>18</v>
      </c>
      <c r="J933" s="153">
        <v>1</v>
      </c>
      <c r="K933" s="145" t="s">
        <v>730</v>
      </c>
      <c r="L933" s="142" t="s">
        <v>191</v>
      </c>
      <c r="M933" s="19"/>
      <c r="N933" s="142" t="s">
        <v>2544</v>
      </c>
      <c r="O933" s="149"/>
      <c r="P933" s="156"/>
      <c r="Q933" s="156"/>
      <c r="R933" s="142" t="s">
        <v>272</v>
      </c>
    </row>
    <row r="934" spans="1:39" ht="35.25" customHeight="1">
      <c r="A934" s="15">
        <f t="shared" si="14"/>
        <v>924</v>
      </c>
      <c r="B934" s="144" t="s">
        <v>1483</v>
      </c>
      <c r="C934" s="150" t="s">
        <v>723</v>
      </c>
      <c r="D934" s="156"/>
      <c r="E934" s="156"/>
      <c r="F934" s="156"/>
      <c r="G934" s="144"/>
      <c r="H934" s="141"/>
      <c r="I934" s="144" t="s">
        <v>18</v>
      </c>
      <c r="J934" s="153">
        <v>1</v>
      </c>
      <c r="K934" s="145" t="s">
        <v>730</v>
      </c>
      <c r="L934" s="142" t="s">
        <v>191</v>
      </c>
      <c r="M934" s="19"/>
      <c r="N934" s="142" t="s">
        <v>2544</v>
      </c>
      <c r="O934" s="149"/>
      <c r="P934" s="156"/>
      <c r="Q934" s="156"/>
      <c r="R934" s="142" t="s">
        <v>272</v>
      </c>
    </row>
    <row r="935" spans="1:39" ht="35.25" customHeight="1">
      <c r="A935" s="15">
        <f t="shared" si="14"/>
        <v>925</v>
      </c>
      <c r="B935" s="144" t="s">
        <v>1484</v>
      </c>
      <c r="C935" s="150" t="s">
        <v>723</v>
      </c>
      <c r="D935" s="156"/>
      <c r="E935" s="156"/>
      <c r="F935" s="156"/>
      <c r="G935" s="144"/>
      <c r="H935" s="141"/>
      <c r="I935" s="144" t="s">
        <v>18</v>
      </c>
      <c r="J935" s="153">
        <v>1</v>
      </c>
      <c r="K935" s="145" t="s">
        <v>730</v>
      </c>
      <c r="L935" s="142" t="s">
        <v>191</v>
      </c>
      <c r="M935" s="19"/>
      <c r="N935" s="142" t="s">
        <v>2544</v>
      </c>
      <c r="O935" s="149"/>
      <c r="P935" s="156"/>
      <c r="Q935" s="156"/>
      <c r="R935" s="142" t="s">
        <v>272</v>
      </c>
    </row>
    <row r="936" spans="1:39" ht="35.25" customHeight="1">
      <c r="A936" s="15">
        <f t="shared" si="14"/>
        <v>926</v>
      </c>
      <c r="B936" s="144" t="s">
        <v>1485</v>
      </c>
      <c r="C936" s="150" t="s">
        <v>723</v>
      </c>
      <c r="D936" s="156"/>
      <c r="E936" s="156"/>
      <c r="F936" s="156"/>
      <c r="G936" s="144"/>
      <c r="H936" s="141"/>
      <c r="I936" s="144" t="s">
        <v>18</v>
      </c>
      <c r="J936" s="153">
        <v>1</v>
      </c>
      <c r="K936" s="145" t="s">
        <v>730</v>
      </c>
      <c r="L936" s="142" t="s">
        <v>191</v>
      </c>
      <c r="M936" s="19"/>
      <c r="N936" s="142" t="s">
        <v>2544</v>
      </c>
      <c r="O936" s="149"/>
      <c r="P936" s="156"/>
      <c r="Q936" s="156"/>
      <c r="R936" s="142" t="s">
        <v>272</v>
      </c>
    </row>
    <row r="937" spans="1:39" ht="35.25" customHeight="1">
      <c r="A937" s="15">
        <f t="shared" si="14"/>
        <v>927</v>
      </c>
      <c r="B937" s="144" t="s">
        <v>1486</v>
      </c>
      <c r="C937" s="150" t="s">
        <v>723</v>
      </c>
      <c r="D937" s="156"/>
      <c r="E937" s="156"/>
      <c r="F937" s="156"/>
      <c r="G937" s="144"/>
      <c r="H937" s="141"/>
      <c r="I937" s="144" t="s">
        <v>18</v>
      </c>
      <c r="J937" s="153">
        <v>1</v>
      </c>
      <c r="K937" s="145" t="s">
        <v>730</v>
      </c>
      <c r="L937" s="142" t="s">
        <v>191</v>
      </c>
      <c r="M937" s="19"/>
      <c r="N937" s="142" t="s">
        <v>2544</v>
      </c>
      <c r="O937" s="149"/>
      <c r="P937" s="156"/>
      <c r="Q937" s="156"/>
      <c r="R937" s="142" t="s">
        <v>272</v>
      </c>
    </row>
    <row r="938" spans="1:39" ht="35.25" customHeight="1">
      <c r="A938" s="15">
        <f t="shared" si="14"/>
        <v>928</v>
      </c>
      <c r="B938" s="144" t="s">
        <v>1487</v>
      </c>
      <c r="C938" s="150" t="s">
        <v>723</v>
      </c>
      <c r="D938" s="156"/>
      <c r="E938" s="156"/>
      <c r="F938" s="156"/>
      <c r="G938" s="144"/>
      <c r="H938" s="141"/>
      <c r="I938" s="144" t="s">
        <v>18</v>
      </c>
      <c r="J938" s="153">
        <v>1</v>
      </c>
      <c r="K938" s="145" t="s">
        <v>730</v>
      </c>
      <c r="L938" s="142" t="s">
        <v>191</v>
      </c>
      <c r="M938" s="19"/>
      <c r="N938" s="142" t="s">
        <v>2544</v>
      </c>
      <c r="O938" s="149"/>
      <c r="P938" s="156"/>
      <c r="Q938" s="156"/>
      <c r="R938" s="142" t="s">
        <v>272</v>
      </c>
    </row>
    <row r="939" spans="1:39" ht="35.25" customHeight="1">
      <c r="A939" s="15">
        <f t="shared" si="14"/>
        <v>929</v>
      </c>
      <c r="B939" s="144" t="s">
        <v>1488</v>
      </c>
      <c r="C939" s="150" t="s">
        <v>723</v>
      </c>
      <c r="D939" s="156"/>
      <c r="E939" s="156"/>
      <c r="F939" s="156"/>
      <c r="G939" s="144"/>
      <c r="H939" s="141"/>
      <c r="I939" s="144" t="s">
        <v>18</v>
      </c>
      <c r="J939" s="153">
        <v>1</v>
      </c>
      <c r="K939" s="145" t="s">
        <v>730</v>
      </c>
      <c r="L939" s="142" t="s">
        <v>191</v>
      </c>
      <c r="M939" s="19"/>
      <c r="N939" s="142" t="s">
        <v>2544</v>
      </c>
      <c r="O939" s="149"/>
      <c r="P939" s="156"/>
      <c r="Q939" s="156"/>
      <c r="R939" s="142" t="s">
        <v>272</v>
      </c>
    </row>
    <row r="940" spans="1:39" ht="35.25" customHeight="1">
      <c r="A940" s="15">
        <f t="shared" si="14"/>
        <v>930</v>
      </c>
      <c r="B940" s="144" t="s">
        <v>1489</v>
      </c>
      <c r="C940" s="150" t="s">
        <v>723</v>
      </c>
      <c r="D940" s="156"/>
      <c r="E940" s="156"/>
      <c r="F940" s="156"/>
      <c r="G940" s="144"/>
      <c r="H940" s="141"/>
      <c r="I940" s="144" t="s">
        <v>18</v>
      </c>
      <c r="J940" s="153">
        <v>1</v>
      </c>
      <c r="K940" s="145" t="s">
        <v>730</v>
      </c>
      <c r="L940" s="142" t="s">
        <v>191</v>
      </c>
      <c r="M940" s="19"/>
      <c r="N940" s="142" t="s">
        <v>2544</v>
      </c>
      <c r="O940" s="149"/>
      <c r="P940" s="156"/>
      <c r="Q940" s="156"/>
      <c r="R940" s="142" t="s">
        <v>272</v>
      </c>
    </row>
    <row r="941" spans="1:39" ht="35.25" customHeight="1">
      <c r="A941" s="15">
        <f t="shared" si="14"/>
        <v>931</v>
      </c>
      <c r="B941" s="144" t="s">
        <v>1490</v>
      </c>
      <c r="C941" s="150" t="s">
        <v>723</v>
      </c>
      <c r="D941" s="156"/>
      <c r="E941" s="156"/>
      <c r="F941" s="156"/>
      <c r="G941" s="144"/>
      <c r="H941" s="141"/>
      <c r="I941" s="144" t="s">
        <v>18</v>
      </c>
      <c r="J941" s="153">
        <v>1</v>
      </c>
      <c r="K941" s="145" t="s">
        <v>730</v>
      </c>
      <c r="L941" s="142" t="s">
        <v>191</v>
      </c>
      <c r="M941" s="19"/>
      <c r="N941" s="142" t="s">
        <v>2544</v>
      </c>
      <c r="O941" s="149"/>
      <c r="P941" s="156"/>
      <c r="Q941" s="156"/>
      <c r="R941" s="142" t="s">
        <v>272</v>
      </c>
    </row>
    <row r="942" spans="1:39" ht="35.25" customHeight="1">
      <c r="A942" s="15">
        <f t="shared" si="14"/>
        <v>932</v>
      </c>
      <c r="B942" s="144" t="s">
        <v>1491</v>
      </c>
      <c r="C942" s="150" t="s">
        <v>723</v>
      </c>
      <c r="D942" s="156"/>
      <c r="E942" s="156"/>
      <c r="F942" s="156"/>
      <c r="G942" s="144"/>
      <c r="H942" s="141"/>
      <c r="I942" s="144" t="s">
        <v>18</v>
      </c>
      <c r="J942" s="153">
        <v>1</v>
      </c>
      <c r="K942" s="145" t="s">
        <v>730</v>
      </c>
      <c r="L942" s="142" t="s">
        <v>191</v>
      </c>
      <c r="M942" s="19"/>
      <c r="N942" s="142" t="s">
        <v>2544</v>
      </c>
      <c r="O942" s="149"/>
      <c r="P942" s="156"/>
      <c r="Q942" s="156"/>
      <c r="R942" s="142" t="s">
        <v>272</v>
      </c>
    </row>
    <row r="943" spans="1:39" ht="35.25" customHeight="1">
      <c r="A943" s="15">
        <f t="shared" si="14"/>
        <v>933</v>
      </c>
      <c r="B943" s="144" t="s">
        <v>1492</v>
      </c>
      <c r="C943" s="150" t="s">
        <v>723</v>
      </c>
      <c r="D943" s="156"/>
      <c r="E943" s="156"/>
      <c r="F943" s="156"/>
      <c r="G943" s="144"/>
      <c r="H943" s="141"/>
      <c r="I943" s="144" t="s">
        <v>18</v>
      </c>
      <c r="J943" s="153">
        <v>1</v>
      </c>
      <c r="K943" s="145" t="s">
        <v>730</v>
      </c>
      <c r="L943" s="142" t="s">
        <v>191</v>
      </c>
      <c r="M943" s="19"/>
      <c r="N943" s="142" t="s">
        <v>2544</v>
      </c>
      <c r="O943" s="149"/>
      <c r="P943" s="156"/>
      <c r="Q943" s="156"/>
      <c r="R943" s="142" t="s">
        <v>272</v>
      </c>
    </row>
    <row r="944" spans="1:39" ht="35.25" customHeight="1">
      <c r="A944" s="15">
        <f t="shared" si="14"/>
        <v>934</v>
      </c>
      <c r="B944" s="144" t="s">
        <v>1493</v>
      </c>
      <c r="C944" s="150" t="s">
        <v>723</v>
      </c>
      <c r="D944" s="156"/>
      <c r="E944" s="156"/>
      <c r="F944" s="156"/>
      <c r="G944" s="144"/>
      <c r="H944" s="141"/>
      <c r="I944" s="144" t="s">
        <v>18</v>
      </c>
      <c r="J944" s="153">
        <v>1</v>
      </c>
      <c r="K944" s="145" t="s">
        <v>730</v>
      </c>
      <c r="L944" s="142" t="s">
        <v>191</v>
      </c>
      <c r="M944" s="19"/>
      <c r="N944" s="142" t="s">
        <v>2544</v>
      </c>
      <c r="O944" s="149"/>
      <c r="P944" s="156"/>
      <c r="Q944" s="156"/>
      <c r="R944" s="142" t="s">
        <v>272</v>
      </c>
    </row>
    <row r="945" spans="1:18" ht="35.25" customHeight="1">
      <c r="A945" s="15">
        <f t="shared" si="14"/>
        <v>935</v>
      </c>
      <c r="B945" s="144" t="s">
        <v>1494</v>
      </c>
      <c r="C945" s="150" t="s">
        <v>723</v>
      </c>
      <c r="D945" s="156"/>
      <c r="E945" s="156"/>
      <c r="F945" s="156"/>
      <c r="G945" s="144"/>
      <c r="H945" s="141"/>
      <c r="I945" s="144" t="s">
        <v>18</v>
      </c>
      <c r="J945" s="153">
        <v>1</v>
      </c>
      <c r="K945" s="145" t="s">
        <v>730</v>
      </c>
      <c r="L945" s="142" t="s">
        <v>191</v>
      </c>
      <c r="M945" s="19"/>
      <c r="N945" s="142" t="s">
        <v>2544</v>
      </c>
      <c r="O945" s="149"/>
      <c r="P945" s="156"/>
      <c r="Q945" s="156"/>
      <c r="R945" s="142" t="s">
        <v>272</v>
      </c>
    </row>
    <row r="946" spans="1:18" ht="35.25" customHeight="1">
      <c r="A946" s="15">
        <f t="shared" si="14"/>
        <v>936</v>
      </c>
      <c r="B946" s="144" t="s">
        <v>1495</v>
      </c>
      <c r="C946" s="150" t="s">
        <v>723</v>
      </c>
      <c r="D946" s="156"/>
      <c r="E946" s="156"/>
      <c r="F946" s="156"/>
      <c r="G946" s="144"/>
      <c r="H946" s="141"/>
      <c r="I946" s="144" t="s">
        <v>18</v>
      </c>
      <c r="J946" s="153">
        <v>1</v>
      </c>
      <c r="K946" s="145" t="s">
        <v>730</v>
      </c>
      <c r="L946" s="142" t="s">
        <v>191</v>
      </c>
      <c r="M946" s="19"/>
      <c r="N946" s="142" t="s">
        <v>2544</v>
      </c>
      <c r="O946" s="149"/>
      <c r="P946" s="156"/>
      <c r="Q946" s="156"/>
      <c r="R946" s="142" t="s">
        <v>272</v>
      </c>
    </row>
    <row r="947" spans="1:18" ht="35.25" customHeight="1">
      <c r="A947" s="15">
        <f t="shared" si="14"/>
        <v>937</v>
      </c>
      <c r="B947" s="144" t="s">
        <v>1496</v>
      </c>
      <c r="C947" s="150" t="s">
        <v>723</v>
      </c>
      <c r="D947" s="156"/>
      <c r="E947" s="156"/>
      <c r="F947" s="156"/>
      <c r="G947" s="144"/>
      <c r="H947" s="141"/>
      <c r="I947" s="144" t="s">
        <v>18</v>
      </c>
      <c r="J947" s="153">
        <v>1</v>
      </c>
      <c r="K947" s="145" t="s">
        <v>730</v>
      </c>
      <c r="L947" s="142" t="s">
        <v>191</v>
      </c>
      <c r="M947" s="19"/>
      <c r="N947" s="142" t="s">
        <v>2544</v>
      </c>
      <c r="O947" s="149"/>
      <c r="P947" s="156"/>
      <c r="Q947" s="156"/>
      <c r="R947" s="142" t="s">
        <v>272</v>
      </c>
    </row>
    <row r="948" spans="1:18" ht="35.25" customHeight="1">
      <c r="A948" s="15">
        <f t="shared" si="14"/>
        <v>938</v>
      </c>
      <c r="B948" s="144" t="s">
        <v>1497</v>
      </c>
      <c r="C948" s="150" t="s">
        <v>723</v>
      </c>
      <c r="D948" s="156"/>
      <c r="E948" s="156"/>
      <c r="F948" s="156"/>
      <c r="G948" s="144"/>
      <c r="H948" s="141"/>
      <c r="I948" s="144" t="s">
        <v>18</v>
      </c>
      <c r="J948" s="153">
        <v>1</v>
      </c>
      <c r="K948" s="145" t="s">
        <v>730</v>
      </c>
      <c r="L948" s="142" t="s">
        <v>191</v>
      </c>
      <c r="M948" s="19"/>
      <c r="N948" s="142" t="s">
        <v>2544</v>
      </c>
      <c r="O948" s="149"/>
      <c r="P948" s="156"/>
      <c r="Q948" s="156"/>
      <c r="R948" s="142" t="s">
        <v>272</v>
      </c>
    </row>
    <row r="949" spans="1:18" ht="35.25" customHeight="1">
      <c r="A949" s="15">
        <f t="shared" si="14"/>
        <v>939</v>
      </c>
      <c r="B949" s="144" t="s">
        <v>1498</v>
      </c>
      <c r="C949" s="150" t="s">
        <v>723</v>
      </c>
      <c r="D949" s="156"/>
      <c r="E949" s="156"/>
      <c r="F949" s="156"/>
      <c r="G949" s="144"/>
      <c r="H949" s="141"/>
      <c r="I949" s="144" t="s">
        <v>18</v>
      </c>
      <c r="J949" s="153">
        <v>1</v>
      </c>
      <c r="K949" s="145" t="s">
        <v>730</v>
      </c>
      <c r="L949" s="142" t="s">
        <v>191</v>
      </c>
      <c r="M949" s="19"/>
      <c r="N949" s="142" t="s">
        <v>2544</v>
      </c>
      <c r="O949" s="149"/>
      <c r="P949" s="233"/>
      <c r="Q949" s="233"/>
      <c r="R949" s="142" t="s">
        <v>272</v>
      </c>
    </row>
    <row r="950" spans="1:18" ht="35.25" customHeight="1">
      <c r="A950" s="15">
        <f t="shared" si="14"/>
        <v>940</v>
      </c>
      <c r="B950" s="144" t="s">
        <v>1499</v>
      </c>
      <c r="C950" s="150" t="s">
        <v>723</v>
      </c>
      <c r="D950" s="156"/>
      <c r="E950" s="156"/>
      <c r="F950" s="156"/>
      <c r="G950" s="144"/>
      <c r="H950" s="141"/>
      <c r="I950" s="144" t="s">
        <v>18</v>
      </c>
      <c r="J950" s="153">
        <v>1</v>
      </c>
      <c r="K950" s="145" t="s">
        <v>730</v>
      </c>
      <c r="L950" s="142" t="s">
        <v>191</v>
      </c>
      <c r="M950" s="19"/>
      <c r="N950" s="142" t="s">
        <v>2544</v>
      </c>
      <c r="O950" s="149"/>
      <c r="P950" s="233"/>
      <c r="Q950" s="233"/>
      <c r="R950" s="142" t="s">
        <v>272</v>
      </c>
    </row>
    <row r="951" spans="1:18" ht="35.25" customHeight="1">
      <c r="A951" s="15">
        <f t="shared" si="14"/>
        <v>941</v>
      </c>
      <c r="B951" s="144" t="s">
        <v>1500</v>
      </c>
      <c r="C951" s="150" t="s">
        <v>723</v>
      </c>
      <c r="D951" s="156"/>
      <c r="E951" s="156"/>
      <c r="F951" s="156"/>
      <c r="G951" s="144"/>
      <c r="H951" s="141"/>
      <c r="I951" s="144" t="s">
        <v>18</v>
      </c>
      <c r="J951" s="153">
        <v>1</v>
      </c>
      <c r="K951" s="145" t="s">
        <v>730</v>
      </c>
      <c r="L951" s="142" t="s">
        <v>191</v>
      </c>
      <c r="M951" s="19"/>
      <c r="N951" s="142" t="s">
        <v>2544</v>
      </c>
      <c r="O951" s="149"/>
      <c r="P951" s="233"/>
      <c r="Q951" s="233"/>
      <c r="R951" s="142" t="s">
        <v>272</v>
      </c>
    </row>
    <row r="952" spans="1:18" ht="35.25" customHeight="1">
      <c r="A952" s="15">
        <f t="shared" si="14"/>
        <v>942</v>
      </c>
      <c r="B952" s="144" t="s">
        <v>1501</v>
      </c>
      <c r="C952" s="150" t="s">
        <v>723</v>
      </c>
      <c r="D952" s="156"/>
      <c r="E952" s="156"/>
      <c r="F952" s="156"/>
      <c r="G952" s="144"/>
      <c r="H952" s="141"/>
      <c r="I952" s="144" t="s">
        <v>18</v>
      </c>
      <c r="J952" s="153">
        <v>1</v>
      </c>
      <c r="K952" s="145" t="s">
        <v>730</v>
      </c>
      <c r="L952" s="142" t="s">
        <v>191</v>
      </c>
      <c r="M952" s="19"/>
      <c r="N952" s="142" t="s">
        <v>2544</v>
      </c>
      <c r="O952" s="149"/>
      <c r="P952" s="233"/>
      <c r="Q952" s="233"/>
      <c r="R952" s="142" t="s">
        <v>272</v>
      </c>
    </row>
    <row r="953" spans="1:18" ht="35.25" customHeight="1">
      <c r="A953" s="15">
        <f t="shared" si="14"/>
        <v>943</v>
      </c>
      <c r="B953" s="144" t="s">
        <v>1502</v>
      </c>
      <c r="C953" s="150" t="s">
        <v>723</v>
      </c>
      <c r="D953" s="156"/>
      <c r="E953" s="156"/>
      <c r="F953" s="156"/>
      <c r="G953" s="144"/>
      <c r="H953" s="141"/>
      <c r="I953" s="144" t="s">
        <v>18</v>
      </c>
      <c r="J953" s="153">
        <v>1</v>
      </c>
      <c r="K953" s="145" t="s">
        <v>730</v>
      </c>
      <c r="L953" s="142" t="s">
        <v>191</v>
      </c>
      <c r="M953" s="19"/>
      <c r="N953" s="142" t="s">
        <v>2544</v>
      </c>
      <c r="O953" s="149"/>
      <c r="P953" s="233"/>
      <c r="Q953" s="233"/>
      <c r="R953" s="142" t="s">
        <v>272</v>
      </c>
    </row>
    <row r="954" spans="1:18" ht="35.25" customHeight="1">
      <c r="A954" s="15">
        <f t="shared" si="14"/>
        <v>944</v>
      </c>
      <c r="B954" s="144" t="s">
        <v>1503</v>
      </c>
      <c r="C954" s="150" t="s">
        <v>723</v>
      </c>
      <c r="D954" s="156"/>
      <c r="E954" s="156"/>
      <c r="F954" s="156"/>
      <c r="G954" s="144"/>
      <c r="H954" s="141"/>
      <c r="I954" s="144" t="s">
        <v>18</v>
      </c>
      <c r="J954" s="153">
        <v>1</v>
      </c>
      <c r="K954" s="145" t="s">
        <v>730</v>
      </c>
      <c r="L954" s="142" t="s">
        <v>191</v>
      </c>
      <c r="M954" s="19"/>
      <c r="N954" s="142" t="s">
        <v>2544</v>
      </c>
      <c r="O954" s="149"/>
      <c r="P954" s="233"/>
      <c r="Q954" s="233"/>
      <c r="R954" s="142" t="s">
        <v>272</v>
      </c>
    </row>
    <row r="955" spans="1:18" ht="35.25" customHeight="1">
      <c r="A955" s="15">
        <f t="shared" si="14"/>
        <v>945</v>
      </c>
      <c r="B955" s="144" t="s">
        <v>1504</v>
      </c>
      <c r="C955" s="150" t="s">
        <v>723</v>
      </c>
      <c r="D955" s="156"/>
      <c r="E955" s="156"/>
      <c r="F955" s="156"/>
      <c r="G955" s="144"/>
      <c r="H955" s="141"/>
      <c r="I955" s="144" t="s">
        <v>18</v>
      </c>
      <c r="J955" s="153">
        <v>1</v>
      </c>
      <c r="K955" s="145" t="s">
        <v>730</v>
      </c>
      <c r="L955" s="142" t="s">
        <v>191</v>
      </c>
      <c r="M955" s="19"/>
      <c r="N955" s="142" t="s">
        <v>2544</v>
      </c>
      <c r="O955" s="149"/>
      <c r="P955" s="156"/>
      <c r="Q955" s="156"/>
      <c r="R955" s="142" t="s">
        <v>272</v>
      </c>
    </row>
    <row r="956" spans="1:18" ht="35.25" customHeight="1">
      <c r="A956" s="15">
        <f t="shared" si="14"/>
        <v>946</v>
      </c>
      <c r="B956" s="144" t="s">
        <v>1505</v>
      </c>
      <c r="C956" s="150" t="s">
        <v>723</v>
      </c>
      <c r="D956" s="156"/>
      <c r="E956" s="156"/>
      <c r="F956" s="156"/>
      <c r="G956" s="144"/>
      <c r="H956" s="141"/>
      <c r="I956" s="144" t="s">
        <v>18</v>
      </c>
      <c r="J956" s="153">
        <v>1</v>
      </c>
      <c r="K956" s="145" t="s">
        <v>730</v>
      </c>
      <c r="L956" s="142" t="s">
        <v>191</v>
      </c>
      <c r="M956" s="19"/>
      <c r="N956" s="142" t="s">
        <v>2544</v>
      </c>
      <c r="O956" s="149"/>
      <c r="P956" s="156"/>
      <c r="Q956" s="156"/>
      <c r="R956" s="142" t="s">
        <v>272</v>
      </c>
    </row>
    <row r="957" spans="1:18" ht="35.25" customHeight="1">
      <c r="A957" s="15">
        <f t="shared" si="14"/>
        <v>947</v>
      </c>
      <c r="B957" s="144" t="s">
        <v>1506</v>
      </c>
      <c r="C957" s="150" t="s">
        <v>723</v>
      </c>
      <c r="D957" s="156"/>
      <c r="E957" s="156"/>
      <c r="F957" s="156"/>
      <c r="G957" s="144"/>
      <c r="H957" s="141"/>
      <c r="I957" s="144" t="s">
        <v>18</v>
      </c>
      <c r="J957" s="153">
        <v>1</v>
      </c>
      <c r="K957" s="145" t="s">
        <v>730</v>
      </c>
      <c r="L957" s="142" t="s">
        <v>191</v>
      </c>
      <c r="M957" s="19"/>
      <c r="N957" s="142" t="s">
        <v>2544</v>
      </c>
      <c r="O957" s="149"/>
      <c r="P957" s="156"/>
      <c r="Q957" s="156"/>
      <c r="R957" s="142" t="s">
        <v>272</v>
      </c>
    </row>
    <row r="958" spans="1:18" ht="35.25" customHeight="1">
      <c r="A958" s="15">
        <f t="shared" si="14"/>
        <v>948</v>
      </c>
      <c r="B958" s="144" t="s">
        <v>1507</v>
      </c>
      <c r="C958" s="150" t="s">
        <v>723</v>
      </c>
      <c r="D958" s="156"/>
      <c r="E958" s="156"/>
      <c r="F958" s="156"/>
      <c r="G958" s="144"/>
      <c r="H958" s="141"/>
      <c r="I958" s="144" t="s">
        <v>18</v>
      </c>
      <c r="J958" s="153">
        <v>1</v>
      </c>
      <c r="K958" s="145" t="s">
        <v>730</v>
      </c>
      <c r="L958" s="142" t="s">
        <v>191</v>
      </c>
      <c r="M958" s="19"/>
      <c r="N958" s="142" t="s">
        <v>2544</v>
      </c>
      <c r="O958" s="149"/>
      <c r="P958" s="156"/>
      <c r="Q958" s="156"/>
      <c r="R958" s="142" t="s">
        <v>272</v>
      </c>
    </row>
    <row r="959" spans="1:18" ht="35.25" customHeight="1">
      <c r="A959" s="15">
        <f t="shared" si="14"/>
        <v>949</v>
      </c>
      <c r="B959" s="144" t="s">
        <v>1508</v>
      </c>
      <c r="C959" s="150" t="s">
        <v>723</v>
      </c>
      <c r="D959" s="156"/>
      <c r="E959" s="156"/>
      <c r="F959" s="156"/>
      <c r="G959" s="144"/>
      <c r="H959" s="141"/>
      <c r="I959" s="144" t="s">
        <v>18</v>
      </c>
      <c r="J959" s="153">
        <v>1</v>
      </c>
      <c r="K959" s="145" t="s">
        <v>730</v>
      </c>
      <c r="L959" s="142" t="s">
        <v>191</v>
      </c>
      <c r="M959" s="19"/>
      <c r="N959" s="142" t="s">
        <v>2544</v>
      </c>
      <c r="O959" s="149"/>
      <c r="P959" s="156"/>
      <c r="Q959" s="156"/>
      <c r="R959" s="142" t="s">
        <v>272</v>
      </c>
    </row>
    <row r="960" spans="1:18" ht="35.25" customHeight="1">
      <c r="A960" s="15">
        <f t="shared" si="14"/>
        <v>950</v>
      </c>
      <c r="B960" s="144" t="s">
        <v>1509</v>
      </c>
      <c r="C960" s="150" t="s">
        <v>723</v>
      </c>
      <c r="D960" s="156"/>
      <c r="E960" s="156"/>
      <c r="F960" s="156"/>
      <c r="G960" s="144"/>
      <c r="H960" s="141"/>
      <c r="I960" s="144" t="s">
        <v>18</v>
      </c>
      <c r="J960" s="153">
        <v>1</v>
      </c>
      <c r="K960" s="145" t="s">
        <v>730</v>
      </c>
      <c r="L960" s="142" t="s">
        <v>191</v>
      </c>
      <c r="M960" s="19"/>
      <c r="N960" s="142" t="s">
        <v>2544</v>
      </c>
      <c r="O960" s="149"/>
      <c r="P960" s="156"/>
      <c r="Q960" s="156"/>
      <c r="R960" s="142" t="s">
        <v>272</v>
      </c>
    </row>
    <row r="961" spans="1:18" ht="35.25" customHeight="1">
      <c r="A961" s="15">
        <f t="shared" si="14"/>
        <v>951</v>
      </c>
      <c r="B961" s="144" t="s">
        <v>1510</v>
      </c>
      <c r="C961" s="150" t="s">
        <v>723</v>
      </c>
      <c r="D961" s="156"/>
      <c r="E961" s="156"/>
      <c r="F961" s="156"/>
      <c r="G961" s="144"/>
      <c r="H961" s="141"/>
      <c r="I961" s="144" t="s">
        <v>18</v>
      </c>
      <c r="J961" s="153">
        <v>1</v>
      </c>
      <c r="K961" s="145" t="s">
        <v>730</v>
      </c>
      <c r="L961" s="142" t="s">
        <v>191</v>
      </c>
      <c r="M961" s="19"/>
      <c r="N961" s="142" t="s">
        <v>2544</v>
      </c>
      <c r="O961" s="149"/>
      <c r="P961" s="156"/>
      <c r="Q961" s="156"/>
      <c r="R961" s="142" t="s">
        <v>272</v>
      </c>
    </row>
    <row r="962" spans="1:18" ht="35.25" customHeight="1">
      <c r="A962" s="15">
        <f t="shared" si="14"/>
        <v>952</v>
      </c>
      <c r="B962" s="144" t="s">
        <v>1511</v>
      </c>
      <c r="C962" s="150" t="s">
        <v>723</v>
      </c>
      <c r="D962" s="176"/>
      <c r="E962" s="176"/>
      <c r="F962" s="176"/>
      <c r="G962" s="144"/>
      <c r="H962" s="141"/>
      <c r="I962" s="144" t="s">
        <v>18</v>
      </c>
      <c r="J962" s="153">
        <v>1</v>
      </c>
      <c r="K962" s="145" t="s">
        <v>730</v>
      </c>
      <c r="L962" s="142" t="s">
        <v>191</v>
      </c>
      <c r="M962" s="19"/>
      <c r="N962" s="142" t="s">
        <v>2544</v>
      </c>
      <c r="O962" s="149"/>
      <c r="P962" s="156"/>
      <c r="Q962" s="156"/>
      <c r="R962" s="142" t="s">
        <v>272</v>
      </c>
    </row>
    <row r="963" spans="1:18" ht="35.25" customHeight="1">
      <c r="A963" s="15">
        <f t="shared" si="14"/>
        <v>953</v>
      </c>
      <c r="B963" s="144" t="s">
        <v>1512</v>
      </c>
      <c r="C963" s="150" t="s">
        <v>723</v>
      </c>
      <c r="D963" s="156"/>
      <c r="E963" s="156"/>
      <c r="F963" s="156"/>
      <c r="G963" s="144"/>
      <c r="H963" s="141"/>
      <c r="I963" s="144" t="s">
        <v>18</v>
      </c>
      <c r="J963" s="153">
        <v>1</v>
      </c>
      <c r="K963" s="145" t="s">
        <v>730</v>
      </c>
      <c r="L963" s="142" t="s">
        <v>191</v>
      </c>
      <c r="M963" s="19"/>
      <c r="N963" s="142" t="s">
        <v>2544</v>
      </c>
      <c r="O963" s="149"/>
      <c r="P963" s="156"/>
      <c r="Q963" s="156"/>
      <c r="R963" s="142" t="s">
        <v>272</v>
      </c>
    </row>
    <row r="964" spans="1:18" ht="35.25" customHeight="1">
      <c r="A964" s="15">
        <f t="shared" si="14"/>
        <v>954</v>
      </c>
      <c r="B964" s="144" t="s">
        <v>1513</v>
      </c>
      <c r="C964" s="150" t="s">
        <v>723</v>
      </c>
      <c r="D964" s="156"/>
      <c r="E964" s="156"/>
      <c r="F964" s="156"/>
      <c r="G964" s="144"/>
      <c r="H964" s="141"/>
      <c r="I964" s="144" t="s">
        <v>18</v>
      </c>
      <c r="J964" s="153">
        <v>1</v>
      </c>
      <c r="K964" s="145" t="s">
        <v>730</v>
      </c>
      <c r="L964" s="142" t="s">
        <v>191</v>
      </c>
      <c r="M964" s="19"/>
      <c r="N964" s="142" t="s">
        <v>2544</v>
      </c>
      <c r="O964" s="149"/>
      <c r="P964" s="156"/>
      <c r="Q964" s="156"/>
      <c r="R964" s="142" t="s">
        <v>272</v>
      </c>
    </row>
    <row r="965" spans="1:18" ht="35.25" customHeight="1">
      <c r="A965" s="15">
        <f t="shared" si="14"/>
        <v>955</v>
      </c>
      <c r="B965" s="144" t="s">
        <v>1514</v>
      </c>
      <c r="C965" s="150" t="s">
        <v>723</v>
      </c>
      <c r="D965" s="156"/>
      <c r="E965" s="156"/>
      <c r="F965" s="156"/>
      <c r="G965" s="144"/>
      <c r="H965" s="141"/>
      <c r="I965" s="144" t="s">
        <v>18</v>
      </c>
      <c r="J965" s="153">
        <v>1</v>
      </c>
      <c r="K965" s="145" t="s">
        <v>730</v>
      </c>
      <c r="L965" s="142" t="s">
        <v>191</v>
      </c>
      <c r="M965" s="19"/>
      <c r="N965" s="142" t="s">
        <v>2544</v>
      </c>
      <c r="O965" s="149"/>
      <c r="P965" s="156"/>
      <c r="Q965" s="156"/>
      <c r="R965" s="142" t="s">
        <v>272</v>
      </c>
    </row>
    <row r="966" spans="1:18" ht="35.25" customHeight="1">
      <c r="A966" s="15">
        <f t="shared" si="14"/>
        <v>956</v>
      </c>
      <c r="B966" s="144" t="s">
        <v>1515</v>
      </c>
      <c r="C966" s="150" t="s">
        <v>723</v>
      </c>
      <c r="D966" s="156"/>
      <c r="E966" s="156"/>
      <c r="F966" s="156"/>
      <c r="G966" s="144"/>
      <c r="H966" s="141"/>
      <c r="I966" s="144" t="s">
        <v>18</v>
      </c>
      <c r="J966" s="153">
        <v>1</v>
      </c>
      <c r="K966" s="145" t="s">
        <v>730</v>
      </c>
      <c r="L966" s="142" t="s">
        <v>191</v>
      </c>
      <c r="M966" s="19"/>
      <c r="N966" s="142" t="s">
        <v>2544</v>
      </c>
      <c r="O966" s="149"/>
      <c r="P966" s="156"/>
      <c r="Q966" s="156"/>
      <c r="R966" s="142" t="s">
        <v>272</v>
      </c>
    </row>
    <row r="967" spans="1:18" ht="35.25" customHeight="1">
      <c r="A967" s="15">
        <f t="shared" si="14"/>
        <v>957</v>
      </c>
      <c r="B967" s="144" t="s">
        <v>1516</v>
      </c>
      <c r="C967" s="150" t="s">
        <v>451</v>
      </c>
      <c r="D967" s="156"/>
      <c r="E967" s="156"/>
      <c r="F967" s="156"/>
      <c r="G967" s="144" t="s">
        <v>2404</v>
      </c>
      <c r="H967" s="141"/>
      <c r="I967" s="153" t="s">
        <v>566</v>
      </c>
      <c r="J967" s="153">
        <v>1</v>
      </c>
      <c r="K967" s="145" t="s">
        <v>730</v>
      </c>
      <c r="L967" s="142" t="s">
        <v>191</v>
      </c>
      <c r="M967" s="19"/>
      <c r="N967" s="144" t="s">
        <v>2563</v>
      </c>
      <c r="O967" s="150"/>
      <c r="P967" s="184"/>
      <c r="Q967" s="184"/>
      <c r="R967" s="144" t="s">
        <v>2666</v>
      </c>
    </row>
    <row r="968" spans="1:18" ht="35.25" customHeight="1">
      <c r="A968" s="15">
        <f t="shared" si="14"/>
        <v>958</v>
      </c>
      <c r="B968" s="144" t="s">
        <v>1517</v>
      </c>
      <c r="C968" s="150" t="s">
        <v>570</v>
      </c>
      <c r="D968" s="156"/>
      <c r="E968" s="156"/>
      <c r="F968" s="156"/>
      <c r="G968" s="144"/>
      <c r="H968" s="141"/>
      <c r="I968" s="153" t="s">
        <v>566</v>
      </c>
      <c r="J968" s="153">
        <v>1</v>
      </c>
      <c r="K968" s="145" t="s">
        <v>730</v>
      </c>
      <c r="L968" s="142" t="s">
        <v>191</v>
      </c>
      <c r="M968" s="19"/>
      <c r="N968" s="144" t="s">
        <v>2563</v>
      </c>
      <c r="O968" s="150"/>
      <c r="P968" s="184"/>
      <c r="Q968" s="184"/>
      <c r="R968" s="144" t="s">
        <v>2666</v>
      </c>
    </row>
    <row r="969" spans="1:18" ht="35.25" customHeight="1">
      <c r="A969" s="15">
        <f t="shared" si="14"/>
        <v>959</v>
      </c>
      <c r="B969" s="144" t="s">
        <v>1518</v>
      </c>
      <c r="C969" s="150" t="s">
        <v>32</v>
      </c>
      <c r="D969" s="156"/>
      <c r="E969" s="156"/>
      <c r="F969" s="156"/>
      <c r="G969" s="144"/>
      <c r="H969" s="141"/>
      <c r="I969" s="153" t="s">
        <v>566</v>
      </c>
      <c r="J969" s="153">
        <v>1</v>
      </c>
      <c r="K969" s="145" t="s">
        <v>730</v>
      </c>
      <c r="L969" s="142" t="s">
        <v>191</v>
      </c>
      <c r="M969" s="19"/>
      <c r="N969" s="144" t="s">
        <v>2563</v>
      </c>
      <c r="O969" s="150"/>
      <c r="P969" s="184"/>
      <c r="Q969" s="184"/>
      <c r="R969" s="144" t="s">
        <v>2666</v>
      </c>
    </row>
    <row r="970" spans="1:18" ht="35.25" customHeight="1">
      <c r="A970" s="15">
        <f t="shared" si="14"/>
        <v>960</v>
      </c>
      <c r="B970" s="144" t="s">
        <v>1519</v>
      </c>
      <c r="C970" s="150" t="s">
        <v>582</v>
      </c>
      <c r="D970" s="156"/>
      <c r="E970" s="156"/>
      <c r="F970" s="156"/>
      <c r="G970" s="150"/>
      <c r="H970" s="141"/>
      <c r="I970" s="153" t="s">
        <v>566</v>
      </c>
      <c r="J970" s="153">
        <v>1</v>
      </c>
      <c r="K970" s="145" t="s">
        <v>730</v>
      </c>
      <c r="L970" s="142" t="s">
        <v>191</v>
      </c>
      <c r="M970" s="19"/>
      <c r="N970" s="144" t="s">
        <v>2563</v>
      </c>
      <c r="O970" s="150"/>
      <c r="P970" s="156"/>
      <c r="Q970" s="156"/>
      <c r="R970" s="144" t="s">
        <v>2666</v>
      </c>
    </row>
    <row r="971" spans="1:18" ht="35.25" customHeight="1">
      <c r="A971" s="15">
        <f t="shared" si="14"/>
        <v>961</v>
      </c>
      <c r="B971" s="144" t="s">
        <v>1520</v>
      </c>
      <c r="C971" s="150" t="s">
        <v>1306</v>
      </c>
      <c r="D971" s="156"/>
      <c r="E971" s="156"/>
      <c r="F971" s="156"/>
      <c r="G971" s="150"/>
      <c r="H971" s="141"/>
      <c r="I971" s="153" t="s">
        <v>566</v>
      </c>
      <c r="J971" s="153">
        <v>1</v>
      </c>
      <c r="K971" s="145" t="s">
        <v>730</v>
      </c>
      <c r="L971" s="142" t="s">
        <v>2520</v>
      </c>
      <c r="M971" s="19"/>
      <c r="N971" s="144" t="s">
        <v>2597</v>
      </c>
      <c r="O971" s="150"/>
      <c r="P971" s="156"/>
      <c r="Q971" s="156"/>
      <c r="R971" s="144" t="s">
        <v>2666</v>
      </c>
    </row>
    <row r="972" spans="1:18" ht="35.25" customHeight="1">
      <c r="A972" s="15">
        <f t="shared" si="14"/>
        <v>962</v>
      </c>
      <c r="B972" s="144" t="s">
        <v>1521</v>
      </c>
      <c r="C972" s="150" t="s">
        <v>445</v>
      </c>
      <c r="D972" s="156"/>
      <c r="E972" s="156"/>
      <c r="F972" s="156"/>
      <c r="G972" s="150"/>
      <c r="H972" s="141"/>
      <c r="I972" s="153" t="s">
        <v>566</v>
      </c>
      <c r="J972" s="153">
        <v>1</v>
      </c>
      <c r="K972" s="145" t="s">
        <v>730</v>
      </c>
      <c r="L972" s="142" t="s">
        <v>191</v>
      </c>
      <c r="M972" s="19"/>
      <c r="N972" s="144" t="s">
        <v>2563</v>
      </c>
      <c r="O972" s="150"/>
      <c r="P972" s="156"/>
      <c r="Q972" s="156"/>
      <c r="R972" s="144" t="s">
        <v>2666</v>
      </c>
    </row>
    <row r="973" spans="1:18" ht="35.25" customHeight="1">
      <c r="A973" s="15">
        <f t="shared" si="14"/>
        <v>963</v>
      </c>
      <c r="B973" s="144" t="s">
        <v>1522</v>
      </c>
      <c r="C973" s="150" t="s">
        <v>575</v>
      </c>
      <c r="D973" s="156"/>
      <c r="E973" s="156"/>
      <c r="F973" s="156"/>
      <c r="G973" s="144"/>
      <c r="H973" s="141"/>
      <c r="I973" s="153" t="s">
        <v>566</v>
      </c>
      <c r="J973" s="153">
        <v>1</v>
      </c>
      <c r="K973" s="145" t="s">
        <v>730</v>
      </c>
      <c r="L973" s="142" t="s">
        <v>191</v>
      </c>
      <c r="M973" s="19"/>
      <c r="N973" s="144" t="s">
        <v>2563</v>
      </c>
      <c r="O973" s="150"/>
      <c r="P973" s="156"/>
      <c r="Q973" s="156"/>
      <c r="R973" s="144" t="s">
        <v>2666</v>
      </c>
    </row>
    <row r="974" spans="1:18" ht="35.25" customHeight="1">
      <c r="A974" s="15">
        <f t="shared" si="14"/>
        <v>964</v>
      </c>
      <c r="B974" s="144" t="s">
        <v>1523</v>
      </c>
      <c r="C974" s="150" t="s">
        <v>115</v>
      </c>
      <c r="D974" s="156"/>
      <c r="E974" s="156"/>
      <c r="F974" s="156"/>
      <c r="G974" s="144"/>
      <c r="H974" s="141"/>
      <c r="I974" s="153" t="s">
        <v>566</v>
      </c>
      <c r="J974" s="153">
        <v>1</v>
      </c>
      <c r="K974" s="145" t="s">
        <v>730</v>
      </c>
      <c r="L974" s="142" t="s">
        <v>191</v>
      </c>
      <c r="M974" s="19"/>
      <c r="N974" s="144" t="s">
        <v>2563</v>
      </c>
      <c r="O974" s="150"/>
      <c r="P974" s="156"/>
      <c r="Q974" s="156"/>
      <c r="R974" s="144" t="s">
        <v>2666</v>
      </c>
    </row>
    <row r="975" spans="1:18" ht="35.25" customHeight="1">
      <c r="A975" s="15">
        <f t="shared" si="14"/>
        <v>965</v>
      </c>
      <c r="B975" s="144" t="s">
        <v>1524</v>
      </c>
      <c r="C975" s="150" t="s">
        <v>1525</v>
      </c>
      <c r="D975" s="156"/>
      <c r="E975" s="156"/>
      <c r="F975" s="156"/>
      <c r="G975" s="144"/>
      <c r="H975" s="141"/>
      <c r="I975" s="153" t="s">
        <v>566</v>
      </c>
      <c r="J975" s="153">
        <v>1</v>
      </c>
      <c r="K975" s="145" t="s">
        <v>730</v>
      </c>
      <c r="L975" s="142" t="s">
        <v>191</v>
      </c>
      <c r="M975" s="19"/>
      <c r="N975" s="144" t="s">
        <v>2563</v>
      </c>
      <c r="O975" s="150"/>
      <c r="P975" s="156"/>
      <c r="Q975" s="156"/>
      <c r="R975" s="144" t="s">
        <v>2666</v>
      </c>
    </row>
    <row r="976" spans="1:18" ht="35.25" customHeight="1">
      <c r="A976" s="15">
        <f t="shared" si="14"/>
        <v>966</v>
      </c>
      <c r="B976" s="144" t="s">
        <v>1526</v>
      </c>
      <c r="C976" s="150" t="s">
        <v>633</v>
      </c>
      <c r="D976" s="156"/>
      <c r="E976" s="156"/>
      <c r="F976" s="156"/>
      <c r="G976" s="144"/>
      <c r="H976" s="141"/>
      <c r="I976" s="153" t="s">
        <v>566</v>
      </c>
      <c r="J976" s="153">
        <v>1</v>
      </c>
      <c r="K976" s="145" t="s">
        <v>730</v>
      </c>
      <c r="L976" s="142" t="s">
        <v>2521</v>
      </c>
      <c r="M976" s="19"/>
      <c r="N976" s="144" t="s">
        <v>2564</v>
      </c>
      <c r="O976" s="150"/>
      <c r="P976" s="156"/>
      <c r="Q976" s="156"/>
      <c r="R976" s="150"/>
    </row>
    <row r="977" spans="1:18" ht="35.25" customHeight="1">
      <c r="A977" s="15">
        <f t="shared" si="14"/>
        <v>967</v>
      </c>
      <c r="B977" s="144" t="s">
        <v>1527</v>
      </c>
      <c r="C977" s="150" t="s">
        <v>120</v>
      </c>
      <c r="D977" s="156"/>
      <c r="E977" s="156"/>
      <c r="F977" s="156"/>
      <c r="G977" s="144"/>
      <c r="H977" s="141"/>
      <c r="I977" s="153" t="s">
        <v>566</v>
      </c>
      <c r="J977" s="153">
        <v>1</v>
      </c>
      <c r="K977" s="145" t="s">
        <v>730</v>
      </c>
      <c r="L977" s="142" t="s">
        <v>2521</v>
      </c>
      <c r="M977" s="19"/>
      <c r="N977" s="144" t="s">
        <v>2564</v>
      </c>
      <c r="O977" s="150"/>
      <c r="P977" s="156"/>
      <c r="Q977" s="156"/>
      <c r="R977" s="150"/>
    </row>
    <row r="978" spans="1:18" ht="35.25" customHeight="1">
      <c r="A978" s="15">
        <f t="shared" si="14"/>
        <v>968</v>
      </c>
      <c r="B978" s="144" t="s">
        <v>1528</v>
      </c>
      <c r="C978" s="150" t="s">
        <v>1529</v>
      </c>
      <c r="D978" s="156"/>
      <c r="E978" s="156"/>
      <c r="F978" s="156"/>
      <c r="G978" s="144"/>
      <c r="H978" s="141"/>
      <c r="I978" s="153" t="s">
        <v>566</v>
      </c>
      <c r="J978" s="153">
        <v>1</v>
      </c>
      <c r="K978" s="145" t="s">
        <v>730</v>
      </c>
      <c r="L978" s="142" t="s">
        <v>2521</v>
      </c>
      <c r="M978" s="19"/>
      <c r="N978" s="144" t="s">
        <v>2564</v>
      </c>
      <c r="O978" s="150"/>
      <c r="P978" s="180"/>
      <c r="Q978" s="180"/>
      <c r="R978" s="150"/>
    </row>
    <row r="979" spans="1:18" ht="35.25" customHeight="1">
      <c r="A979" s="15">
        <f t="shared" ref="A979:A1042" si="15">A978+1</f>
        <v>969</v>
      </c>
      <c r="B979" s="144" t="s">
        <v>1530</v>
      </c>
      <c r="C979" s="150" t="s">
        <v>1531</v>
      </c>
      <c r="D979" s="156"/>
      <c r="E979" s="156"/>
      <c r="F979" s="156"/>
      <c r="G979" s="144"/>
      <c r="H979" s="141"/>
      <c r="I979" s="153" t="s">
        <v>566</v>
      </c>
      <c r="J979" s="153">
        <v>1</v>
      </c>
      <c r="K979" s="145" t="s">
        <v>730</v>
      </c>
      <c r="L979" s="142" t="s">
        <v>2521</v>
      </c>
      <c r="M979" s="19"/>
      <c r="N979" s="144" t="s">
        <v>2564</v>
      </c>
      <c r="O979" s="150"/>
      <c r="P979" s="180"/>
      <c r="Q979" s="180"/>
      <c r="R979" s="150"/>
    </row>
    <row r="980" spans="1:18" ht="35.25" customHeight="1">
      <c r="A980" s="15">
        <f t="shared" si="15"/>
        <v>970</v>
      </c>
      <c r="B980" s="144" t="s">
        <v>1532</v>
      </c>
      <c r="C980" s="150" t="s">
        <v>1533</v>
      </c>
      <c r="D980" s="156"/>
      <c r="E980" s="156"/>
      <c r="F980" s="156"/>
      <c r="G980" s="144"/>
      <c r="H980" s="141"/>
      <c r="I980" s="153" t="s">
        <v>566</v>
      </c>
      <c r="J980" s="153">
        <v>1</v>
      </c>
      <c r="K980" s="145" t="s">
        <v>730</v>
      </c>
      <c r="L980" s="142" t="s">
        <v>2521</v>
      </c>
      <c r="M980" s="19"/>
      <c r="N980" s="144" t="s">
        <v>2564</v>
      </c>
      <c r="O980" s="150"/>
      <c r="P980" s="180"/>
      <c r="Q980" s="180"/>
      <c r="R980" s="144" t="s">
        <v>2505</v>
      </c>
    </row>
    <row r="981" spans="1:18" ht="35.25" customHeight="1">
      <c r="A981" s="15">
        <f t="shared" si="15"/>
        <v>971</v>
      </c>
      <c r="B981" s="144" t="s">
        <v>1534</v>
      </c>
      <c r="C981" s="150" t="s">
        <v>1535</v>
      </c>
      <c r="D981" s="156"/>
      <c r="E981" s="156"/>
      <c r="F981" s="156"/>
      <c r="G981" s="144"/>
      <c r="H981" s="141"/>
      <c r="I981" s="153" t="s">
        <v>566</v>
      </c>
      <c r="J981" s="153">
        <v>1</v>
      </c>
      <c r="K981" s="145" t="s">
        <v>730</v>
      </c>
      <c r="L981" s="142" t="s">
        <v>2521</v>
      </c>
      <c r="M981" s="19"/>
      <c r="N981" s="144" t="s">
        <v>2564</v>
      </c>
      <c r="O981" s="150"/>
      <c r="P981" s="180"/>
      <c r="Q981" s="180"/>
      <c r="R981" s="150"/>
    </row>
    <row r="982" spans="1:18" ht="35.25" customHeight="1">
      <c r="A982" s="15">
        <f t="shared" si="15"/>
        <v>972</v>
      </c>
      <c r="B982" s="144" t="s">
        <v>1536</v>
      </c>
      <c r="C982" s="150" t="s">
        <v>1537</v>
      </c>
      <c r="D982" s="156"/>
      <c r="E982" s="156"/>
      <c r="F982" s="156"/>
      <c r="G982" s="144"/>
      <c r="H982" s="141"/>
      <c r="I982" s="153" t="s">
        <v>566</v>
      </c>
      <c r="J982" s="153">
        <v>1</v>
      </c>
      <c r="K982" s="145" t="s">
        <v>730</v>
      </c>
      <c r="L982" s="142" t="s">
        <v>2521</v>
      </c>
      <c r="M982" s="19"/>
      <c r="N982" s="144" t="s">
        <v>2564</v>
      </c>
      <c r="O982" s="150"/>
      <c r="P982" s="156"/>
      <c r="Q982" s="156"/>
      <c r="R982" s="150"/>
    </row>
    <row r="983" spans="1:18" ht="35.25" customHeight="1">
      <c r="A983" s="15">
        <f t="shared" si="15"/>
        <v>973</v>
      </c>
      <c r="B983" s="144" t="s">
        <v>1538</v>
      </c>
      <c r="C983" s="150" t="s">
        <v>578</v>
      </c>
      <c r="D983" s="156"/>
      <c r="E983" s="156"/>
      <c r="F983" s="156"/>
      <c r="G983" s="144"/>
      <c r="H983" s="141"/>
      <c r="I983" s="153" t="s">
        <v>566</v>
      </c>
      <c r="J983" s="153">
        <v>1</v>
      </c>
      <c r="K983" s="145" t="s">
        <v>730</v>
      </c>
      <c r="L983" s="142" t="s">
        <v>2521</v>
      </c>
      <c r="M983" s="19"/>
      <c r="N983" s="144" t="s">
        <v>2564</v>
      </c>
      <c r="O983" s="150"/>
      <c r="P983" s="156"/>
      <c r="Q983" s="156"/>
      <c r="R983" s="144" t="s">
        <v>2498</v>
      </c>
    </row>
    <row r="984" spans="1:18" ht="35.25" customHeight="1">
      <c r="A984" s="15">
        <f t="shared" si="15"/>
        <v>974</v>
      </c>
      <c r="B984" s="144" t="s">
        <v>1539</v>
      </c>
      <c r="C984" s="150" t="s">
        <v>582</v>
      </c>
      <c r="D984" s="156"/>
      <c r="E984" s="156"/>
      <c r="F984" s="156"/>
      <c r="G984" s="144"/>
      <c r="H984" s="141"/>
      <c r="I984" s="153" t="s">
        <v>566</v>
      </c>
      <c r="J984" s="153">
        <v>1</v>
      </c>
      <c r="K984" s="145" t="s">
        <v>730</v>
      </c>
      <c r="L984" s="142" t="s">
        <v>2521</v>
      </c>
      <c r="M984" s="19"/>
      <c r="N984" s="144" t="s">
        <v>2564</v>
      </c>
      <c r="O984" s="150"/>
      <c r="P984" s="156"/>
      <c r="Q984" s="156"/>
      <c r="R984" s="150"/>
    </row>
    <row r="985" spans="1:18" ht="35.25" customHeight="1">
      <c r="A985" s="15">
        <f t="shared" si="15"/>
        <v>975</v>
      </c>
      <c r="B985" s="144" t="s">
        <v>1540</v>
      </c>
      <c r="C985" s="150" t="s">
        <v>445</v>
      </c>
      <c r="D985" s="156"/>
      <c r="E985" s="156"/>
      <c r="F985" s="156"/>
      <c r="G985" s="144"/>
      <c r="H985" s="141"/>
      <c r="I985" s="153" t="s">
        <v>566</v>
      </c>
      <c r="J985" s="153">
        <v>1</v>
      </c>
      <c r="K985" s="145" t="s">
        <v>730</v>
      </c>
      <c r="L985" s="142" t="s">
        <v>2521</v>
      </c>
      <c r="M985" s="19"/>
      <c r="N985" s="144" t="s">
        <v>2564</v>
      </c>
      <c r="O985" s="150"/>
      <c r="P985" s="156"/>
      <c r="Q985" s="156"/>
      <c r="R985" s="150"/>
    </row>
    <row r="986" spans="1:18" ht="35.25" customHeight="1">
      <c r="A986" s="15">
        <f t="shared" si="15"/>
        <v>976</v>
      </c>
      <c r="B986" s="156" t="s">
        <v>1541</v>
      </c>
      <c r="C986" s="169" t="s">
        <v>1542</v>
      </c>
      <c r="D986" s="156"/>
      <c r="E986" s="156"/>
      <c r="F986" s="156"/>
      <c r="G986" s="156"/>
      <c r="H986" s="141"/>
      <c r="I986" s="158" t="s">
        <v>566</v>
      </c>
      <c r="J986" s="158">
        <v>1</v>
      </c>
      <c r="K986" s="145" t="s">
        <v>730</v>
      </c>
      <c r="L986" s="145" t="s">
        <v>2521</v>
      </c>
      <c r="M986" s="276" t="s">
        <v>3255</v>
      </c>
      <c r="N986" s="156" t="s">
        <v>2565</v>
      </c>
      <c r="O986" s="169"/>
      <c r="P986" s="156"/>
      <c r="Q986" s="156"/>
      <c r="R986" s="169"/>
    </row>
    <row r="987" spans="1:18" ht="35.25" customHeight="1">
      <c r="A987" s="15">
        <f t="shared" si="15"/>
        <v>977</v>
      </c>
      <c r="B987" s="156" t="s">
        <v>1543</v>
      </c>
      <c r="C987" s="169" t="s">
        <v>120</v>
      </c>
      <c r="D987" s="156"/>
      <c r="E987" s="156"/>
      <c r="F987" s="156"/>
      <c r="G987" s="156"/>
      <c r="H987" s="141"/>
      <c r="I987" s="158" t="s">
        <v>566</v>
      </c>
      <c r="J987" s="158">
        <v>1</v>
      </c>
      <c r="K987" s="145" t="s">
        <v>730</v>
      </c>
      <c r="L987" s="145" t="s">
        <v>2521</v>
      </c>
      <c r="M987" s="276" t="s">
        <v>3255</v>
      </c>
      <c r="N987" s="156" t="s">
        <v>2565</v>
      </c>
      <c r="O987" s="169"/>
      <c r="P987" s="156"/>
      <c r="Q987" s="156"/>
      <c r="R987" s="169"/>
    </row>
    <row r="988" spans="1:18" ht="35.25" customHeight="1">
      <c r="A988" s="15">
        <f t="shared" si="15"/>
        <v>978</v>
      </c>
      <c r="B988" s="156" t="s">
        <v>1544</v>
      </c>
      <c r="C988" s="169" t="s">
        <v>1535</v>
      </c>
      <c r="D988" s="156"/>
      <c r="E988" s="156"/>
      <c r="F988" s="156"/>
      <c r="G988" s="156"/>
      <c r="H988" s="141"/>
      <c r="I988" s="158" t="s">
        <v>566</v>
      </c>
      <c r="J988" s="158">
        <v>1</v>
      </c>
      <c r="K988" s="145" t="s">
        <v>730</v>
      </c>
      <c r="L988" s="145" t="s">
        <v>2521</v>
      </c>
      <c r="M988" s="276" t="s">
        <v>3255</v>
      </c>
      <c r="N988" s="156" t="s">
        <v>2565</v>
      </c>
      <c r="O988" s="169"/>
      <c r="P988" s="156"/>
      <c r="Q988" s="156"/>
      <c r="R988" s="169"/>
    </row>
    <row r="989" spans="1:18" ht="35.25" customHeight="1">
      <c r="A989" s="15">
        <f t="shared" si="15"/>
        <v>979</v>
      </c>
      <c r="B989" s="156" t="s">
        <v>1545</v>
      </c>
      <c r="C989" s="189" t="s">
        <v>1546</v>
      </c>
      <c r="D989" s="156"/>
      <c r="E989" s="156"/>
      <c r="F989" s="156"/>
      <c r="G989" s="176"/>
      <c r="H989" s="141"/>
      <c r="I989" s="158" t="s">
        <v>566</v>
      </c>
      <c r="J989" s="158">
        <v>1</v>
      </c>
      <c r="K989" s="145" t="s">
        <v>730</v>
      </c>
      <c r="L989" s="145" t="s">
        <v>2521</v>
      </c>
      <c r="M989" s="276" t="s">
        <v>3255</v>
      </c>
      <c r="N989" s="176" t="s">
        <v>2565</v>
      </c>
      <c r="O989" s="189"/>
      <c r="P989" s="156"/>
      <c r="Q989" s="156"/>
      <c r="R989" s="169"/>
    </row>
    <row r="990" spans="1:18" ht="35.25" customHeight="1">
      <c r="A990" s="15">
        <f t="shared" si="15"/>
        <v>980</v>
      </c>
      <c r="B990" s="156" t="s">
        <v>1547</v>
      </c>
      <c r="C990" s="189" t="s">
        <v>1548</v>
      </c>
      <c r="D990" s="156"/>
      <c r="E990" s="156"/>
      <c r="F990" s="156"/>
      <c r="G990" s="176" t="s">
        <v>2405</v>
      </c>
      <c r="H990" s="141"/>
      <c r="I990" s="158" t="s">
        <v>566</v>
      </c>
      <c r="J990" s="158">
        <v>1</v>
      </c>
      <c r="K990" s="145" t="s">
        <v>730</v>
      </c>
      <c r="L990" s="145" t="s">
        <v>2521</v>
      </c>
      <c r="M990" s="276" t="s">
        <v>3255</v>
      </c>
      <c r="N990" s="176" t="s">
        <v>2565</v>
      </c>
      <c r="O990" s="189"/>
      <c r="P990" s="156"/>
      <c r="Q990" s="156"/>
      <c r="R990" s="169"/>
    </row>
    <row r="991" spans="1:18" ht="35.25" customHeight="1">
      <c r="A991" s="15">
        <f t="shared" si="15"/>
        <v>981</v>
      </c>
      <c r="B991" s="156" t="s">
        <v>1549</v>
      </c>
      <c r="C991" s="189" t="s">
        <v>582</v>
      </c>
      <c r="D991" s="156"/>
      <c r="E991" s="156"/>
      <c r="F991" s="156"/>
      <c r="G991" s="176"/>
      <c r="H991" s="141"/>
      <c r="I991" s="158" t="s">
        <v>566</v>
      </c>
      <c r="J991" s="158">
        <v>1</v>
      </c>
      <c r="K991" s="145" t="s">
        <v>730</v>
      </c>
      <c r="L991" s="145" t="s">
        <v>2521</v>
      </c>
      <c r="M991" s="276" t="s">
        <v>3255</v>
      </c>
      <c r="N991" s="176" t="s">
        <v>2565</v>
      </c>
      <c r="O991" s="189"/>
      <c r="P991" s="156"/>
      <c r="Q991" s="156"/>
      <c r="R991" s="169"/>
    </row>
    <row r="992" spans="1:18" ht="35.25" customHeight="1">
      <c r="A992" s="15">
        <f t="shared" si="15"/>
        <v>982</v>
      </c>
      <c r="B992" s="144" t="s">
        <v>1550</v>
      </c>
      <c r="C992" s="191" t="s">
        <v>451</v>
      </c>
      <c r="D992" s="156"/>
      <c r="E992" s="156"/>
      <c r="F992" s="156"/>
      <c r="G992" s="161"/>
      <c r="H992" s="141"/>
      <c r="I992" s="153" t="s">
        <v>566</v>
      </c>
      <c r="J992" s="153">
        <v>1</v>
      </c>
      <c r="K992" s="145" t="s">
        <v>730</v>
      </c>
      <c r="L992" s="142" t="s">
        <v>2521</v>
      </c>
      <c r="M992" s="19"/>
      <c r="N992" s="161" t="s">
        <v>2566</v>
      </c>
      <c r="O992" s="191"/>
      <c r="P992" s="156"/>
      <c r="Q992" s="156"/>
      <c r="R992" s="150"/>
    </row>
    <row r="993" spans="1:18" ht="35.25" customHeight="1">
      <c r="A993" s="15">
        <f t="shared" si="15"/>
        <v>983</v>
      </c>
      <c r="B993" s="144" t="s">
        <v>1551</v>
      </c>
      <c r="C993" s="191" t="s">
        <v>570</v>
      </c>
      <c r="D993" s="156"/>
      <c r="E993" s="156"/>
      <c r="F993" s="156"/>
      <c r="G993" s="161" t="s">
        <v>2406</v>
      </c>
      <c r="H993" s="141"/>
      <c r="I993" s="153" t="s">
        <v>566</v>
      </c>
      <c r="J993" s="153">
        <v>1</v>
      </c>
      <c r="K993" s="145" t="s">
        <v>730</v>
      </c>
      <c r="L993" s="142" t="s">
        <v>2521</v>
      </c>
      <c r="M993" s="19"/>
      <c r="N993" s="161" t="s">
        <v>2566</v>
      </c>
      <c r="O993" s="191"/>
      <c r="P993" s="156"/>
      <c r="Q993" s="156"/>
      <c r="R993" s="150"/>
    </row>
    <row r="994" spans="1:18" ht="35.25" customHeight="1">
      <c r="A994" s="15">
        <f t="shared" si="15"/>
        <v>984</v>
      </c>
      <c r="B994" s="161" t="s">
        <v>1552</v>
      </c>
      <c r="C994" s="150" t="s">
        <v>445</v>
      </c>
      <c r="D994" s="156"/>
      <c r="E994" s="156"/>
      <c r="F994" s="156"/>
      <c r="G994" s="144"/>
      <c r="H994" s="141"/>
      <c r="I994" s="153" t="s">
        <v>566</v>
      </c>
      <c r="J994" s="153">
        <v>1</v>
      </c>
      <c r="K994" s="145" t="s">
        <v>730</v>
      </c>
      <c r="L994" s="142" t="s">
        <v>2521</v>
      </c>
      <c r="M994" s="19"/>
      <c r="N994" s="161" t="s">
        <v>2566</v>
      </c>
      <c r="O994" s="191"/>
      <c r="P994" s="156"/>
      <c r="Q994" s="156"/>
      <c r="R994" s="150"/>
    </row>
    <row r="995" spans="1:18" ht="35.25" customHeight="1">
      <c r="A995" s="15">
        <f t="shared" si="15"/>
        <v>985</v>
      </c>
      <c r="B995" s="144" t="s">
        <v>1553</v>
      </c>
      <c r="C995" s="191" t="s">
        <v>32</v>
      </c>
      <c r="D995" s="156"/>
      <c r="E995" s="156"/>
      <c r="F995" s="156"/>
      <c r="G995" s="161"/>
      <c r="H995" s="141"/>
      <c r="I995" s="153" t="s">
        <v>566</v>
      </c>
      <c r="J995" s="153">
        <v>1</v>
      </c>
      <c r="K995" s="145" t="s">
        <v>730</v>
      </c>
      <c r="L995" s="142" t="s">
        <v>2521</v>
      </c>
      <c r="M995" s="19"/>
      <c r="N995" s="161" t="s">
        <v>2566</v>
      </c>
      <c r="O995" s="191"/>
      <c r="P995" s="156"/>
      <c r="Q995" s="156"/>
      <c r="R995" s="150"/>
    </row>
    <row r="996" spans="1:18" ht="35.25" customHeight="1">
      <c r="A996" s="15">
        <f t="shared" si="15"/>
        <v>986</v>
      </c>
      <c r="B996" s="144" t="s">
        <v>1554</v>
      </c>
      <c r="C996" s="191" t="s">
        <v>582</v>
      </c>
      <c r="D996" s="169"/>
      <c r="E996" s="169"/>
      <c r="F996" s="169"/>
      <c r="G996" s="161"/>
      <c r="H996" s="141"/>
      <c r="I996" s="153" t="s">
        <v>566</v>
      </c>
      <c r="J996" s="153">
        <v>1</v>
      </c>
      <c r="K996" s="145" t="s">
        <v>730</v>
      </c>
      <c r="L996" s="142" t="s">
        <v>2521</v>
      </c>
      <c r="M996" s="19"/>
      <c r="N996" s="161" t="s">
        <v>2566</v>
      </c>
      <c r="O996" s="191"/>
      <c r="P996" s="180"/>
      <c r="Q996" s="180"/>
      <c r="R996" s="150"/>
    </row>
    <row r="997" spans="1:18" ht="35.25" customHeight="1">
      <c r="A997" s="15">
        <f t="shared" si="15"/>
        <v>987</v>
      </c>
      <c r="B997" s="144" t="s">
        <v>1555</v>
      </c>
      <c r="C997" s="191" t="s">
        <v>605</v>
      </c>
      <c r="D997" s="156"/>
      <c r="E997" s="156"/>
      <c r="F997" s="156"/>
      <c r="G997" s="161"/>
      <c r="H997" s="141"/>
      <c r="I997" s="153" t="s">
        <v>566</v>
      </c>
      <c r="J997" s="153">
        <v>1</v>
      </c>
      <c r="K997" s="145" t="s">
        <v>730</v>
      </c>
      <c r="L997" s="142" t="s">
        <v>2521</v>
      </c>
      <c r="M997" s="19"/>
      <c r="N997" s="161" t="s">
        <v>2566</v>
      </c>
      <c r="O997" s="191"/>
      <c r="P997" s="180"/>
      <c r="Q997" s="180"/>
      <c r="R997" s="150"/>
    </row>
    <row r="998" spans="1:18" ht="35.25" customHeight="1">
      <c r="A998" s="15">
        <f t="shared" si="15"/>
        <v>988</v>
      </c>
      <c r="B998" s="144" t="s">
        <v>1556</v>
      </c>
      <c r="C998" s="191" t="s">
        <v>1202</v>
      </c>
      <c r="D998" s="156"/>
      <c r="E998" s="156"/>
      <c r="F998" s="156"/>
      <c r="G998" s="161"/>
      <c r="H998" s="141"/>
      <c r="I998" s="153" t="s">
        <v>566</v>
      </c>
      <c r="J998" s="153">
        <v>1</v>
      </c>
      <c r="K998" s="145" t="s">
        <v>730</v>
      </c>
      <c r="L998" s="142" t="s">
        <v>2521</v>
      </c>
      <c r="M998" s="19"/>
      <c r="N998" s="161" t="s">
        <v>2566</v>
      </c>
      <c r="O998" s="191"/>
      <c r="P998" s="180"/>
      <c r="Q998" s="180"/>
      <c r="R998" s="150"/>
    </row>
    <row r="999" spans="1:18" ht="35.25" customHeight="1">
      <c r="A999" s="15">
        <f t="shared" si="15"/>
        <v>989</v>
      </c>
      <c r="B999" s="144" t="s">
        <v>1557</v>
      </c>
      <c r="C999" s="191" t="s">
        <v>1306</v>
      </c>
      <c r="D999" s="46"/>
      <c r="E999" s="46"/>
      <c r="F999" s="46"/>
      <c r="G999" s="161"/>
      <c r="H999" s="141"/>
      <c r="I999" s="153" t="s">
        <v>566</v>
      </c>
      <c r="J999" s="153">
        <v>1</v>
      </c>
      <c r="K999" s="145" t="s">
        <v>730</v>
      </c>
      <c r="L999" s="142" t="s">
        <v>2521</v>
      </c>
      <c r="M999" s="19"/>
      <c r="N999" s="161" t="s">
        <v>2566</v>
      </c>
      <c r="O999" s="191"/>
      <c r="P999" s="43"/>
      <c r="Q999" s="43"/>
      <c r="R999" s="150"/>
    </row>
    <row r="1000" spans="1:18" ht="35.25" customHeight="1">
      <c r="A1000" s="15">
        <f t="shared" si="15"/>
        <v>990</v>
      </c>
      <c r="B1000" s="36" t="s">
        <v>1558</v>
      </c>
      <c r="C1000" s="150" t="s">
        <v>1559</v>
      </c>
      <c r="D1000" s="156"/>
      <c r="E1000" s="156"/>
      <c r="F1000" s="156"/>
      <c r="G1000" s="161"/>
      <c r="H1000" s="141"/>
      <c r="I1000" s="153" t="s">
        <v>566</v>
      </c>
      <c r="J1000" s="153">
        <v>1</v>
      </c>
      <c r="K1000" s="145" t="s">
        <v>730</v>
      </c>
      <c r="L1000" s="142" t="s">
        <v>2521</v>
      </c>
      <c r="M1000" s="19"/>
      <c r="N1000" s="161" t="s">
        <v>2566</v>
      </c>
      <c r="O1000" s="191"/>
      <c r="P1000" s="156"/>
      <c r="Q1000" s="156"/>
      <c r="R1000" s="150"/>
    </row>
    <row r="1001" spans="1:18" ht="35.25" customHeight="1">
      <c r="A1001" s="15">
        <f t="shared" si="15"/>
        <v>991</v>
      </c>
      <c r="B1001" s="144" t="s">
        <v>1560</v>
      </c>
      <c r="C1001" s="150" t="s">
        <v>1561</v>
      </c>
      <c r="D1001" s="156"/>
      <c r="E1001" s="156"/>
      <c r="F1001" s="156"/>
      <c r="G1001" s="149" t="s">
        <v>2407</v>
      </c>
      <c r="H1001" s="141"/>
      <c r="I1001" s="153" t="s">
        <v>566</v>
      </c>
      <c r="J1001" s="153">
        <v>1</v>
      </c>
      <c r="K1001" s="145" t="s">
        <v>730</v>
      </c>
      <c r="L1001" s="142" t="s">
        <v>2521</v>
      </c>
      <c r="M1001" s="19"/>
      <c r="N1001" s="144" t="s">
        <v>2567</v>
      </c>
      <c r="O1001" s="150"/>
      <c r="P1001" s="156"/>
      <c r="Q1001" s="156"/>
      <c r="R1001" s="150"/>
    </row>
    <row r="1002" spans="1:18" ht="35.25" customHeight="1">
      <c r="A1002" s="15">
        <f t="shared" si="15"/>
        <v>992</v>
      </c>
      <c r="B1002" s="144" t="s">
        <v>1562</v>
      </c>
      <c r="C1002" s="150" t="s">
        <v>605</v>
      </c>
      <c r="D1002" s="156"/>
      <c r="E1002" s="156"/>
      <c r="F1002" s="156"/>
      <c r="G1002" s="144" t="s">
        <v>2408</v>
      </c>
      <c r="H1002" s="141"/>
      <c r="I1002" s="153" t="s">
        <v>566</v>
      </c>
      <c r="J1002" s="153">
        <v>1</v>
      </c>
      <c r="K1002" s="145" t="s">
        <v>730</v>
      </c>
      <c r="L1002" s="142" t="s">
        <v>2521</v>
      </c>
      <c r="M1002" s="19"/>
      <c r="N1002" s="144" t="s">
        <v>2567</v>
      </c>
      <c r="O1002" s="150"/>
      <c r="P1002" s="156"/>
      <c r="Q1002" s="156"/>
      <c r="R1002" s="150"/>
    </row>
    <row r="1003" spans="1:18" ht="35.25" customHeight="1">
      <c r="A1003" s="15">
        <f t="shared" si="15"/>
        <v>993</v>
      </c>
      <c r="B1003" s="144" t="s">
        <v>1563</v>
      </c>
      <c r="C1003" s="150" t="s">
        <v>582</v>
      </c>
      <c r="D1003" s="156"/>
      <c r="E1003" s="156"/>
      <c r="F1003" s="156"/>
      <c r="G1003" s="144"/>
      <c r="H1003" s="141"/>
      <c r="I1003" s="153" t="s">
        <v>566</v>
      </c>
      <c r="J1003" s="153">
        <v>1</v>
      </c>
      <c r="K1003" s="145" t="s">
        <v>730</v>
      </c>
      <c r="L1003" s="142" t="s">
        <v>2521</v>
      </c>
      <c r="M1003" s="19"/>
      <c r="N1003" s="144" t="s">
        <v>2567</v>
      </c>
      <c r="O1003" s="150"/>
      <c r="P1003" s="156"/>
      <c r="Q1003" s="156"/>
      <c r="R1003" s="144" t="s">
        <v>2506</v>
      </c>
    </row>
    <row r="1004" spans="1:18" ht="35.25" customHeight="1">
      <c r="A1004" s="15">
        <f t="shared" si="15"/>
        <v>994</v>
      </c>
      <c r="B1004" s="144" t="s">
        <v>1564</v>
      </c>
      <c r="C1004" s="150" t="s">
        <v>451</v>
      </c>
      <c r="D1004" s="156"/>
      <c r="E1004" s="156"/>
      <c r="F1004" s="156"/>
      <c r="G1004" s="144" t="s">
        <v>2409</v>
      </c>
      <c r="H1004" s="141"/>
      <c r="I1004" s="153" t="s">
        <v>566</v>
      </c>
      <c r="J1004" s="153">
        <v>1</v>
      </c>
      <c r="K1004" s="145" t="s">
        <v>730</v>
      </c>
      <c r="L1004" s="142" t="s">
        <v>2521</v>
      </c>
      <c r="M1004" s="19"/>
      <c r="N1004" s="144" t="s">
        <v>2567</v>
      </c>
      <c r="O1004" s="150"/>
      <c r="P1004" s="156"/>
      <c r="Q1004" s="156"/>
      <c r="R1004" s="150"/>
    </row>
    <row r="1005" spans="1:18" ht="35.25" customHeight="1">
      <c r="A1005" s="15">
        <f t="shared" si="15"/>
        <v>995</v>
      </c>
      <c r="B1005" s="144" t="s">
        <v>1565</v>
      </c>
      <c r="C1005" s="150" t="s">
        <v>578</v>
      </c>
      <c r="D1005" s="156"/>
      <c r="E1005" s="156"/>
      <c r="F1005" s="156"/>
      <c r="G1005" s="144"/>
      <c r="H1005" s="141"/>
      <c r="I1005" s="153" t="s">
        <v>566</v>
      </c>
      <c r="J1005" s="153">
        <v>1</v>
      </c>
      <c r="K1005" s="145" t="s">
        <v>730</v>
      </c>
      <c r="L1005" s="142" t="s">
        <v>2521</v>
      </c>
      <c r="M1005" s="19"/>
      <c r="N1005" s="144" t="s">
        <v>2567</v>
      </c>
      <c r="O1005" s="150"/>
      <c r="P1005" s="156"/>
      <c r="Q1005" s="156"/>
      <c r="R1005" s="150"/>
    </row>
    <row r="1006" spans="1:18" ht="35.25" customHeight="1">
      <c r="A1006" s="15">
        <f t="shared" si="15"/>
        <v>996</v>
      </c>
      <c r="B1006" s="144" t="s">
        <v>1566</v>
      </c>
      <c r="C1006" s="150" t="s">
        <v>445</v>
      </c>
      <c r="D1006" s="156"/>
      <c r="E1006" s="156"/>
      <c r="F1006" s="156"/>
      <c r="G1006" s="144"/>
      <c r="H1006" s="141"/>
      <c r="I1006" s="153" t="s">
        <v>566</v>
      </c>
      <c r="J1006" s="153">
        <v>1</v>
      </c>
      <c r="K1006" s="145" t="s">
        <v>730</v>
      </c>
      <c r="L1006" s="142" t="s">
        <v>2521</v>
      </c>
      <c r="M1006" s="19"/>
      <c r="N1006" s="144" t="s">
        <v>2567</v>
      </c>
      <c r="O1006" s="150"/>
      <c r="P1006" s="156"/>
      <c r="Q1006" s="156"/>
      <c r="R1006" s="150"/>
    </row>
    <row r="1007" spans="1:18" ht="35.25" customHeight="1">
      <c r="A1007" s="15">
        <f t="shared" si="15"/>
        <v>997</v>
      </c>
      <c r="B1007" s="144" t="s">
        <v>1567</v>
      </c>
      <c r="C1007" s="191" t="s">
        <v>1306</v>
      </c>
      <c r="D1007" s="19"/>
      <c r="E1007" s="19"/>
      <c r="F1007" s="19"/>
      <c r="G1007" s="144"/>
      <c r="H1007" s="141"/>
      <c r="I1007" s="153" t="s">
        <v>566</v>
      </c>
      <c r="J1007" s="153">
        <v>1</v>
      </c>
      <c r="K1007" s="145" t="s">
        <v>730</v>
      </c>
      <c r="L1007" s="142" t="s">
        <v>2521</v>
      </c>
      <c r="M1007" s="19"/>
      <c r="N1007" s="144" t="s">
        <v>2567</v>
      </c>
      <c r="O1007" s="150"/>
      <c r="P1007" s="156"/>
      <c r="Q1007" s="156"/>
      <c r="R1007" s="150"/>
    </row>
    <row r="1008" spans="1:18" ht="35.25" customHeight="1">
      <c r="A1008" s="15">
        <f t="shared" si="15"/>
        <v>998</v>
      </c>
      <c r="B1008" s="144" t="s">
        <v>1568</v>
      </c>
      <c r="C1008" s="150" t="s">
        <v>1569</v>
      </c>
      <c r="D1008" s="19"/>
      <c r="E1008" s="19"/>
      <c r="F1008" s="19"/>
      <c r="G1008" s="144"/>
      <c r="H1008" s="141"/>
      <c r="I1008" s="153" t="s">
        <v>566</v>
      </c>
      <c r="J1008" s="153">
        <v>1</v>
      </c>
      <c r="K1008" s="145" t="s">
        <v>730</v>
      </c>
      <c r="L1008" s="142" t="s">
        <v>2521</v>
      </c>
      <c r="M1008" s="19"/>
      <c r="N1008" s="144" t="s">
        <v>2567</v>
      </c>
      <c r="O1008" s="150"/>
      <c r="P1008" s="156"/>
      <c r="Q1008" s="156"/>
      <c r="R1008" s="150"/>
    </row>
    <row r="1009" spans="1:18" ht="35.25" customHeight="1">
      <c r="A1009" s="15">
        <f t="shared" si="15"/>
        <v>999</v>
      </c>
      <c r="B1009" s="144" t="s">
        <v>1570</v>
      </c>
      <c r="C1009" s="150" t="s">
        <v>570</v>
      </c>
      <c r="D1009" s="181"/>
      <c r="E1009" s="181"/>
      <c r="F1009" s="181"/>
      <c r="G1009" s="144"/>
      <c r="H1009" s="141"/>
      <c r="I1009" s="153" t="s">
        <v>566</v>
      </c>
      <c r="J1009" s="153">
        <v>1</v>
      </c>
      <c r="K1009" s="145" t="s">
        <v>730</v>
      </c>
      <c r="L1009" s="142" t="s">
        <v>2521</v>
      </c>
      <c r="M1009" s="19"/>
      <c r="N1009" s="144" t="s">
        <v>2568</v>
      </c>
      <c r="O1009" s="150"/>
      <c r="P1009" s="156"/>
      <c r="Q1009" s="156"/>
      <c r="R1009" s="150"/>
    </row>
    <row r="1010" spans="1:18" ht="35.25" customHeight="1">
      <c r="A1010" s="15">
        <f t="shared" si="15"/>
        <v>1000</v>
      </c>
      <c r="B1010" s="144" t="s">
        <v>1571</v>
      </c>
      <c r="C1010" s="150" t="s">
        <v>445</v>
      </c>
      <c r="D1010" s="181"/>
      <c r="E1010" s="181"/>
      <c r="F1010" s="181"/>
      <c r="G1010" s="144"/>
      <c r="H1010" s="141"/>
      <c r="I1010" s="153" t="s">
        <v>566</v>
      </c>
      <c r="J1010" s="153">
        <v>1</v>
      </c>
      <c r="K1010" s="145" t="s">
        <v>730</v>
      </c>
      <c r="L1010" s="142" t="s">
        <v>2521</v>
      </c>
      <c r="M1010" s="19"/>
      <c r="N1010" s="144" t="s">
        <v>2568</v>
      </c>
      <c r="O1010" s="150"/>
      <c r="P1010" s="156"/>
      <c r="Q1010" s="156"/>
      <c r="R1010" s="150"/>
    </row>
    <row r="1011" spans="1:18" ht="35.25" customHeight="1">
      <c r="A1011" s="15">
        <f t="shared" si="15"/>
        <v>1001</v>
      </c>
      <c r="B1011" s="144" t="s">
        <v>1572</v>
      </c>
      <c r="C1011" s="150" t="s">
        <v>32</v>
      </c>
      <c r="D1011" s="181"/>
      <c r="E1011" s="181"/>
      <c r="F1011" s="181"/>
      <c r="G1011" s="144"/>
      <c r="H1011" s="141"/>
      <c r="I1011" s="153" t="s">
        <v>566</v>
      </c>
      <c r="J1011" s="153">
        <v>1</v>
      </c>
      <c r="K1011" s="145" t="s">
        <v>730</v>
      </c>
      <c r="L1011" s="142" t="s">
        <v>2521</v>
      </c>
      <c r="M1011" s="19"/>
      <c r="N1011" s="144" t="s">
        <v>2568</v>
      </c>
      <c r="O1011" s="150"/>
      <c r="P1011" s="156"/>
      <c r="Q1011" s="156"/>
      <c r="R1011" s="150"/>
    </row>
    <row r="1012" spans="1:18" ht="35.25" customHeight="1">
      <c r="A1012" s="15">
        <f t="shared" si="15"/>
        <v>1002</v>
      </c>
      <c r="B1012" s="144" t="s">
        <v>1573</v>
      </c>
      <c r="C1012" s="150" t="s">
        <v>582</v>
      </c>
      <c r="D1012" s="181"/>
      <c r="E1012" s="181"/>
      <c r="F1012" s="181"/>
      <c r="G1012" s="144"/>
      <c r="H1012" s="141"/>
      <c r="I1012" s="153" t="s">
        <v>566</v>
      </c>
      <c r="J1012" s="153">
        <v>1</v>
      </c>
      <c r="K1012" s="145" t="s">
        <v>730</v>
      </c>
      <c r="L1012" s="142" t="s">
        <v>2521</v>
      </c>
      <c r="M1012" s="19"/>
      <c r="N1012" s="144" t="s">
        <v>2568</v>
      </c>
      <c r="O1012" s="150"/>
      <c r="P1012" s="156"/>
      <c r="Q1012" s="156"/>
      <c r="R1012" s="150"/>
    </row>
    <row r="1013" spans="1:18" ht="35.25" customHeight="1">
      <c r="A1013" s="15">
        <f t="shared" si="15"/>
        <v>1003</v>
      </c>
      <c r="B1013" s="144" t="s">
        <v>1574</v>
      </c>
      <c r="C1013" s="150" t="s">
        <v>1306</v>
      </c>
      <c r="D1013" s="181"/>
      <c r="E1013" s="181"/>
      <c r="F1013" s="181"/>
      <c r="G1013" s="144"/>
      <c r="H1013" s="141"/>
      <c r="I1013" s="153" t="s">
        <v>566</v>
      </c>
      <c r="J1013" s="153">
        <v>1</v>
      </c>
      <c r="K1013" s="145" t="s">
        <v>730</v>
      </c>
      <c r="L1013" s="142" t="s">
        <v>2521</v>
      </c>
      <c r="M1013" s="19"/>
      <c r="N1013" s="144" t="s">
        <v>2568</v>
      </c>
      <c r="O1013" s="150"/>
      <c r="P1013" s="156"/>
      <c r="Q1013" s="156"/>
      <c r="R1013" s="150"/>
    </row>
    <row r="1014" spans="1:18" ht="35.25" customHeight="1">
      <c r="A1014" s="15">
        <f t="shared" si="15"/>
        <v>1004</v>
      </c>
      <c r="B1014" s="144" t="s">
        <v>1575</v>
      </c>
      <c r="C1014" s="150" t="s">
        <v>605</v>
      </c>
      <c r="D1014" s="181"/>
      <c r="E1014" s="181"/>
      <c r="F1014" s="181"/>
      <c r="G1014" s="144"/>
      <c r="H1014" s="141"/>
      <c r="I1014" s="153" t="s">
        <v>566</v>
      </c>
      <c r="J1014" s="153">
        <v>1</v>
      </c>
      <c r="K1014" s="145" t="s">
        <v>730</v>
      </c>
      <c r="L1014" s="142" t="s">
        <v>2521</v>
      </c>
      <c r="M1014" s="19"/>
      <c r="N1014" s="144" t="s">
        <v>2568</v>
      </c>
      <c r="O1014" s="150"/>
      <c r="P1014" s="156"/>
      <c r="Q1014" s="156"/>
      <c r="R1014" s="150"/>
    </row>
    <row r="1015" spans="1:18" ht="35.25" customHeight="1">
      <c r="A1015" s="15">
        <f t="shared" si="15"/>
        <v>1005</v>
      </c>
      <c r="B1015" s="144" t="s">
        <v>1576</v>
      </c>
      <c r="C1015" s="150" t="s">
        <v>1202</v>
      </c>
      <c r="D1015" s="181"/>
      <c r="E1015" s="181"/>
      <c r="F1015" s="181"/>
      <c r="G1015" s="144"/>
      <c r="H1015" s="141"/>
      <c r="I1015" s="153" t="s">
        <v>566</v>
      </c>
      <c r="J1015" s="153">
        <v>1</v>
      </c>
      <c r="K1015" s="145" t="s">
        <v>730</v>
      </c>
      <c r="L1015" s="142" t="s">
        <v>2521</v>
      </c>
      <c r="M1015" s="19"/>
      <c r="N1015" s="144" t="s">
        <v>2568</v>
      </c>
      <c r="O1015" s="150"/>
      <c r="P1015" s="156"/>
      <c r="Q1015" s="156"/>
      <c r="R1015" s="150"/>
    </row>
    <row r="1016" spans="1:18" ht="35.25" customHeight="1">
      <c r="A1016" s="15">
        <f t="shared" si="15"/>
        <v>1006</v>
      </c>
      <c r="B1016" s="144" t="s">
        <v>1577</v>
      </c>
      <c r="C1016" s="150" t="s">
        <v>1578</v>
      </c>
      <c r="D1016" s="181"/>
      <c r="E1016" s="181"/>
      <c r="F1016" s="181"/>
      <c r="G1016" s="144" t="s">
        <v>2410</v>
      </c>
      <c r="H1016" s="141"/>
      <c r="I1016" s="153" t="s">
        <v>566</v>
      </c>
      <c r="J1016" s="153">
        <v>1</v>
      </c>
      <c r="K1016" s="145" t="s">
        <v>730</v>
      </c>
      <c r="L1016" s="142" t="s">
        <v>2521</v>
      </c>
      <c r="M1016" s="19"/>
      <c r="N1016" s="144" t="s">
        <v>2568</v>
      </c>
      <c r="O1016" s="150"/>
      <c r="P1016" s="156"/>
      <c r="Q1016" s="156"/>
      <c r="R1016" s="150"/>
    </row>
    <row r="1017" spans="1:18" ht="35.25" customHeight="1">
      <c r="A1017" s="15">
        <f t="shared" si="15"/>
        <v>1007</v>
      </c>
      <c r="B1017" s="144" t="s">
        <v>1579</v>
      </c>
      <c r="C1017" s="150" t="s">
        <v>578</v>
      </c>
      <c r="D1017" s="181"/>
      <c r="E1017" s="181"/>
      <c r="F1017" s="181"/>
      <c r="G1017" s="144"/>
      <c r="H1017" s="141"/>
      <c r="I1017" s="153" t="s">
        <v>566</v>
      </c>
      <c r="J1017" s="153">
        <v>1</v>
      </c>
      <c r="K1017" s="145" t="s">
        <v>730</v>
      </c>
      <c r="L1017" s="142" t="s">
        <v>2521</v>
      </c>
      <c r="M1017" s="19"/>
      <c r="N1017" s="144" t="s">
        <v>2569</v>
      </c>
      <c r="O1017" s="150"/>
      <c r="P1017" s="156"/>
      <c r="Q1017" s="156"/>
      <c r="R1017" s="144" t="s">
        <v>2507</v>
      </c>
    </row>
    <row r="1018" spans="1:18" ht="35.25" customHeight="1">
      <c r="A1018" s="15">
        <f t="shared" si="15"/>
        <v>1008</v>
      </c>
      <c r="B1018" s="144" t="s">
        <v>1580</v>
      </c>
      <c r="C1018" s="150" t="s">
        <v>582</v>
      </c>
      <c r="D1018" s="181"/>
      <c r="E1018" s="181"/>
      <c r="F1018" s="181"/>
      <c r="G1018" s="144"/>
      <c r="H1018" s="141"/>
      <c r="I1018" s="153" t="s">
        <v>566</v>
      </c>
      <c r="J1018" s="153">
        <v>1</v>
      </c>
      <c r="K1018" s="145" t="s">
        <v>730</v>
      </c>
      <c r="L1018" s="142" t="s">
        <v>2521</v>
      </c>
      <c r="M1018" s="19"/>
      <c r="N1018" s="144" t="s">
        <v>2569</v>
      </c>
      <c r="O1018" s="150"/>
      <c r="P1018" s="156"/>
      <c r="Q1018" s="156"/>
      <c r="R1018" s="150"/>
    </row>
    <row r="1019" spans="1:18" ht="35.25" customHeight="1">
      <c r="A1019" s="15">
        <f t="shared" si="15"/>
        <v>1009</v>
      </c>
      <c r="B1019" s="144" t="s">
        <v>1581</v>
      </c>
      <c r="C1019" s="150" t="s">
        <v>424</v>
      </c>
      <c r="D1019" s="181"/>
      <c r="E1019" s="181"/>
      <c r="F1019" s="181"/>
      <c r="G1019" s="183" t="s">
        <v>2411</v>
      </c>
      <c r="H1019" s="141"/>
      <c r="I1019" s="153" t="s">
        <v>566</v>
      </c>
      <c r="J1019" s="153">
        <v>1</v>
      </c>
      <c r="K1019" s="145" t="s">
        <v>730</v>
      </c>
      <c r="L1019" s="142" t="s">
        <v>2521</v>
      </c>
      <c r="M1019" s="19"/>
      <c r="N1019" s="144" t="s">
        <v>2569</v>
      </c>
      <c r="O1019" s="150"/>
      <c r="P1019" s="156"/>
      <c r="Q1019" s="156"/>
      <c r="R1019" s="150"/>
    </row>
    <row r="1020" spans="1:18" ht="35.25" customHeight="1">
      <c r="A1020" s="15">
        <f t="shared" si="15"/>
        <v>1010</v>
      </c>
      <c r="B1020" s="144" t="s">
        <v>1582</v>
      </c>
      <c r="C1020" s="150" t="s">
        <v>1583</v>
      </c>
      <c r="D1020" s="182"/>
      <c r="E1020" s="182"/>
      <c r="F1020" s="182"/>
      <c r="G1020" s="150" t="s">
        <v>2412</v>
      </c>
      <c r="H1020" s="141"/>
      <c r="I1020" s="153" t="s">
        <v>566</v>
      </c>
      <c r="J1020" s="153">
        <v>1</v>
      </c>
      <c r="K1020" s="145" t="s">
        <v>730</v>
      </c>
      <c r="L1020" s="142" t="s">
        <v>2521</v>
      </c>
      <c r="M1020" s="19"/>
      <c r="N1020" s="144" t="s">
        <v>2569</v>
      </c>
      <c r="O1020" s="150"/>
      <c r="P1020" s="156"/>
      <c r="Q1020" s="156"/>
      <c r="R1020" s="150"/>
    </row>
    <row r="1021" spans="1:18" ht="35.25" customHeight="1">
      <c r="A1021" s="15">
        <f t="shared" si="15"/>
        <v>1011</v>
      </c>
      <c r="B1021" s="144" t="s">
        <v>1584</v>
      </c>
      <c r="C1021" s="150" t="s">
        <v>1585</v>
      </c>
      <c r="D1021" s="160"/>
      <c r="E1021" s="160"/>
      <c r="F1021" s="160"/>
      <c r="G1021" s="144"/>
      <c r="H1021" s="141"/>
      <c r="I1021" s="153" t="s">
        <v>566</v>
      </c>
      <c r="J1021" s="153">
        <v>1</v>
      </c>
      <c r="K1021" s="145" t="s">
        <v>730</v>
      </c>
      <c r="L1021" s="142" t="s">
        <v>2521</v>
      </c>
      <c r="M1021" s="19"/>
      <c r="N1021" s="144" t="s">
        <v>2569</v>
      </c>
      <c r="O1021" s="150"/>
      <c r="P1021" s="156"/>
      <c r="Q1021" s="156"/>
      <c r="R1021" s="150"/>
    </row>
    <row r="1022" spans="1:18" ht="35.25" customHeight="1">
      <c r="A1022" s="15">
        <f t="shared" si="15"/>
        <v>1012</v>
      </c>
      <c r="B1022" s="144" t="s">
        <v>1586</v>
      </c>
      <c r="C1022" s="150" t="s">
        <v>445</v>
      </c>
      <c r="D1022" s="160"/>
      <c r="E1022" s="160"/>
      <c r="F1022" s="160"/>
      <c r="G1022" s="144"/>
      <c r="H1022" s="141"/>
      <c r="I1022" s="153" t="s">
        <v>566</v>
      </c>
      <c r="J1022" s="153">
        <v>1</v>
      </c>
      <c r="K1022" s="145" t="s">
        <v>730</v>
      </c>
      <c r="L1022" s="142" t="s">
        <v>2521</v>
      </c>
      <c r="M1022" s="19"/>
      <c r="N1022" s="144" t="s">
        <v>2569</v>
      </c>
      <c r="O1022" s="150"/>
      <c r="P1022" s="156"/>
      <c r="Q1022" s="156"/>
      <c r="R1022" s="150"/>
    </row>
    <row r="1023" spans="1:18" ht="35.25" customHeight="1">
      <c r="A1023" s="15">
        <f t="shared" si="15"/>
        <v>1013</v>
      </c>
      <c r="B1023" s="144" t="s">
        <v>1587</v>
      </c>
      <c r="C1023" s="150" t="s">
        <v>1306</v>
      </c>
      <c r="D1023" s="160"/>
      <c r="E1023" s="160"/>
      <c r="F1023" s="160"/>
      <c r="G1023" s="144"/>
      <c r="H1023" s="141"/>
      <c r="I1023" s="153" t="s">
        <v>566</v>
      </c>
      <c r="J1023" s="153">
        <v>1</v>
      </c>
      <c r="K1023" s="145" t="s">
        <v>730</v>
      </c>
      <c r="L1023" s="142" t="s">
        <v>2521</v>
      </c>
      <c r="M1023" s="19"/>
      <c r="N1023" s="144" t="s">
        <v>2569</v>
      </c>
      <c r="O1023" s="150"/>
      <c r="P1023" s="156"/>
      <c r="Q1023" s="156"/>
      <c r="R1023" s="150"/>
    </row>
    <row r="1024" spans="1:18" ht="35.25" customHeight="1">
      <c r="A1024" s="15">
        <f t="shared" si="15"/>
        <v>1014</v>
      </c>
      <c r="B1024" s="144" t="s">
        <v>1588</v>
      </c>
      <c r="C1024" s="150" t="s">
        <v>605</v>
      </c>
      <c r="D1024" s="160"/>
      <c r="E1024" s="160"/>
      <c r="F1024" s="160"/>
      <c r="G1024" s="144"/>
      <c r="H1024" s="141"/>
      <c r="I1024" s="153" t="s">
        <v>566</v>
      </c>
      <c r="J1024" s="153">
        <v>1</v>
      </c>
      <c r="K1024" s="145" t="s">
        <v>730</v>
      </c>
      <c r="L1024" s="142" t="s">
        <v>2521</v>
      </c>
      <c r="M1024" s="19"/>
      <c r="N1024" s="144" t="s">
        <v>2569</v>
      </c>
      <c r="O1024" s="150"/>
      <c r="P1024" s="156"/>
      <c r="Q1024" s="156"/>
      <c r="R1024" s="150"/>
    </row>
    <row r="1025" spans="1:18" ht="35.25" customHeight="1">
      <c r="A1025" s="15">
        <f t="shared" si="15"/>
        <v>1015</v>
      </c>
      <c r="B1025" s="144" t="s">
        <v>1589</v>
      </c>
      <c r="C1025" s="150" t="s">
        <v>1202</v>
      </c>
      <c r="D1025" s="160"/>
      <c r="E1025" s="160"/>
      <c r="F1025" s="160"/>
      <c r="G1025" s="144"/>
      <c r="H1025" s="141"/>
      <c r="I1025" s="153" t="s">
        <v>566</v>
      </c>
      <c r="J1025" s="153">
        <v>1</v>
      </c>
      <c r="K1025" s="145" t="s">
        <v>730</v>
      </c>
      <c r="L1025" s="142" t="s">
        <v>2521</v>
      </c>
      <c r="M1025" s="19"/>
      <c r="N1025" s="144" t="s">
        <v>2569</v>
      </c>
      <c r="O1025" s="150"/>
      <c r="P1025" s="156"/>
      <c r="Q1025" s="156"/>
      <c r="R1025" s="150"/>
    </row>
    <row r="1026" spans="1:18" ht="35.25" customHeight="1">
      <c r="A1026" s="15">
        <f t="shared" si="15"/>
        <v>1016</v>
      </c>
      <c r="B1026" s="144" t="s">
        <v>1590</v>
      </c>
      <c r="C1026" s="150" t="s">
        <v>570</v>
      </c>
      <c r="D1026" s="160"/>
      <c r="E1026" s="160"/>
      <c r="F1026" s="160"/>
      <c r="G1026" s="144" t="s">
        <v>2413</v>
      </c>
      <c r="H1026" s="141"/>
      <c r="I1026" s="153" t="s">
        <v>566</v>
      </c>
      <c r="J1026" s="153">
        <v>1</v>
      </c>
      <c r="K1026" s="145" t="s">
        <v>730</v>
      </c>
      <c r="L1026" s="142" t="s">
        <v>2521</v>
      </c>
      <c r="M1026" s="19"/>
      <c r="N1026" s="144" t="s">
        <v>2570</v>
      </c>
      <c r="O1026" s="150"/>
      <c r="P1026" s="156"/>
      <c r="Q1026" s="156"/>
      <c r="R1026" s="150"/>
    </row>
    <row r="1027" spans="1:18" ht="35.25" customHeight="1">
      <c r="A1027" s="15">
        <f t="shared" si="15"/>
        <v>1017</v>
      </c>
      <c r="B1027" s="144" t="s">
        <v>1591</v>
      </c>
      <c r="C1027" s="150" t="s">
        <v>32</v>
      </c>
      <c r="D1027" s="160"/>
      <c r="E1027" s="160"/>
      <c r="F1027" s="160"/>
      <c r="G1027" s="144"/>
      <c r="H1027" s="141"/>
      <c r="I1027" s="153" t="s">
        <v>566</v>
      </c>
      <c r="J1027" s="153">
        <v>1</v>
      </c>
      <c r="K1027" s="145" t="s">
        <v>730</v>
      </c>
      <c r="L1027" s="142" t="s">
        <v>2521</v>
      </c>
      <c r="M1027" s="19"/>
      <c r="N1027" s="144" t="s">
        <v>2570</v>
      </c>
      <c r="O1027" s="150"/>
      <c r="P1027" s="156"/>
      <c r="Q1027" s="156"/>
      <c r="R1027" s="150"/>
    </row>
    <row r="1028" spans="1:18" ht="35.25" customHeight="1">
      <c r="A1028" s="15">
        <f t="shared" si="15"/>
        <v>1018</v>
      </c>
      <c r="B1028" s="144" t="s">
        <v>1592</v>
      </c>
      <c r="C1028" s="150" t="s">
        <v>582</v>
      </c>
      <c r="D1028" s="160"/>
      <c r="E1028" s="160"/>
      <c r="F1028" s="160"/>
      <c r="G1028" s="144"/>
      <c r="H1028" s="141"/>
      <c r="I1028" s="153" t="s">
        <v>566</v>
      </c>
      <c r="J1028" s="153">
        <v>1</v>
      </c>
      <c r="K1028" s="145" t="s">
        <v>730</v>
      </c>
      <c r="L1028" s="142" t="s">
        <v>2521</v>
      </c>
      <c r="M1028" s="19"/>
      <c r="N1028" s="144" t="s">
        <v>2570</v>
      </c>
      <c r="O1028" s="150"/>
      <c r="P1028" s="156"/>
      <c r="Q1028" s="156"/>
      <c r="R1028" s="150"/>
    </row>
    <row r="1029" spans="1:18" ht="35.25" customHeight="1">
      <c r="A1029" s="15">
        <f t="shared" si="15"/>
        <v>1019</v>
      </c>
      <c r="B1029" s="144" t="s">
        <v>1593</v>
      </c>
      <c r="C1029" s="150" t="s">
        <v>445</v>
      </c>
      <c r="D1029" s="160"/>
      <c r="E1029" s="160"/>
      <c r="F1029" s="160"/>
      <c r="G1029" s="144"/>
      <c r="H1029" s="141"/>
      <c r="I1029" s="153" t="s">
        <v>566</v>
      </c>
      <c r="J1029" s="153">
        <v>1</v>
      </c>
      <c r="K1029" s="145" t="s">
        <v>730</v>
      </c>
      <c r="L1029" s="142" t="s">
        <v>2521</v>
      </c>
      <c r="M1029" s="19"/>
      <c r="N1029" s="144" t="s">
        <v>2570</v>
      </c>
      <c r="O1029" s="150"/>
      <c r="P1029" s="156"/>
      <c r="Q1029" s="156"/>
      <c r="R1029" s="150"/>
    </row>
    <row r="1030" spans="1:18" ht="35.25" customHeight="1">
      <c r="A1030" s="15">
        <f t="shared" si="15"/>
        <v>1020</v>
      </c>
      <c r="B1030" s="144" t="s">
        <v>1594</v>
      </c>
      <c r="C1030" s="150" t="s">
        <v>1306</v>
      </c>
      <c r="D1030" s="160"/>
      <c r="E1030" s="160"/>
      <c r="F1030" s="160"/>
      <c r="G1030" s="144"/>
      <c r="H1030" s="141"/>
      <c r="I1030" s="153" t="s">
        <v>566</v>
      </c>
      <c r="J1030" s="153">
        <v>1</v>
      </c>
      <c r="K1030" s="145" t="s">
        <v>730</v>
      </c>
      <c r="L1030" s="142" t="s">
        <v>2521</v>
      </c>
      <c r="M1030" s="19"/>
      <c r="N1030" s="144" t="s">
        <v>2570</v>
      </c>
      <c r="O1030" s="150"/>
      <c r="P1030" s="156"/>
      <c r="Q1030" s="156"/>
      <c r="R1030" s="150"/>
    </row>
    <row r="1031" spans="1:18" ht="35.25" customHeight="1">
      <c r="A1031" s="15">
        <f t="shared" si="15"/>
        <v>1021</v>
      </c>
      <c r="B1031" s="144" t="s">
        <v>1595</v>
      </c>
      <c r="C1031" s="150" t="s">
        <v>575</v>
      </c>
      <c r="D1031" s="160"/>
      <c r="E1031" s="160"/>
      <c r="F1031" s="160"/>
      <c r="G1031" s="144"/>
      <c r="H1031" s="141"/>
      <c r="I1031" s="153" t="s">
        <v>566</v>
      </c>
      <c r="J1031" s="153">
        <v>1</v>
      </c>
      <c r="K1031" s="145" t="s">
        <v>730</v>
      </c>
      <c r="L1031" s="142" t="s">
        <v>2521</v>
      </c>
      <c r="M1031" s="19"/>
      <c r="N1031" s="144" t="s">
        <v>2570</v>
      </c>
      <c r="O1031" s="150"/>
      <c r="P1031" s="156"/>
      <c r="Q1031" s="156"/>
      <c r="R1031" s="150"/>
    </row>
    <row r="1032" spans="1:18" ht="35.25" customHeight="1">
      <c r="A1032" s="15">
        <f t="shared" si="15"/>
        <v>1022</v>
      </c>
      <c r="B1032" s="144" t="s">
        <v>1596</v>
      </c>
      <c r="C1032" s="150" t="s">
        <v>115</v>
      </c>
      <c r="D1032" s="160"/>
      <c r="E1032" s="160"/>
      <c r="F1032" s="160"/>
      <c r="G1032" s="144"/>
      <c r="H1032" s="141"/>
      <c r="I1032" s="153" t="s">
        <v>566</v>
      </c>
      <c r="J1032" s="153">
        <v>1</v>
      </c>
      <c r="K1032" s="145" t="s">
        <v>730</v>
      </c>
      <c r="L1032" s="142" t="s">
        <v>2521</v>
      </c>
      <c r="M1032" s="19"/>
      <c r="N1032" s="144" t="s">
        <v>2570</v>
      </c>
      <c r="O1032" s="150"/>
      <c r="P1032" s="156"/>
      <c r="Q1032" s="156"/>
      <c r="R1032" s="150"/>
    </row>
    <row r="1033" spans="1:18" ht="35.25" customHeight="1">
      <c r="A1033" s="15">
        <f t="shared" si="15"/>
        <v>1023</v>
      </c>
      <c r="B1033" s="144" t="s">
        <v>1597</v>
      </c>
      <c r="C1033" s="150" t="s">
        <v>1578</v>
      </c>
      <c r="D1033" s="160"/>
      <c r="E1033" s="160"/>
      <c r="F1033" s="160"/>
      <c r="G1033" s="144" t="s">
        <v>2409</v>
      </c>
      <c r="H1033" s="141"/>
      <c r="I1033" s="153" t="s">
        <v>566</v>
      </c>
      <c r="J1033" s="153">
        <v>1</v>
      </c>
      <c r="K1033" s="145" t="s">
        <v>730</v>
      </c>
      <c r="L1033" s="142" t="s">
        <v>2521</v>
      </c>
      <c r="M1033" s="19"/>
      <c r="N1033" s="144" t="s">
        <v>2570</v>
      </c>
      <c r="O1033" s="150"/>
      <c r="P1033" s="156"/>
      <c r="Q1033" s="156"/>
      <c r="R1033" s="150"/>
    </row>
    <row r="1034" spans="1:18" ht="35.25" customHeight="1">
      <c r="A1034" s="15">
        <f t="shared" si="15"/>
        <v>1024</v>
      </c>
      <c r="B1034" s="144" t="s">
        <v>1598</v>
      </c>
      <c r="C1034" s="150" t="s">
        <v>570</v>
      </c>
      <c r="D1034" s="160"/>
      <c r="E1034" s="160"/>
      <c r="F1034" s="160"/>
      <c r="G1034" s="144"/>
      <c r="H1034" s="141"/>
      <c r="I1034" s="153" t="s">
        <v>566</v>
      </c>
      <c r="J1034" s="153">
        <v>1</v>
      </c>
      <c r="K1034" s="145" t="s">
        <v>730</v>
      </c>
      <c r="L1034" s="142" t="s">
        <v>2521</v>
      </c>
      <c r="M1034" s="19"/>
      <c r="N1034" s="144" t="s">
        <v>2571</v>
      </c>
      <c r="O1034" s="150"/>
      <c r="P1034" s="156"/>
      <c r="Q1034" s="156"/>
      <c r="R1034" s="150"/>
    </row>
    <row r="1035" spans="1:18" ht="35.25" customHeight="1">
      <c r="A1035" s="15">
        <f t="shared" si="15"/>
        <v>1025</v>
      </c>
      <c r="B1035" s="144" t="s">
        <v>1599</v>
      </c>
      <c r="C1035" s="150" t="s">
        <v>32</v>
      </c>
      <c r="D1035" s="160"/>
      <c r="E1035" s="160"/>
      <c r="F1035" s="160"/>
      <c r="G1035" s="144"/>
      <c r="H1035" s="141"/>
      <c r="I1035" s="153" t="s">
        <v>566</v>
      </c>
      <c r="J1035" s="153">
        <v>1</v>
      </c>
      <c r="K1035" s="145" t="s">
        <v>730</v>
      </c>
      <c r="L1035" s="142" t="s">
        <v>2521</v>
      </c>
      <c r="M1035" s="19"/>
      <c r="N1035" s="144" t="s">
        <v>2571</v>
      </c>
      <c r="O1035" s="150"/>
      <c r="P1035" s="156"/>
      <c r="Q1035" s="156"/>
      <c r="R1035" s="150"/>
    </row>
    <row r="1036" spans="1:18" ht="35.25" customHeight="1">
      <c r="A1036" s="15">
        <f t="shared" si="15"/>
        <v>1026</v>
      </c>
      <c r="B1036" s="144" t="s">
        <v>1600</v>
      </c>
      <c r="C1036" s="150" t="s">
        <v>582</v>
      </c>
      <c r="D1036" s="160"/>
      <c r="E1036" s="160"/>
      <c r="F1036" s="160"/>
      <c r="G1036" s="144"/>
      <c r="H1036" s="141"/>
      <c r="I1036" s="153" t="s">
        <v>566</v>
      </c>
      <c r="J1036" s="153">
        <v>1</v>
      </c>
      <c r="K1036" s="145" t="s">
        <v>730</v>
      </c>
      <c r="L1036" s="142" t="s">
        <v>2521</v>
      </c>
      <c r="M1036" s="19"/>
      <c r="N1036" s="144" t="s">
        <v>2571</v>
      </c>
      <c r="O1036" s="150"/>
      <c r="P1036" s="156"/>
      <c r="Q1036" s="156"/>
      <c r="R1036" s="150"/>
    </row>
    <row r="1037" spans="1:18" ht="35.25" customHeight="1">
      <c r="A1037" s="15">
        <f t="shared" si="15"/>
        <v>1027</v>
      </c>
      <c r="B1037" s="144" t="s">
        <v>1601</v>
      </c>
      <c r="C1037" s="150" t="s">
        <v>1306</v>
      </c>
      <c r="D1037" s="160"/>
      <c r="E1037" s="160"/>
      <c r="F1037" s="160"/>
      <c r="G1037" s="144"/>
      <c r="H1037" s="141"/>
      <c r="I1037" s="153" t="s">
        <v>566</v>
      </c>
      <c r="J1037" s="153">
        <v>1</v>
      </c>
      <c r="K1037" s="145" t="s">
        <v>730</v>
      </c>
      <c r="L1037" s="142" t="s">
        <v>2521</v>
      </c>
      <c r="M1037" s="19"/>
      <c r="N1037" s="144" t="s">
        <v>2571</v>
      </c>
      <c r="O1037" s="150"/>
      <c r="P1037" s="156"/>
      <c r="Q1037" s="156"/>
      <c r="R1037" s="150"/>
    </row>
    <row r="1038" spans="1:18" ht="35.25" customHeight="1">
      <c r="A1038" s="15">
        <f t="shared" si="15"/>
        <v>1028</v>
      </c>
      <c r="B1038" s="144" t="s">
        <v>1602</v>
      </c>
      <c r="C1038" s="150" t="s">
        <v>445</v>
      </c>
      <c r="D1038" s="160"/>
      <c r="E1038" s="160"/>
      <c r="F1038" s="160"/>
      <c r="G1038" s="144"/>
      <c r="H1038" s="141"/>
      <c r="I1038" s="153" t="s">
        <v>566</v>
      </c>
      <c r="J1038" s="153">
        <v>1</v>
      </c>
      <c r="K1038" s="145" t="s">
        <v>730</v>
      </c>
      <c r="L1038" s="142" t="s">
        <v>2521</v>
      </c>
      <c r="M1038" s="19"/>
      <c r="N1038" s="144" t="s">
        <v>2571</v>
      </c>
      <c r="O1038" s="150"/>
      <c r="P1038" s="156"/>
      <c r="Q1038" s="156"/>
      <c r="R1038" s="150"/>
    </row>
    <row r="1039" spans="1:18" ht="35.25" customHeight="1">
      <c r="A1039" s="15">
        <f t="shared" si="15"/>
        <v>1029</v>
      </c>
      <c r="B1039" s="144" t="s">
        <v>1603</v>
      </c>
      <c r="C1039" s="150" t="s">
        <v>575</v>
      </c>
      <c r="D1039" s="160"/>
      <c r="E1039" s="160"/>
      <c r="F1039" s="160"/>
      <c r="G1039" s="144"/>
      <c r="H1039" s="141"/>
      <c r="I1039" s="153" t="s">
        <v>566</v>
      </c>
      <c r="J1039" s="153">
        <v>1</v>
      </c>
      <c r="K1039" s="145" t="s">
        <v>730</v>
      </c>
      <c r="L1039" s="142" t="s">
        <v>2521</v>
      </c>
      <c r="M1039" s="19"/>
      <c r="N1039" s="144" t="s">
        <v>2571</v>
      </c>
      <c r="O1039" s="150"/>
      <c r="P1039" s="156"/>
      <c r="Q1039" s="156"/>
      <c r="R1039" s="150"/>
    </row>
    <row r="1040" spans="1:18" ht="35.25" customHeight="1">
      <c r="A1040" s="15">
        <f t="shared" si="15"/>
        <v>1030</v>
      </c>
      <c r="B1040" s="144" t="s">
        <v>1604</v>
      </c>
      <c r="C1040" s="150" t="s">
        <v>115</v>
      </c>
      <c r="D1040" s="160"/>
      <c r="E1040" s="160"/>
      <c r="F1040" s="160"/>
      <c r="G1040" s="144"/>
      <c r="H1040" s="141"/>
      <c r="I1040" s="153" t="s">
        <v>566</v>
      </c>
      <c r="J1040" s="153">
        <v>1</v>
      </c>
      <c r="K1040" s="145" t="s">
        <v>730</v>
      </c>
      <c r="L1040" s="142" t="s">
        <v>2521</v>
      </c>
      <c r="M1040" s="19"/>
      <c r="N1040" s="144" t="s">
        <v>2571</v>
      </c>
      <c r="O1040" s="150"/>
      <c r="P1040" s="156"/>
      <c r="Q1040" s="156"/>
      <c r="R1040" s="150"/>
    </row>
    <row r="1041" spans="1:18" ht="35.25" customHeight="1">
      <c r="A1041" s="15">
        <f t="shared" si="15"/>
        <v>1031</v>
      </c>
      <c r="B1041" s="144" t="s">
        <v>1605</v>
      </c>
      <c r="C1041" s="150" t="s">
        <v>1578</v>
      </c>
      <c r="D1041" s="160"/>
      <c r="E1041" s="160"/>
      <c r="F1041" s="160"/>
      <c r="G1041" s="144" t="s">
        <v>2410</v>
      </c>
      <c r="H1041" s="141"/>
      <c r="I1041" s="153" t="s">
        <v>566</v>
      </c>
      <c r="J1041" s="153">
        <v>1</v>
      </c>
      <c r="K1041" s="145" t="s">
        <v>730</v>
      </c>
      <c r="L1041" s="142" t="s">
        <v>2521</v>
      </c>
      <c r="M1041" s="19"/>
      <c r="N1041" s="144" t="s">
        <v>2571</v>
      </c>
      <c r="O1041" s="150"/>
      <c r="P1041" s="156"/>
      <c r="Q1041" s="156"/>
      <c r="R1041" s="150"/>
    </row>
    <row r="1042" spans="1:18" ht="35.25" customHeight="1">
      <c r="A1042" s="15">
        <f t="shared" si="15"/>
        <v>1032</v>
      </c>
      <c r="B1042" s="144" t="s">
        <v>1606</v>
      </c>
      <c r="C1042" s="150" t="s">
        <v>570</v>
      </c>
      <c r="D1042" s="160"/>
      <c r="E1042" s="160"/>
      <c r="F1042" s="160"/>
      <c r="G1042" s="144"/>
      <c r="H1042" s="141"/>
      <c r="I1042" s="153" t="s">
        <v>566</v>
      </c>
      <c r="J1042" s="153">
        <v>1</v>
      </c>
      <c r="K1042" s="145" t="s">
        <v>730</v>
      </c>
      <c r="L1042" s="142" t="s">
        <v>2521</v>
      </c>
      <c r="M1042" s="276" t="s">
        <v>3260</v>
      </c>
      <c r="N1042" s="144" t="s">
        <v>2572</v>
      </c>
      <c r="O1042" s="150"/>
      <c r="P1042" s="156"/>
      <c r="Q1042" s="156"/>
      <c r="R1042" s="144" t="s">
        <v>2508</v>
      </c>
    </row>
    <row r="1043" spans="1:18" ht="35.25" customHeight="1">
      <c r="A1043" s="15">
        <f t="shared" ref="A1043:A1106" si="16">A1042+1</f>
        <v>1033</v>
      </c>
      <c r="B1043" s="144" t="s">
        <v>1607</v>
      </c>
      <c r="C1043" s="150" t="s">
        <v>445</v>
      </c>
      <c r="D1043" s="160"/>
      <c r="E1043" s="160"/>
      <c r="F1043" s="160"/>
      <c r="G1043" s="144"/>
      <c r="H1043" s="141"/>
      <c r="I1043" s="153" t="s">
        <v>566</v>
      </c>
      <c r="J1043" s="153">
        <v>1</v>
      </c>
      <c r="K1043" s="145" t="s">
        <v>730</v>
      </c>
      <c r="L1043" s="142" t="s">
        <v>2521</v>
      </c>
      <c r="M1043" s="276" t="s">
        <v>3260</v>
      </c>
      <c r="N1043" s="144" t="s">
        <v>2572</v>
      </c>
      <c r="O1043" s="150"/>
      <c r="P1043" s="156"/>
      <c r="Q1043" s="156"/>
      <c r="R1043" s="150"/>
    </row>
    <row r="1044" spans="1:18" ht="35.25" customHeight="1">
      <c r="A1044" s="15">
        <f t="shared" si="16"/>
        <v>1034</v>
      </c>
      <c r="B1044" s="144" t="s">
        <v>1608</v>
      </c>
      <c r="C1044" s="150" t="s">
        <v>32</v>
      </c>
      <c r="D1044" s="160"/>
      <c r="E1044" s="160"/>
      <c r="F1044" s="160"/>
      <c r="G1044" s="144"/>
      <c r="H1044" s="141"/>
      <c r="I1044" s="153" t="s">
        <v>566</v>
      </c>
      <c r="J1044" s="153">
        <v>1</v>
      </c>
      <c r="K1044" s="145" t="s">
        <v>730</v>
      </c>
      <c r="L1044" s="142" t="s">
        <v>2521</v>
      </c>
      <c r="M1044" s="276" t="s">
        <v>3260</v>
      </c>
      <c r="N1044" s="144" t="s">
        <v>2572</v>
      </c>
      <c r="O1044" s="150"/>
      <c r="P1044" s="156"/>
      <c r="Q1044" s="156"/>
      <c r="R1044" s="150"/>
    </row>
    <row r="1045" spans="1:18" ht="35.25" customHeight="1">
      <c r="A1045" s="15">
        <f t="shared" si="16"/>
        <v>1035</v>
      </c>
      <c r="B1045" s="144" t="s">
        <v>1609</v>
      </c>
      <c r="C1045" s="150" t="s">
        <v>582</v>
      </c>
      <c r="D1045" s="160"/>
      <c r="E1045" s="160"/>
      <c r="F1045" s="160"/>
      <c r="G1045" s="144"/>
      <c r="H1045" s="141"/>
      <c r="I1045" s="153" t="s">
        <v>566</v>
      </c>
      <c r="J1045" s="153">
        <v>1</v>
      </c>
      <c r="K1045" s="145" t="s">
        <v>730</v>
      </c>
      <c r="L1045" s="142" t="s">
        <v>2521</v>
      </c>
      <c r="M1045" s="276" t="s">
        <v>3260</v>
      </c>
      <c r="N1045" s="144" t="s">
        <v>2572</v>
      </c>
      <c r="O1045" s="150"/>
      <c r="P1045" s="156"/>
      <c r="Q1045" s="156"/>
      <c r="R1045" s="150"/>
    </row>
    <row r="1046" spans="1:18" ht="35.25" customHeight="1">
      <c r="A1046" s="15">
        <f t="shared" si="16"/>
        <v>1036</v>
      </c>
      <c r="B1046" s="144" t="s">
        <v>1610</v>
      </c>
      <c r="C1046" s="150" t="s">
        <v>1306</v>
      </c>
      <c r="D1046" s="160"/>
      <c r="E1046" s="160"/>
      <c r="F1046" s="160"/>
      <c r="G1046" s="144"/>
      <c r="H1046" s="141"/>
      <c r="I1046" s="153" t="s">
        <v>566</v>
      </c>
      <c r="J1046" s="153">
        <v>1</v>
      </c>
      <c r="K1046" s="145" t="s">
        <v>730</v>
      </c>
      <c r="L1046" s="142" t="s">
        <v>2521</v>
      </c>
      <c r="M1046" s="276" t="s">
        <v>3260</v>
      </c>
      <c r="N1046" s="144" t="s">
        <v>2572</v>
      </c>
      <c r="O1046" s="150"/>
      <c r="P1046" s="156"/>
      <c r="Q1046" s="156"/>
      <c r="R1046" s="150"/>
    </row>
    <row r="1047" spans="1:18" ht="35.25" customHeight="1">
      <c r="A1047" s="15">
        <f t="shared" si="16"/>
        <v>1037</v>
      </c>
      <c r="B1047" s="144" t="s">
        <v>1611</v>
      </c>
      <c r="C1047" s="150" t="s">
        <v>1612</v>
      </c>
      <c r="D1047" s="160"/>
      <c r="E1047" s="160"/>
      <c r="F1047" s="160"/>
      <c r="G1047" s="144" t="s">
        <v>2414</v>
      </c>
      <c r="H1047" s="141"/>
      <c r="I1047" s="153" t="s">
        <v>566</v>
      </c>
      <c r="J1047" s="153">
        <v>1</v>
      </c>
      <c r="K1047" s="145" t="s">
        <v>730</v>
      </c>
      <c r="L1047" s="142" t="s">
        <v>2521</v>
      </c>
      <c r="M1047" s="276" t="s">
        <v>3260</v>
      </c>
      <c r="N1047" s="144" t="s">
        <v>2572</v>
      </c>
      <c r="O1047" s="150"/>
      <c r="P1047" s="156"/>
      <c r="Q1047" s="156"/>
      <c r="R1047" s="150"/>
    </row>
    <row r="1048" spans="1:18" ht="35.25" customHeight="1">
      <c r="A1048" s="15">
        <f t="shared" si="16"/>
        <v>1038</v>
      </c>
      <c r="B1048" s="144" t="s">
        <v>1613</v>
      </c>
      <c r="C1048" s="150" t="s">
        <v>115</v>
      </c>
      <c r="D1048" s="160"/>
      <c r="E1048" s="160"/>
      <c r="F1048" s="160"/>
      <c r="G1048" s="144"/>
      <c r="H1048" s="141"/>
      <c r="I1048" s="153" t="s">
        <v>566</v>
      </c>
      <c r="J1048" s="153">
        <v>1</v>
      </c>
      <c r="K1048" s="145" t="s">
        <v>730</v>
      </c>
      <c r="L1048" s="142" t="s">
        <v>2521</v>
      </c>
      <c r="M1048" s="276" t="s">
        <v>3260</v>
      </c>
      <c r="N1048" s="144" t="s">
        <v>2572</v>
      </c>
      <c r="O1048" s="150"/>
      <c r="P1048" s="156"/>
      <c r="Q1048" s="156"/>
      <c r="R1048" s="150"/>
    </row>
    <row r="1049" spans="1:18" ht="35.25" customHeight="1">
      <c r="A1049" s="15">
        <f t="shared" si="16"/>
        <v>1039</v>
      </c>
      <c r="B1049" s="144" t="s">
        <v>1614</v>
      </c>
      <c r="C1049" s="150" t="s">
        <v>1578</v>
      </c>
      <c r="D1049" s="160"/>
      <c r="E1049" s="160"/>
      <c r="F1049" s="160"/>
      <c r="G1049" s="144" t="s">
        <v>2415</v>
      </c>
      <c r="H1049" s="141"/>
      <c r="I1049" s="153" t="s">
        <v>566</v>
      </c>
      <c r="J1049" s="153">
        <v>1</v>
      </c>
      <c r="K1049" s="145" t="s">
        <v>730</v>
      </c>
      <c r="L1049" s="142" t="s">
        <v>2521</v>
      </c>
      <c r="M1049" s="276" t="s">
        <v>3260</v>
      </c>
      <c r="N1049" s="144" t="s">
        <v>2572</v>
      </c>
      <c r="O1049" s="150"/>
      <c r="P1049" s="156"/>
      <c r="Q1049" s="156"/>
      <c r="R1049" s="150"/>
    </row>
    <row r="1050" spans="1:18" ht="35.25" customHeight="1">
      <c r="A1050" s="15">
        <f t="shared" si="16"/>
        <v>1040</v>
      </c>
      <c r="B1050" s="144" t="s">
        <v>1615</v>
      </c>
      <c r="C1050" s="150" t="s">
        <v>32</v>
      </c>
      <c r="D1050" s="160"/>
      <c r="E1050" s="160"/>
      <c r="F1050" s="160"/>
      <c r="G1050" s="144"/>
      <c r="H1050" s="141"/>
      <c r="I1050" s="153" t="s">
        <v>566</v>
      </c>
      <c r="J1050" s="153">
        <v>1</v>
      </c>
      <c r="K1050" s="145" t="s">
        <v>730</v>
      </c>
      <c r="L1050" s="142" t="s">
        <v>2521</v>
      </c>
      <c r="M1050" s="19"/>
      <c r="N1050" s="144" t="s">
        <v>2573</v>
      </c>
      <c r="O1050" s="150"/>
      <c r="P1050" s="156"/>
      <c r="Q1050" s="156"/>
      <c r="R1050" s="150"/>
    </row>
    <row r="1051" spans="1:18" ht="35.25" customHeight="1">
      <c r="A1051" s="15">
        <f t="shared" si="16"/>
        <v>1041</v>
      </c>
      <c r="B1051" s="144" t="s">
        <v>1616</v>
      </c>
      <c r="C1051" s="150" t="s">
        <v>582</v>
      </c>
      <c r="D1051" s="160"/>
      <c r="E1051" s="160"/>
      <c r="F1051" s="160"/>
      <c r="G1051" s="144"/>
      <c r="H1051" s="141"/>
      <c r="I1051" s="153" t="s">
        <v>566</v>
      </c>
      <c r="J1051" s="153">
        <v>1</v>
      </c>
      <c r="K1051" s="145" t="s">
        <v>730</v>
      </c>
      <c r="L1051" s="142" t="s">
        <v>2521</v>
      </c>
      <c r="M1051" s="19"/>
      <c r="N1051" s="144" t="s">
        <v>2573</v>
      </c>
      <c r="O1051" s="150"/>
      <c r="P1051" s="156"/>
      <c r="Q1051" s="156"/>
      <c r="R1051" s="150"/>
    </row>
    <row r="1052" spans="1:18" ht="35.25" customHeight="1">
      <c r="A1052" s="15">
        <f t="shared" si="16"/>
        <v>1042</v>
      </c>
      <c r="B1052" s="144" t="s">
        <v>1617</v>
      </c>
      <c r="C1052" s="150" t="s">
        <v>1618</v>
      </c>
      <c r="D1052" s="160"/>
      <c r="E1052" s="160"/>
      <c r="F1052" s="160"/>
      <c r="G1052" s="150" t="s">
        <v>2416</v>
      </c>
      <c r="H1052" s="141"/>
      <c r="I1052" s="153" t="s">
        <v>566</v>
      </c>
      <c r="J1052" s="153">
        <v>1</v>
      </c>
      <c r="K1052" s="145" t="s">
        <v>730</v>
      </c>
      <c r="L1052" s="142" t="s">
        <v>2521</v>
      </c>
      <c r="M1052" s="19"/>
      <c r="N1052" s="144" t="s">
        <v>2573</v>
      </c>
      <c r="O1052" s="150"/>
      <c r="P1052" s="156"/>
      <c r="Q1052" s="156"/>
      <c r="R1052" s="150"/>
    </row>
    <row r="1053" spans="1:18" ht="35.25" customHeight="1">
      <c r="A1053" s="15">
        <f t="shared" si="16"/>
        <v>1043</v>
      </c>
      <c r="B1053" s="144" t="s">
        <v>1619</v>
      </c>
      <c r="C1053" s="150" t="s">
        <v>120</v>
      </c>
      <c r="D1053" s="160"/>
      <c r="E1053" s="160"/>
      <c r="F1053" s="160"/>
      <c r="G1053" s="150"/>
      <c r="H1053" s="141"/>
      <c r="I1053" s="153" t="s">
        <v>566</v>
      </c>
      <c r="J1053" s="153">
        <v>1</v>
      </c>
      <c r="K1053" s="145" t="s">
        <v>730</v>
      </c>
      <c r="L1053" s="142" t="s">
        <v>2521</v>
      </c>
      <c r="M1053" s="19"/>
      <c r="N1053" s="144" t="s">
        <v>2573</v>
      </c>
      <c r="O1053" s="150"/>
      <c r="P1053" s="156"/>
      <c r="Q1053" s="156"/>
      <c r="R1053" s="150"/>
    </row>
    <row r="1054" spans="1:18" ht="35.25" customHeight="1">
      <c r="A1054" s="15">
        <f t="shared" si="16"/>
        <v>1044</v>
      </c>
      <c r="B1054" s="144" t="s">
        <v>1620</v>
      </c>
      <c r="C1054" s="150" t="s">
        <v>1202</v>
      </c>
      <c r="D1054" s="160"/>
      <c r="E1054" s="160"/>
      <c r="F1054" s="160"/>
      <c r="G1054" s="144"/>
      <c r="H1054" s="141"/>
      <c r="I1054" s="153" t="s">
        <v>566</v>
      </c>
      <c r="J1054" s="153">
        <v>1</v>
      </c>
      <c r="K1054" s="145" t="s">
        <v>730</v>
      </c>
      <c r="L1054" s="142" t="s">
        <v>2521</v>
      </c>
      <c r="M1054" s="19"/>
      <c r="N1054" s="144" t="s">
        <v>2573</v>
      </c>
      <c r="O1054" s="150"/>
      <c r="P1054" s="156"/>
      <c r="Q1054" s="156"/>
      <c r="R1054" s="150"/>
    </row>
    <row r="1055" spans="1:18" ht="35.25" customHeight="1">
      <c r="A1055" s="15">
        <f t="shared" si="16"/>
        <v>1045</v>
      </c>
      <c r="B1055" s="144" t="s">
        <v>1621</v>
      </c>
      <c r="C1055" s="150" t="s">
        <v>1306</v>
      </c>
      <c r="D1055" s="160"/>
      <c r="E1055" s="160"/>
      <c r="F1055" s="160"/>
      <c r="G1055" s="144"/>
      <c r="H1055" s="141"/>
      <c r="I1055" s="153" t="s">
        <v>566</v>
      </c>
      <c r="J1055" s="153">
        <v>1</v>
      </c>
      <c r="K1055" s="145" t="s">
        <v>730</v>
      </c>
      <c r="L1055" s="142" t="s">
        <v>2521</v>
      </c>
      <c r="M1055" s="19"/>
      <c r="N1055" s="144" t="s">
        <v>2573</v>
      </c>
      <c r="O1055" s="150"/>
      <c r="P1055" s="156"/>
      <c r="Q1055" s="156"/>
      <c r="R1055" s="150"/>
    </row>
    <row r="1056" spans="1:18" ht="35.25" customHeight="1">
      <c r="A1056" s="15">
        <f t="shared" si="16"/>
        <v>1046</v>
      </c>
      <c r="B1056" s="144" t="s">
        <v>1622</v>
      </c>
      <c r="C1056" s="150" t="s">
        <v>1623</v>
      </c>
      <c r="D1056" s="160"/>
      <c r="E1056" s="160"/>
      <c r="F1056" s="160"/>
      <c r="G1056" s="144"/>
      <c r="H1056" s="141"/>
      <c r="I1056" s="153" t="s">
        <v>566</v>
      </c>
      <c r="J1056" s="153">
        <v>1</v>
      </c>
      <c r="K1056" s="145" t="s">
        <v>730</v>
      </c>
      <c r="L1056" s="142" t="s">
        <v>2521</v>
      </c>
      <c r="M1056" s="19"/>
      <c r="N1056" s="144" t="s">
        <v>2573</v>
      </c>
      <c r="O1056" s="150"/>
      <c r="P1056" s="156"/>
      <c r="Q1056" s="156"/>
      <c r="R1056" s="150"/>
    </row>
    <row r="1057" spans="1:18" ht="35.25" customHeight="1">
      <c r="A1057" s="15">
        <f t="shared" si="16"/>
        <v>1047</v>
      </c>
      <c r="B1057" s="169" t="s">
        <v>1624</v>
      </c>
      <c r="C1057" s="150" t="s">
        <v>1625</v>
      </c>
      <c r="D1057" s="160"/>
      <c r="E1057" s="160"/>
      <c r="F1057" s="160"/>
      <c r="G1057" s="144"/>
      <c r="H1057" s="141"/>
      <c r="I1057" s="153" t="s">
        <v>566</v>
      </c>
      <c r="J1057" s="153">
        <v>1</v>
      </c>
      <c r="K1057" s="145" t="s">
        <v>730</v>
      </c>
      <c r="L1057" s="142" t="s">
        <v>2521</v>
      </c>
      <c r="M1057" s="19"/>
      <c r="N1057" s="144" t="s">
        <v>2573</v>
      </c>
      <c r="O1057" s="150"/>
      <c r="P1057" s="156"/>
      <c r="Q1057" s="156"/>
      <c r="R1057" s="144" t="s">
        <v>272</v>
      </c>
    </row>
    <row r="1058" spans="1:18" ht="35.25" customHeight="1">
      <c r="A1058" s="15">
        <f t="shared" si="16"/>
        <v>1048</v>
      </c>
      <c r="B1058" s="150" t="s">
        <v>1626</v>
      </c>
      <c r="C1058" s="150" t="s">
        <v>1627</v>
      </c>
      <c r="D1058" s="160"/>
      <c r="E1058" s="160"/>
      <c r="F1058" s="160"/>
      <c r="G1058" s="144"/>
      <c r="H1058" s="141"/>
      <c r="I1058" s="153" t="s">
        <v>566</v>
      </c>
      <c r="J1058" s="153">
        <v>1</v>
      </c>
      <c r="K1058" s="145" t="s">
        <v>730</v>
      </c>
      <c r="L1058" s="142" t="s">
        <v>2521</v>
      </c>
      <c r="M1058" s="19"/>
      <c r="N1058" s="144" t="s">
        <v>2573</v>
      </c>
      <c r="O1058" s="150"/>
      <c r="P1058" s="156"/>
      <c r="Q1058" s="156"/>
      <c r="R1058" s="144" t="s">
        <v>272</v>
      </c>
    </row>
    <row r="1059" spans="1:18" ht="35.25" customHeight="1">
      <c r="A1059" s="15">
        <f t="shared" si="16"/>
        <v>1049</v>
      </c>
      <c r="B1059" s="9" t="s">
        <v>1628</v>
      </c>
      <c r="C1059" s="14" t="s">
        <v>1629</v>
      </c>
      <c r="D1059" s="160"/>
      <c r="E1059" s="160"/>
      <c r="F1059" s="160"/>
      <c r="G1059" s="144"/>
      <c r="H1059" s="141"/>
      <c r="I1059" s="153" t="s">
        <v>566</v>
      </c>
      <c r="J1059" s="153">
        <v>1</v>
      </c>
      <c r="K1059" s="145" t="s">
        <v>730</v>
      </c>
      <c r="L1059" s="142" t="s">
        <v>2521</v>
      </c>
      <c r="M1059" s="19"/>
      <c r="N1059" s="144" t="s">
        <v>2573</v>
      </c>
      <c r="O1059" s="150"/>
      <c r="P1059" s="156"/>
      <c r="Q1059" s="156"/>
      <c r="R1059" s="144" t="s">
        <v>272</v>
      </c>
    </row>
    <row r="1060" spans="1:18" ht="35.25" customHeight="1">
      <c r="A1060" s="15">
        <f t="shared" si="16"/>
        <v>1050</v>
      </c>
      <c r="B1060" s="9" t="s">
        <v>1630</v>
      </c>
      <c r="C1060" s="14" t="s">
        <v>1629</v>
      </c>
      <c r="D1060" s="160"/>
      <c r="E1060" s="160"/>
      <c r="F1060" s="160"/>
      <c r="G1060" s="144"/>
      <c r="H1060" s="141"/>
      <c r="I1060" s="153" t="s">
        <v>566</v>
      </c>
      <c r="J1060" s="153">
        <v>1</v>
      </c>
      <c r="K1060" s="145" t="s">
        <v>730</v>
      </c>
      <c r="L1060" s="142" t="s">
        <v>2521</v>
      </c>
      <c r="M1060" s="19"/>
      <c r="N1060" s="144" t="s">
        <v>2573</v>
      </c>
      <c r="O1060" s="150"/>
      <c r="P1060" s="156"/>
      <c r="Q1060" s="156"/>
      <c r="R1060" s="144" t="s">
        <v>272</v>
      </c>
    </row>
    <row r="1061" spans="1:18" ht="35.25" customHeight="1">
      <c r="A1061" s="15">
        <f t="shared" si="16"/>
        <v>1051</v>
      </c>
      <c r="B1061" s="9" t="s">
        <v>1631</v>
      </c>
      <c r="C1061" s="14" t="s">
        <v>1629</v>
      </c>
      <c r="D1061" s="160"/>
      <c r="E1061" s="160"/>
      <c r="F1061" s="160"/>
      <c r="G1061" s="144"/>
      <c r="H1061" s="141"/>
      <c r="I1061" s="153" t="s">
        <v>566</v>
      </c>
      <c r="J1061" s="153">
        <v>1</v>
      </c>
      <c r="K1061" s="145" t="s">
        <v>730</v>
      </c>
      <c r="L1061" s="142" t="s">
        <v>2521</v>
      </c>
      <c r="M1061" s="19"/>
      <c r="N1061" s="144" t="s">
        <v>2573</v>
      </c>
      <c r="O1061" s="150"/>
      <c r="P1061" s="156"/>
      <c r="Q1061" s="156"/>
      <c r="R1061" s="144" t="s">
        <v>272</v>
      </c>
    </row>
    <row r="1062" spans="1:18" ht="35.25" customHeight="1">
      <c r="A1062" s="15">
        <f t="shared" si="16"/>
        <v>1052</v>
      </c>
      <c r="B1062" s="144" t="s">
        <v>1632</v>
      </c>
      <c r="C1062" s="150" t="s">
        <v>1306</v>
      </c>
      <c r="D1062" s="160"/>
      <c r="E1062" s="160"/>
      <c r="F1062" s="160"/>
      <c r="G1062" s="144"/>
      <c r="H1062" s="141"/>
      <c r="I1062" s="153" t="s">
        <v>566</v>
      </c>
      <c r="J1062" s="153">
        <v>1</v>
      </c>
      <c r="K1062" s="145" t="s">
        <v>730</v>
      </c>
      <c r="L1062" s="142" t="s">
        <v>2521</v>
      </c>
      <c r="M1062" s="19"/>
      <c r="N1062" s="144" t="s">
        <v>2573</v>
      </c>
      <c r="O1062" s="150"/>
      <c r="P1062" s="156"/>
      <c r="Q1062" s="156"/>
      <c r="R1062" s="144" t="s">
        <v>272</v>
      </c>
    </row>
    <row r="1063" spans="1:18" ht="35.25" customHeight="1">
      <c r="A1063" s="15">
        <f t="shared" si="16"/>
        <v>1053</v>
      </c>
      <c r="B1063" s="144" t="s">
        <v>1633</v>
      </c>
      <c r="C1063" s="150" t="s">
        <v>1306</v>
      </c>
      <c r="D1063" s="160"/>
      <c r="E1063" s="160"/>
      <c r="F1063" s="160"/>
      <c r="G1063" s="144"/>
      <c r="H1063" s="141"/>
      <c r="I1063" s="153" t="s">
        <v>566</v>
      </c>
      <c r="J1063" s="153">
        <v>1</v>
      </c>
      <c r="K1063" s="145" t="s">
        <v>730</v>
      </c>
      <c r="L1063" s="142" t="s">
        <v>2521</v>
      </c>
      <c r="M1063" s="19"/>
      <c r="N1063" s="144" t="s">
        <v>2573</v>
      </c>
      <c r="O1063" s="150"/>
      <c r="P1063" s="156"/>
      <c r="Q1063" s="156"/>
      <c r="R1063" s="144" t="s">
        <v>272</v>
      </c>
    </row>
    <row r="1064" spans="1:18" ht="35.25" customHeight="1">
      <c r="A1064" s="15">
        <f t="shared" si="16"/>
        <v>1054</v>
      </c>
      <c r="B1064" s="144" t="s">
        <v>1634</v>
      </c>
      <c r="C1064" s="150" t="s">
        <v>32</v>
      </c>
      <c r="D1064" s="43"/>
      <c r="E1064" s="43"/>
      <c r="F1064" s="43"/>
      <c r="G1064" s="144"/>
      <c r="H1064" s="141"/>
      <c r="I1064" s="153" t="s">
        <v>566</v>
      </c>
      <c r="J1064" s="153">
        <v>1</v>
      </c>
      <c r="K1064" s="145" t="s">
        <v>730</v>
      </c>
      <c r="L1064" s="142" t="s">
        <v>2521</v>
      </c>
      <c r="M1064" s="19"/>
      <c r="N1064" s="144" t="s">
        <v>2573</v>
      </c>
      <c r="O1064" s="150"/>
      <c r="P1064" s="156"/>
      <c r="Q1064" s="156"/>
      <c r="R1064" s="150" t="s">
        <v>3247</v>
      </c>
    </row>
    <row r="1065" spans="1:18" ht="35.25" customHeight="1">
      <c r="A1065" s="15">
        <f t="shared" si="16"/>
        <v>1055</v>
      </c>
      <c r="B1065" s="144" t="s">
        <v>1635</v>
      </c>
      <c r="C1065" s="150" t="s">
        <v>414</v>
      </c>
      <c r="D1065" s="19"/>
      <c r="E1065" s="19"/>
      <c r="F1065" s="19"/>
      <c r="G1065" s="144"/>
      <c r="H1065" s="141"/>
      <c r="I1065" s="153" t="s">
        <v>566</v>
      </c>
      <c r="J1065" s="153">
        <v>1</v>
      </c>
      <c r="K1065" s="145" t="s">
        <v>730</v>
      </c>
      <c r="L1065" s="142" t="s">
        <v>2521</v>
      </c>
      <c r="M1065" s="19"/>
      <c r="N1065" s="144" t="s">
        <v>2573</v>
      </c>
      <c r="O1065" s="150"/>
      <c r="P1065" s="156"/>
      <c r="Q1065" s="156"/>
      <c r="R1065" s="144" t="s">
        <v>272</v>
      </c>
    </row>
    <row r="1066" spans="1:18" ht="35.25" customHeight="1">
      <c r="A1066" s="15">
        <f t="shared" si="16"/>
        <v>1056</v>
      </c>
      <c r="B1066" s="144" t="s">
        <v>1636</v>
      </c>
      <c r="C1066" s="150" t="s">
        <v>414</v>
      </c>
      <c r="D1066" s="19"/>
      <c r="E1066" s="19"/>
      <c r="F1066" s="19"/>
      <c r="G1066" s="64"/>
      <c r="H1066" s="141"/>
      <c r="I1066" s="153" t="s">
        <v>566</v>
      </c>
      <c r="J1066" s="153">
        <v>1</v>
      </c>
      <c r="K1066" s="145" t="s">
        <v>730</v>
      </c>
      <c r="L1066" s="142" t="s">
        <v>2521</v>
      </c>
      <c r="M1066" s="19"/>
      <c r="N1066" s="144" t="s">
        <v>2573</v>
      </c>
      <c r="O1066" s="150"/>
      <c r="P1066" s="156"/>
      <c r="Q1066" s="156"/>
      <c r="R1066" s="144" t="s">
        <v>272</v>
      </c>
    </row>
    <row r="1067" spans="1:18" ht="35.25" customHeight="1">
      <c r="A1067" s="15">
        <f t="shared" si="16"/>
        <v>1057</v>
      </c>
      <c r="B1067" s="144" t="s">
        <v>1637</v>
      </c>
      <c r="C1067" s="150" t="s">
        <v>414</v>
      </c>
      <c r="D1067" s="19"/>
      <c r="E1067" s="19"/>
      <c r="F1067" s="19"/>
      <c r="G1067" s="64"/>
      <c r="H1067" s="141"/>
      <c r="I1067" s="153" t="s">
        <v>566</v>
      </c>
      <c r="J1067" s="153">
        <v>1</v>
      </c>
      <c r="K1067" s="145" t="s">
        <v>730</v>
      </c>
      <c r="L1067" s="142" t="s">
        <v>2521</v>
      </c>
      <c r="M1067" s="19"/>
      <c r="N1067" s="144" t="s">
        <v>2573</v>
      </c>
      <c r="O1067" s="150"/>
      <c r="P1067" s="156"/>
      <c r="Q1067" s="156"/>
      <c r="R1067" s="144" t="s">
        <v>272</v>
      </c>
    </row>
    <row r="1068" spans="1:18" ht="35.25" customHeight="1">
      <c r="A1068" s="15">
        <f t="shared" si="16"/>
        <v>1058</v>
      </c>
      <c r="B1068" s="144" t="s">
        <v>1638</v>
      </c>
      <c r="C1068" s="150" t="s">
        <v>414</v>
      </c>
      <c r="D1068" s="19"/>
      <c r="E1068" s="19"/>
      <c r="F1068" s="19"/>
      <c r="G1068" s="64"/>
      <c r="H1068" s="141"/>
      <c r="I1068" s="153" t="s">
        <v>566</v>
      </c>
      <c r="J1068" s="153">
        <v>1</v>
      </c>
      <c r="K1068" s="145" t="s">
        <v>730</v>
      </c>
      <c r="L1068" s="142" t="s">
        <v>2521</v>
      </c>
      <c r="M1068" s="19"/>
      <c r="N1068" s="144" t="s">
        <v>2573</v>
      </c>
      <c r="O1068" s="150"/>
      <c r="P1068" s="156"/>
      <c r="Q1068" s="156"/>
      <c r="R1068" s="144" t="s">
        <v>272</v>
      </c>
    </row>
    <row r="1069" spans="1:18" ht="35.25" customHeight="1">
      <c r="A1069" s="15">
        <f t="shared" si="16"/>
        <v>1059</v>
      </c>
      <c r="B1069" s="144" t="s">
        <v>1639</v>
      </c>
      <c r="C1069" s="150" t="s">
        <v>414</v>
      </c>
      <c r="D1069" s="19"/>
      <c r="E1069" s="19"/>
      <c r="F1069" s="19"/>
      <c r="G1069" s="64"/>
      <c r="H1069" s="141"/>
      <c r="I1069" s="153" t="s">
        <v>566</v>
      </c>
      <c r="J1069" s="153">
        <v>1</v>
      </c>
      <c r="K1069" s="145" t="s">
        <v>730</v>
      </c>
      <c r="L1069" s="142" t="s">
        <v>2521</v>
      </c>
      <c r="M1069" s="19"/>
      <c r="N1069" s="144" t="s">
        <v>2573</v>
      </c>
      <c r="O1069" s="150"/>
      <c r="P1069" s="156"/>
      <c r="Q1069" s="156"/>
      <c r="R1069" s="144" t="s">
        <v>272</v>
      </c>
    </row>
    <row r="1070" spans="1:18" ht="35.25" customHeight="1">
      <c r="A1070" s="15">
        <f t="shared" si="16"/>
        <v>1060</v>
      </c>
      <c r="B1070" s="144" t="s">
        <v>1640</v>
      </c>
      <c r="C1070" s="150" t="s">
        <v>414</v>
      </c>
      <c r="D1070" s="19"/>
      <c r="E1070" s="19"/>
      <c r="F1070" s="19"/>
      <c r="G1070" s="64"/>
      <c r="H1070" s="141"/>
      <c r="I1070" s="153" t="s">
        <v>566</v>
      </c>
      <c r="J1070" s="153">
        <v>1</v>
      </c>
      <c r="K1070" s="145" t="s">
        <v>730</v>
      </c>
      <c r="L1070" s="142" t="s">
        <v>2521</v>
      </c>
      <c r="M1070" s="19"/>
      <c r="N1070" s="144" t="s">
        <v>2573</v>
      </c>
      <c r="O1070" s="150"/>
      <c r="P1070" s="156"/>
      <c r="Q1070" s="156"/>
      <c r="R1070" s="144" t="s">
        <v>272</v>
      </c>
    </row>
    <row r="1071" spans="1:18" ht="35.25" customHeight="1">
      <c r="A1071" s="15">
        <f t="shared" si="16"/>
        <v>1061</v>
      </c>
      <c r="B1071" s="144" t="s">
        <v>1641</v>
      </c>
      <c r="C1071" s="150" t="s">
        <v>414</v>
      </c>
      <c r="D1071" s="19"/>
      <c r="E1071" s="19"/>
      <c r="F1071" s="19"/>
      <c r="G1071" s="64"/>
      <c r="H1071" s="141"/>
      <c r="I1071" s="153" t="s">
        <v>566</v>
      </c>
      <c r="J1071" s="153">
        <v>1</v>
      </c>
      <c r="K1071" s="145" t="s">
        <v>730</v>
      </c>
      <c r="L1071" s="142" t="s">
        <v>2521</v>
      </c>
      <c r="M1071" s="19"/>
      <c r="N1071" s="144" t="s">
        <v>2573</v>
      </c>
      <c r="O1071" s="150"/>
      <c r="P1071" s="156"/>
      <c r="Q1071" s="156"/>
      <c r="R1071" s="144" t="s">
        <v>272</v>
      </c>
    </row>
    <row r="1072" spans="1:18" ht="35.25" customHeight="1">
      <c r="A1072" s="15">
        <f t="shared" si="16"/>
        <v>1062</v>
      </c>
      <c r="B1072" s="144" t="s">
        <v>1642</v>
      </c>
      <c r="C1072" s="150" t="s">
        <v>414</v>
      </c>
      <c r="D1072" s="46"/>
      <c r="E1072" s="46"/>
      <c r="F1072" s="46"/>
      <c r="G1072" s="64"/>
      <c r="H1072" s="141"/>
      <c r="I1072" s="153" t="s">
        <v>566</v>
      </c>
      <c r="J1072" s="153">
        <v>1</v>
      </c>
      <c r="K1072" s="145" t="s">
        <v>730</v>
      </c>
      <c r="L1072" s="142" t="s">
        <v>2521</v>
      </c>
      <c r="M1072" s="19"/>
      <c r="N1072" s="144" t="s">
        <v>2573</v>
      </c>
      <c r="O1072" s="150"/>
      <c r="P1072" s="156"/>
      <c r="Q1072" s="156"/>
      <c r="R1072" s="144" t="s">
        <v>272</v>
      </c>
    </row>
    <row r="1073" spans="1:39" ht="35.25" customHeight="1">
      <c r="A1073" s="15">
        <f t="shared" si="16"/>
        <v>1063</v>
      </c>
      <c r="B1073" s="144" t="s">
        <v>1643</v>
      </c>
      <c r="C1073" s="150" t="s">
        <v>985</v>
      </c>
      <c r="D1073" s="46"/>
      <c r="E1073" s="46"/>
      <c r="F1073" s="46"/>
      <c r="G1073" s="64"/>
      <c r="H1073" s="141"/>
      <c r="I1073" s="153" t="s">
        <v>566</v>
      </c>
      <c r="J1073" s="153">
        <v>1</v>
      </c>
      <c r="K1073" s="145" t="s">
        <v>730</v>
      </c>
      <c r="L1073" s="142" t="s">
        <v>2521</v>
      </c>
      <c r="M1073" s="19"/>
      <c r="N1073" s="144" t="s">
        <v>2573</v>
      </c>
      <c r="O1073" s="150"/>
      <c r="P1073" s="156"/>
      <c r="Q1073" s="156"/>
      <c r="R1073" s="144" t="s">
        <v>272</v>
      </c>
    </row>
    <row r="1074" spans="1:39" ht="35.25" customHeight="1">
      <c r="A1074" s="15">
        <f t="shared" si="16"/>
        <v>1064</v>
      </c>
      <c r="B1074" s="144" t="s">
        <v>1644</v>
      </c>
      <c r="C1074" s="150" t="s">
        <v>32</v>
      </c>
      <c r="D1074" s="46"/>
      <c r="E1074" s="46"/>
      <c r="F1074" s="46"/>
      <c r="G1074" s="64"/>
      <c r="H1074" s="141"/>
      <c r="I1074" s="153" t="s">
        <v>566</v>
      </c>
      <c r="J1074" s="153">
        <v>1</v>
      </c>
      <c r="K1074" s="145" t="s">
        <v>730</v>
      </c>
      <c r="L1074" s="142" t="s">
        <v>2521</v>
      </c>
      <c r="M1074" s="19"/>
      <c r="N1074" s="144" t="s">
        <v>2573</v>
      </c>
      <c r="O1074" s="150"/>
      <c r="P1074" s="156"/>
      <c r="Q1074" s="156"/>
      <c r="R1074" s="144" t="s">
        <v>272</v>
      </c>
    </row>
    <row r="1075" spans="1:39" ht="35.25" customHeight="1">
      <c r="A1075" s="15">
        <f t="shared" si="16"/>
        <v>1065</v>
      </c>
      <c r="B1075" s="142" t="s">
        <v>1645</v>
      </c>
      <c r="C1075" s="150" t="s">
        <v>1646</v>
      </c>
      <c r="D1075" s="46"/>
      <c r="E1075" s="46"/>
      <c r="F1075" s="46"/>
      <c r="G1075" s="150" t="s">
        <v>2417</v>
      </c>
      <c r="H1075" s="141"/>
      <c r="I1075" s="153" t="s">
        <v>566</v>
      </c>
      <c r="J1075" s="153">
        <v>1</v>
      </c>
      <c r="K1075" s="145" t="s">
        <v>730</v>
      </c>
      <c r="L1075" s="142" t="s">
        <v>2518</v>
      </c>
      <c r="M1075" s="19"/>
      <c r="N1075" s="144" t="s">
        <v>2574</v>
      </c>
      <c r="O1075" s="150"/>
      <c r="P1075" s="156"/>
      <c r="Q1075" s="156"/>
      <c r="R1075" s="144" t="s">
        <v>2509</v>
      </c>
    </row>
    <row r="1076" spans="1:39" ht="35.25" customHeight="1">
      <c r="A1076" s="15">
        <f t="shared" si="16"/>
        <v>1066</v>
      </c>
      <c r="B1076" s="142" t="s">
        <v>1647</v>
      </c>
      <c r="C1076" s="150" t="s">
        <v>1648</v>
      </c>
      <c r="D1076" s="182"/>
      <c r="E1076" s="182"/>
      <c r="F1076" s="182"/>
      <c r="G1076" s="144"/>
      <c r="H1076" s="141"/>
      <c r="I1076" s="153" t="s">
        <v>566</v>
      </c>
      <c r="J1076" s="153">
        <v>1</v>
      </c>
      <c r="K1076" s="145" t="s">
        <v>730</v>
      </c>
      <c r="L1076" s="142" t="s">
        <v>2518</v>
      </c>
      <c r="M1076" s="19"/>
      <c r="N1076" s="144" t="s">
        <v>2574</v>
      </c>
      <c r="O1076" s="150"/>
      <c r="P1076" s="156"/>
      <c r="Q1076" s="156"/>
      <c r="R1076" s="150"/>
    </row>
    <row r="1077" spans="1:39" ht="35.25" customHeight="1">
      <c r="A1077" s="15">
        <f t="shared" si="16"/>
        <v>1067</v>
      </c>
      <c r="B1077" s="142" t="s">
        <v>1649</v>
      </c>
      <c r="C1077" s="150" t="s">
        <v>451</v>
      </c>
      <c r="D1077" s="182"/>
      <c r="E1077" s="182"/>
      <c r="F1077" s="182"/>
      <c r="G1077" s="144" t="s">
        <v>2409</v>
      </c>
      <c r="H1077" s="141"/>
      <c r="I1077" s="153" t="s">
        <v>566</v>
      </c>
      <c r="J1077" s="153">
        <v>1</v>
      </c>
      <c r="K1077" s="145" t="s">
        <v>730</v>
      </c>
      <c r="L1077" s="142" t="s">
        <v>2518</v>
      </c>
      <c r="M1077" s="19"/>
      <c r="N1077" s="144" t="s">
        <v>2574</v>
      </c>
      <c r="O1077" s="150"/>
      <c r="P1077" s="156"/>
      <c r="Q1077" s="156"/>
      <c r="R1077" s="150"/>
    </row>
    <row r="1078" spans="1:39" ht="35.25" customHeight="1">
      <c r="A1078" s="15">
        <f t="shared" si="16"/>
        <v>1068</v>
      </c>
      <c r="B1078" s="142" t="s">
        <v>1650</v>
      </c>
      <c r="C1078" s="150" t="s">
        <v>578</v>
      </c>
      <c r="D1078" s="182"/>
      <c r="E1078" s="182"/>
      <c r="F1078" s="182"/>
      <c r="G1078" s="144"/>
      <c r="H1078" s="141"/>
      <c r="I1078" s="153" t="s">
        <v>566</v>
      </c>
      <c r="J1078" s="153">
        <v>1</v>
      </c>
      <c r="K1078" s="145" t="s">
        <v>730</v>
      </c>
      <c r="L1078" s="142" t="s">
        <v>2518</v>
      </c>
      <c r="M1078" s="19"/>
      <c r="N1078" s="144" t="s">
        <v>2574</v>
      </c>
      <c r="O1078" s="150"/>
      <c r="P1078" s="156"/>
      <c r="Q1078" s="156"/>
      <c r="R1078" s="144" t="s">
        <v>2510</v>
      </c>
    </row>
    <row r="1079" spans="1:39" s="236" customFormat="1" ht="35.25" customHeight="1">
      <c r="A1079" s="15">
        <f t="shared" si="16"/>
        <v>1069</v>
      </c>
      <c r="B1079" s="165" t="s">
        <v>1651</v>
      </c>
      <c r="C1079" s="170" t="s">
        <v>1652</v>
      </c>
      <c r="D1079" s="256"/>
      <c r="E1079" s="256"/>
      <c r="F1079" s="256"/>
      <c r="G1079" s="163" t="s">
        <v>2418</v>
      </c>
      <c r="H1079" s="147"/>
      <c r="I1079" s="162" t="s">
        <v>566</v>
      </c>
      <c r="J1079" s="162">
        <v>1</v>
      </c>
      <c r="K1079" s="163" t="s">
        <v>730</v>
      </c>
      <c r="L1079" s="165" t="s">
        <v>2518</v>
      </c>
      <c r="M1079" s="50"/>
      <c r="N1079" s="163" t="s">
        <v>2574</v>
      </c>
      <c r="O1079" s="170"/>
      <c r="P1079" s="163"/>
      <c r="Q1079" s="163"/>
      <c r="R1079" s="170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</row>
    <row r="1080" spans="1:39" ht="35.25" customHeight="1">
      <c r="A1080" s="15">
        <f t="shared" si="16"/>
        <v>1070</v>
      </c>
      <c r="B1080" s="142" t="s">
        <v>1653</v>
      </c>
      <c r="C1080" s="150" t="s">
        <v>582</v>
      </c>
      <c r="D1080" s="182"/>
      <c r="E1080" s="182"/>
      <c r="F1080" s="182"/>
      <c r="G1080" s="144"/>
      <c r="H1080" s="141"/>
      <c r="I1080" s="153" t="s">
        <v>566</v>
      </c>
      <c r="J1080" s="153">
        <v>1</v>
      </c>
      <c r="K1080" s="144" t="s">
        <v>730</v>
      </c>
      <c r="L1080" s="142" t="s">
        <v>2518</v>
      </c>
      <c r="M1080" s="19"/>
      <c r="N1080" s="144" t="s">
        <v>2574</v>
      </c>
      <c r="O1080" s="150"/>
      <c r="P1080" s="156"/>
      <c r="Q1080" s="156"/>
      <c r="R1080" s="150"/>
    </row>
    <row r="1081" spans="1:39" ht="35.25" customHeight="1">
      <c r="A1081" s="15">
        <f t="shared" si="16"/>
        <v>1071</v>
      </c>
      <c r="B1081" s="142" t="s">
        <v>1654</v>
      </c>
      <c r="C1081" s="150" t="s">
        <v>1306</v>
      </c>
      <c r="D1081" s="182"/>
      <c r="E1081" s="182"/>
      <c r="F1081" s="182"/>
      <c r="G1081" s="144"/>
      <c r="H1081" s="141"/>
      <c r="I1081" s="153" t="s">
        <v>566</v>
      </c>
      <c r="J1081" s="153">
        <v>1</v>
      </c>
      <c r="K1081" s="144" t="s">
        <v>730</v>
      </c>
      <c r="L1081" s="142" t="s">
        <v>2518</v>
      </c>
      <c r="M1081" s="19"/>
      <c r="N1081" s="144" t="s">
        <v>2574</v>
      </c>
      <c r="O1081" s="150"/>
      <c r="P1081" s="156"/>
      <c r="Q1081" s="156"/>
      <c r="R1081" s="150"/>
    </row>
    <row r="1082" spans="1:39" ht="35.25" customHeight="1">
      <c r="A1082" s="15">
        <f t="shared" si="16"/>
        <v>1072</v>
      </c>
      <c r="B1082" s="142" t="s">
        <v>1655</v>
      </c>
      <c r="C1082" s="150" t="s">
        <v>620</v>
      </c>
      <c r="D1082" s="182"/>
      <c r="E1082" s="182"/>
      <c r="F1082" s="182"/>
      <c r="G1082" s="154" t="s">
        <v>2419</v>
      </c>
      <c r="H1082" s="141"/>
      <c r="I1082" s="153" t="s">
        <v>566</v>
      </c>
      <c r="J1082" s="153">
        <v>1</v>
      </c>
      <c r="K1082" s="144" t="s">
        <v>730</v>
      </c>
      <c r="L1082" s="142" t="s">
        <v>2518</v>
      </c>
      <c r="M1082" s="276" t="s">
        <v>3250</v>
      </c>
      <c r="N1082" s="144" t="s">
        <v>2575</v>
      </c>
      <c r="O1082" s="150"/>
      <c r="P1082" s="156"/>
      <c r="Q1082" s="156"/>
      <c r="R1082" s="150" t="s">
        <v>3220</v>
      </c>
    </row>
    <row r="1083" spans="1:39" ht="35.25" customHeight="1">
      <c r="A1083" s="15">
        <f t="shared" si="16"/>
        <v>1073</v>
      </c>
      <c r="B1083" s="142" t="s">
        <v>1656</v>
      </c>
      <c r="C1083" s="150" t="s">
        <v>120</v>
      </c>
      <c r="D1083" s="182"/>
      <c r="E1083" s="182"/>
      <c r="F1083" s="182"/>
      <c r="G1083" s="154"/>
      <c r="H1083" s="141"/>
      <c r="I1083" s="153" t="s">
        <v>566</v>
      </c>
      <c r="J1083" s="153">
        <v>1</v>
      </c>
      <c r="K1083" s="144" t="s">
        <v>730</v>
      </c>
      <c r="L1083" s="142" t="s">
        <v>2518</v>
      </c>
      <c r="M1083" s="276" t="s">
        <v>3250</v>
      </c>
      <c r="N1083" s="144" t="s">
        <v>2575</v>
      </c>
      <c r="O1083" s="150"/>
      <c r="P1083" s="156"/>
      <c r="Q1083" s="156"/>
      <c r="R1083" s="150"/>
    </row>
    <row r="1084" spans="1:39" ht="35.25" customHeight="1">
      <c r="A1084" s="15">
        <f t="shared" si="16"/>
        <v>1074</v>
      </c>
      <c r="B1084" s="142" t="s">
        <v>1657</v>
      </c>
      <c r="C1084" s="150" t="s">
        <v>1537</v>
      </c>
      <c r="D1084" s="182"/>
      <c r="E1084" s="182"/>
      <c r="F1084" s="182"/>
      <c r="G1084" s="144" t="s">
        <v>2420</v>
      </c>
      <c r="H1084" s="141"/>
      <c r="I1084" s="153" t="s">
        <v>566</v>
      </c>
      <c r="J1084" s="153">
        <v>1</v>
      </c>
      <c r="K1084" s="144" t="s">
        <v>730</v>
      </c>
      <c r="L1084" s="142" t="s">
        <v>2518</v>
      </c>
      <c r="M1084" s="276" t="s">
        <v>3250</v>
      </c>
      <c r="N1084" s="144" t="s">
        <v>2575</v>
      </c>
      <c r="O1084" s="150"/>
      <c r="P1084" s="156"/>
      <c r="Q1084" s="156"/>
      <c r="R1084" s="150"/>
    </row>
    <row r="1085" spans="1:39" ht="35.25" customHeight="1">
      <c r="A1085" s="15">
        <f t="shared" si="16"/>
        <v>1075</v>
      </c>
      <c r="B1085" s="142" t="s">
        <v>1658</v>
      </c>
      <c r="C1085" s="150" t="s">
        <v>1659</v>
      </c>
      <c r="D1085" s="182"/>
      <c r="E1085" s="182"/>
      <c r="F1085" s="182"/>
      <c r="G1085" s="144" t="s">
        <v>2421</v>
      </c>
      <c r="H1085" s="141"/>
      <c r="I1085" s="153" t="s">
        <v>566</v>
      </c>
      <c r="J1085" s="153">
        <v>1</v>
      </c>
      <c r="K1085" s="144" t="s">
        <v>730</v>
      </c>
      <c r="L1085" s="142" t="s">
        <v>2518</v>
      </c>
      <c r="M1085" s="276" t="s">
        <v>3250</v>
      </c>
      <c r="N1085" s="144" t="s">
        <v>2575</v>
      </c>
      <c r="O1085" s="150"/>
      <c r="P1085" s="156"/>
      <c r="Q1085" s="156"/>
      <c r="R1085" s="150"/>
    </row>
    <row r="1086" spans="1:39" ht="35.25" customHeight="1">
      <c r="A1086" s="15">
        <f t="shared" si="16"/>
        <v>1076</v>
      </c>
      <c r="B1086" s="142" t="s">
        <v>1660</v>
      </c>
      <c r="C1086" s="150" t="s">
        <v>1659</v>
      </c>
      <c r="D1086" s="176"/>
      <c r="E1086" s="176"/>
      <c r="F1086" s="176"/>
      <c r="G1086" s="144"/>
      <c r="H1086" s="141"/>
      <c r="I1086" s="153" t="s">
        <v>566</v>
      </c>
      <c r="J1086" s="153">
        <v>1</v>
      </c>
      <c r="K1086" s="144" t="s">
        <v>730</v>
      </c>
      <c r="L1086" s="142" t="s">
        <v>2518</v>
      </c>
      <c r="M1086" s="276" t="s">
        <v>3250</v>
      </c>
      <c r="N1086" s="144" t="s">
        <v>2575</v>
      </c>
      <c r="O1086" s="150"/>
      <c r="P1086" s="156"/>
      <c r="Q1086" s="156"/>
      <c r="R1086" s="150"/>
    </row>
    <row r="1087" spans="1:39" ht="35.25" customHeight="1">
      <c r="A1087" s="15">
        <f t="shared" si="16"/>
        <v>1077</v>
      </c>
      <c r="B1087" s="142" t="s">
        <v>1661</v>
      </c>
      <c r="C1087" s="150" t="s">
        <v>1662</v>
      </c>
      <c r="D1087" s="176"/>
      <c r="E1087" s="176"/>
      <c r="F1087" s="176"/>
      <c r="G1087" s="144"/>
      <c r="H1087" s="141"/>
      <c r="I1087" s="153" t="s">
        <v>566</v>
      </c>
      <c r="J1087" s="153">
        <v>1</v>
      </c>
      <c r="K1087" s="144" t="s">
        <v>730</v>
      </c>
      <c r="L1087" s="142" t="s">
        <v>2518</v>
      </c>
      <c r="M1087" s="276" t="s">
        <v>3250</v>
      </c>
      <c r="N1087" s="144" t="s">
        <v>2575</v>
      </c>
      <c r="O1087" s="150"/>
      <c r="P1087" s="156"/>
      <c r="Q1087" s="156"/>
      <c r="R1087" s="150"/>
    </row>
    <row r="1088" spans="1:39" ht="35.25" customHeight="1">
      <c r="A1088" s="15">
        <f t="shared" si="16"/>
        <v>1078</v>
      </c>
      <c r="B1088" s="142" t="s">
        <v>1663</v>
      </c>
      <c r="C1088" s="150" t="s">
        <v>1306</v>
      </c>
      <c r="D1088" s="176"/>
      <c r="E1088" s="176"/>
      <c r="F1088" s="176"/>
      <c r="G1088" s="144"/>
      <c r="H1088" s="141"/>
      <c r="I1088" s="153" t="s">
        <v>566</v>
      </c>
      <c r="J1088" s="153">
        <v>1</v>
      </c>
      <c r="K1088" s="144" t="s">
        <v>730</v>
      </c>
      <c r="L1088" s="142" t="s">
        <v>2518</v>
      </c>
      <c r="M1088" s="276" t="s">
        <v>3250</v>
      </c>
      <c r="N1088" s="144" t="s">
        <v>2575</v>
      </c>
      <c r="O1088" s="150"/>
      <c r="P1088" s="156"/>
      <c r="Q1088" s="156"/>
      <c r="R1088" s="150"/>
    </row>
    <row r="1089" spans="1:39" ht="35.25" customHeight="1">
      <c r="A1089" s="15">
        <f t="shared" si="16"/>
        <v>1079</v>
      </c>
      <c r="B1089" s="142" t="s">
        <v>1664</v>
      </c>
      <c r="C1089" s="150" t="s">
        <v>32</v>
      </c>
      <c r="D1089" s="176"/>
      <c r="E1089" s="176"/>
      <c r="F1089" s="176"/>
      <c r="G1089" s="144"/>
      <c r="H1089" s="141"/>
      <c r="I1089" s="153" t="s">
        <v>566</v>
      </c>
      <c r="J1089" s="153">
        <v>1</v>
      </c>
      <c r="K1089" s="144" t="s">
        <v>730</v>
      </c>
      <c r="L1089" s="142" t="s">
        <v>2518</v>
      </c>
      <c r="M1089" s="276" t="s">
        <v>3250</v>
      </c>
      <c r="N1089" s="144" t="s">
        <v>2575</v>
      </c>
      <c r="O1089" s="150"/>
      <c r="P1089" s="156"/>
      <c r="Q1089" s="156"/>
      <c r="R1089" s="150"/>
    </row>
    <row r="1090" spans="1:39" s="137" customFormat="1" ht="35.25" customHeight="1">
      <c r="A1090" s="15">
        <f t="shared" si="16"/>
        <v>1080</v>
      </c>
      <c r="B1090" s="167" t="s">
        <v>1665</v>
      </c>
      <c r="C1090" s="171" t="s">
        <v>445</v>
      </c>
      <c r="D1090" s="195"/>
      <c r="E1090" s="195"/>
      <c r="F1090" s="195"/>
      <c r="G1090" s="151"/>
      <c r="H1090" s="148"/>
      <c r="I1090" s="166" t="s">
        <v>566</v>
      </c>
      <c r="J1090" s="166">
        <v>1</v>
      </c>
      <c r="K1090" s="167" t="s">
        <v>2511</v>
      </c>
      <c r="L1090" s="167" t="s">
        <v>2518</v>
      </c>
      <c r="M1090" s="25"/>
      <c r="N1090" s="151" t="s">
        <v>2575</v>
      </c>
      <c r="O1090" s="171"/>
      <c r="P1090" s="151"/>
      <c r="Q1090" s="151"/>
      <c r="R1090" s="171" t="s">
        <v>2667</v>
      </c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</row>
    <row r="1091" spans="1:39" ht="35.25" customHeight="1">
      <c r="A1091" s="15">
        <f t="shared" si="16"/>
        <v>1081</v>
      </c>
      <c r="B1091" s="145" t="s">
        <v>1666</v>
      </c>
      <c r="C1091" s="169" t="s">
        <v>1667</v>
      </c>
      <c r="D1091" s="176"/>
      <c r="E1091" s="176"/>
      <c r="F1091" s="176"/>
      <c r="G1091" s="156"/>
      <c r="H1091" s="141"/>
      <c r="I1091" s="158" t="s">
        <v>566</v>
      </c>
      <c r="J1091" s="158">
        <v>1</v>
      </c>
      <c r="K1091" s="156" t="s">
        <v>730</v>
      </c>
      <c r="L1091" s="145" t="s">
        <v>2518</v>
      </c>
      <c r="M1091" s="19"/>
      <c r="N1091" s="156" t="s">
        <v>2576</v>
      </c>
      <c r="O1091" s="169"/>
      <c r="P1091" s="156"/>
      <c r="Q1091" s="156"/>
      <c r="R1091" s="156" t="s">
        <v>2509</v>
      </c>
    </row>
    <row r="1092" spans="1:39" ht="35.25" customHeight="1">
      <c r="A1092" s="15">
        <f t="shared" si="16"/>
        <v>1082</v>
      </c>
      <c r="B1092" s="145" t="s">
        <v>1668</v>
      </c>
      <c r="C1092" s="169" t="s">
        <v>1669</v>
      </c>
      <c r="D1092" s="176"/>
      <c r="E1092" s="176"/>
      <c r="F1092" s="176"/>
      <c r="G1092" s="156"/>
      <c r="H1092" s="141"/>
      <c r="I1092" s="158" t="s">
        <v>566</v>
      </c>
      <c r="J1092" s="158">
        <v>1</v>
      </c>
      <c r="K1092" s="156" t="s">
        <v>730</v>
      </c>
      <c r="L1092" s="145" t="s">
        <v>2518</v>
      </c>
      <c r="M1092" s="19"/>
      <c r="N1092" s="184" t="s">
        <v>2576</v>
      </c>
      <c r="O1092" s="243"/>
      <c r="P1092" s="156"/>
      <c r="Q1092" s="156"/>
      <c r="R1092" s="169"/>
    </row>
    <row r="1093" spans="1:39" ht="35.25" customHeight="1">
      <c r="A1093" s="15">
        <f t="shared" si="16"/>
        <v>1083</v>
      </c>
      <c r="B1093" s="145" t="s">
        <v>1670</v>
      </c>
      <c r="C1093" s="169" t="s">
        <v>451</v>
      </c>
      <c r="D1093" s="176"/>
      <c r="E1093" s="176"/>
      <c r="F1093" s="176"/>
      <c r="G1093" s="156" t="s">
        <v>2409</v>
      </c>
      <c r="H1093" s="141"/>
      <c r="I1093" s="158" t="s">
        <v>566</v>
      </c>
      <c r="J1093" s="158">
        <v>1</v>
      </c>
      <c r="K1093" s="156" t="s">
        <v>730</v>
      </c>
      <c r="L1093" s="145" t="s">
        <v>2518</v>
      </c>
      <c r="M1093" s="19"/>
      <c r="N1093" s="184" t="s">
        <v>2576</v>
      </c>
      <c r="O1093" s="243"/>
      <c r="P1093" s="156"/>
      <c r="Q1093" s="156"/>
      <c r="R1093" s="169"/>
    </row>
    <row r="1094" spans="1:39" ht="35.25" customHeight="1">
      <c r="A1094" s="15">
        <f t="shared" si="16"/>
        <v>1084</v>
      </c>
      <c r="B1094" s="145" t="s">
        <v>1671</v>
      </c>
      <c r="C1094" s="169" t="s">
        <v>578</v>
      </c>
      <c r="D1094" s="176"/>
      <c r="E1094" s="176"/>
      <c r="F1094" s="176"/>
      <c r="G1094" s="156"/>
      <c r="H1094" s="141"/>
      <c r="I1094" s="158" t="s">
        <v>566</v>
      </c>
      <c r="J1094" s="158">
        <v>1</v>
      </c>
      <c r="K1094" s="156" t="s">
        <v>730</v>
      </c>
      <c r="L1094" s="145" t="s">
        <v>2518</v>
      </c>
      <c r="M1094" s="19"/>
      <c r="N1094" s="184" t="s">
        <v>2576</v>
      </c>
      <c r="O1094" s="243"/>
      <c r="P1094" s="156"/>
      <c r="Q1094" s="156"/>
      <c r="R1094" s="169"/>
    </row>
    <row r="1095" spans="1:39" ht="35.25" customHeight="1">
      <c r="A1095" s="15">
        <f t="shared" si="16"/>
        <v>1085</v>
      </c>
      <c r="B1095" s="145" t="s">
        <v>1672</v>
      </c>
      <c r="C1095" s="169" t="s">
        <v>1306</v>
      </c>
      <c r="D1095" s="176"/>
      <c r="E1095" s="176"/>
      <c r="F1095" s="176"/>
      <c r="G1095" s="156"/>
      <c r="H1095" s="141"/>
      <c r="I1095" s="158" t="s">
        <v>566</v>
      </c>
      <c r="J1095" s="158">
        <v>1</v>
      </c>
      <c r="K1095" s="156" t="s">
        <v>730</v>
      </c>
      <c r="L1095" s="145" t="s">
        <v>2518</v>
      </c>
      <c r="M1095" s="19"/>
      <c r="N1095" s="184" t="s">
        <v>2576</v>
      </c>
      <c r="O1095" s="243"/>
      <c r="P1095" s="156"/>
      <c r="Q1095" s="156"/>
      <c r="R1095" s="169"/>
    </row>
    <row r="1096" spans="1:39" ht="35.25" customHeight="1">
      <c r="A1096" s="15">
        <f t="shared" si="16"/>
        <v>1086</v>
      </c>
      <c r="B1096" s="145" t="s">
        <v>1673</v>
      </c>
      <c r="C1096" s="169" t="s">
        <v>582</v>
      </c>
      <c r="D1096" s="176"/>
      <c r="E1096" s="176"/>
      <c r="F1096" s="176"/>
      <c r="G1096" s="156"/>
      <c r="H1096" s="141"/>
      <c r="I1096" s="158" t="s">
        <v>566</v>
      </c>
      <c r="J1096" s="158">
        <v>1</v>
      </c>
      <c r="K1096" s="156" t="s">
        <v>730</v>
      </c>
      <c r="L1096" s="145" t="s">
        <v>2518</v>
      </c>
      <c r="M1096" s="19"/>
      <c r="N1096" s="184" t="s">
        <v>2576</v>
      </c>
      <c r="O1096" s="243"/>
      <c r="P1096" s="156"/>
      <c r="Q1096" s="156"/>
      <c r="R1096" s="169"/>
    </row>
    <row r="1097" spans="1:39" ht="35.25" customHeight="1">
      <c r="A1097" s="15">
        <f t="shared" si="16"/>
        <v>1087</v>
      </c>
      <c r="B1097" s="145" t="s">
        <v>1674</v>
      </c>
      <c r="C1097" s="169" t="s">
        <v>1675</v>
      </c>
      <c r="D1097" s="176"/>
      <c r="E1097" s="176"/>
      <c r="F1097" s="176"/>
      <c r="G1097" s="156" t="s">
        <v>2422</v>
      </c>
      <c r="H1097" s="141"/>
      <c r="I1097" s="158" t="s">
        <v>566</v>
      </c>
      <c r="J1097" s="158">
        <v>1</v>
      </c>
      <c r="K1097" s="156" t="s">
        <v>730</v>
      </c>
      <c r="L1097" s="145" t="s">
        <v>2518</v>
      </c>
      <c r="M1097" s="19"/>
      <c r="N1097" s="156" t="s">
        <v>2577</v>
      </c>
      <c r="O1097" s="169"/>
      <c r="P1097" s="156"/>
      <c r="Q1097" s="156"/>
      <c r="R1097" s="169"/>
    </row>
    <row r="1098" spans="1:39" ht="35.25" customHeight="1">
      <c r="A1098" s="15">
        <f t="shared" si="16"/>
        <v>1088</v>
      </c>
      <c r="B1098" s="145" t="s">
        <v>1676</v>
      </c>
      <c r="C1098" s="169" t="s">
        <v>1677</v>
      </c>
      <c r="D1098" s="176"/>
      <c r="E1098" s="176"/>
      <c r="F1098" s="176"/>
      <c r="G1098" s="156"/>
      <c r="H1098" s="141"/>
      <c r="I1098" s="158" t="s">
        <v>566</v>
      </c>
      <c r="J1098" s="158">
        <v>1</v>
      </c>
      <c r="K1098" s="156" t="s">
        <v>730</v>
      </c>
      <c r="L1098" s="145" t="s">
        <v>2518</v>
      </c>
      <c r="M1098" s="19"/>
      <c r="N1098" s="156" t="s">
        <v>2577</v>
      </c>
      <c r="O1098" s="169"/>
      <c r="P1098" s="156"/>
      <c r="Q1098" s="156"/>
      <c r="R1098" s="169"/>
    </row>
    <row r="1099" spans="1:39" ht="35.25" customHeight="1">
      <c r="A1099" s="15">
        <f t="shared" si="16"/>
        <v>1089</v>
      </c>
      <c r="B1099" s="145" t="s">
        <v>1678</v>
      </c>
      <c r="C1099" s="169" t="s">
        <v>451</v>
      </c>
      <c r="D1099" s="176"/>
      <c r="E1099" s="176"/>
      <c r="F1099" s="176"/>
      <c r="G1099" s="156" t="s">
        <v>2409</v>
      </c>
      <c r="H1099" s="141"/>
      <c r="I1099" s="158" t="s">
        <v>566</v>
      </c>
      <c r="J1099" s="158">
        <v>1</v>
      </c>
      <c r="K1099" s="156" t="s">
        <v>730</v>
      </c>
      <c r="L1099" s="145" t="s">
        <v>2518</v>
      </c>
      <c r="M1099" s="19"/>
      <c r="N1099" s="156" t="s">
        <v>2577</v>
      </c>
      <c r="O1099" s="169"/>
      <c r="P1099" s="156"/>
      <c r="Q1099" s="156"/>
      <c r="R1099" s="169"/>
    </row>
    <row r="1100" spans="1:39" ht="35.25" customHeight="1">
      <c r="A1100" s="15">
        <f t="shared" si="16"/>
        <v>1090</v>
      </c>
      <c r="B1100" s="145" t="s">
        <v>1679</v>
      </c>
      <c r="C1100" s="169" t="s">
        <v>578</v>
      </c>
      <c r="D1100" s="176"/>
      <c r="E1100" s="176"/>
      <c r="F1100" s="176"/>
      <c r="G1100" s="156"/>
      <c r="H1100" s="141"/>
      <c r="I1100" s="158" t="s">
        <v>566</v>
      </c>
      <c r="J1100" s="158">
        <v>1</v>
      </c>
      <c r="K1100" s="156" t="s">
        <v>730</v>
      </c>
      <c r="L1100" s="145" t="s">
        <v>2518</v>
      </c>
      <c r="M1100" s="19"/>
      <c r="N1100" s="156" t="s">
        <v>2577</v>
      </c>
      <c r="O1100" s="169"/>
      <c r="P1100" s="156"/>
      <c r="Q1100" s="156"/>
      <c r="R1100" s="169"/>
    </row>
    <row r="1101" spans="1:39" ht="35.25" customHeight="1">
      <c r="A1101" s="15">
        <f t="shared" si="16"/>
        <v>1091</v>
      </c>
      <c r="B1101" s="145" t="s">
        <v>1680</v>
      </c>
      <c r="C1101" s="169" t="s">
        <v>582</v>
      </c>
      <c r="D1101" s="176"/>
      <c r="E1101" s="176"/>
      <c r="F1101" s="176"/>
      <c r="G1101" s="156"/>
      <c r="H1101" s="141"/>
      <c r="I1101" s="158" t="s">
        <v>566</v>
      </c>
      <c r="J1101" s="158">
        <v>1</v>
      </c>
      <c r="K1101" s="156" t="s">
        <v>730</v>
      </c>
      <c r="L1101" s="145" t="s">
        <v>2518</v>
      </c>
      <c r="M1101" s="19"/>
      <c r="N1101" s="156" t="s">
        <v>2577</v>
      </c>
      <c r="O1101" s="169"/>
      <c r="P1101" s="156"/>
      <c r="Q1101" s="156"/>
      <c r="R1101" s="169"/>
    </row>
    <row r="1102" spans="1:39" ht="35.25" customHeight="1">
      <c r="A1102" s="15">
        <f t="shared" si="16"/>
        <v>1092</v>
      </c>
      <c r="B1102" s="145" t="s">
        <v>1681</v>
      </c>
      <c r="C1102" s="169" t="s">
        <v>1306</v>
      </c>
      <c r="D1102" s="176"/>
      <c r="E1102" s="176"/>
      <c r="F1102" s="176"/>
      <c r="G1102" s="156"/>
      <c r="H1102" s="141"/>
      <c r="I1102" s="158" t="s">
        <v>566</v>
      </c>
      <c r="J1102" s="158">
        <v>1</v>
      </c>
      <c r="K1102" s="156" t="s">
        <v>730</v>
      </c>
      <c r="L1102" s="145" t="s">
        <v>2518</v>
      </c>
      <c r="M1102" s="19"/>
      <c r="N1102" s="156" t="s">
        <v>2577</v>
      </c>
      <c r="O1102" s="169"/>
      <c r="P1102" s="156"/>
      <c r="Q1102" s="156"/>
      <c r="R1102" s="169"/>
    </row>
    <row r="1103" spans="1:39" ht="35.25" customHeight="1">
      <c r="A1103" s="15">
        <f t="shared" si="16"/>
        <v>1093</v>
      </c>
      <c r="B1103" s="142" t="s">
        <v>1682</v>
      </c>
      <c r="C1103" s="150" t="s">
        <v>451</v>
      </c>
      <c r="D1103" s="176"/>
      <c r="E1103" s="176"/>
      <c r="F1103" s="176"/>
      <c r="G1103" s="144" t="s">
        <v>2409</v>
      </c>
      <c r="H1103" s="141"/>
      <c r="I1103" s="153" t="s">
        <v>566</v>
      </c>
      <c r="J1103" s="153">
        <v>1</v>
      </c>
      <c r="K1103" s="156" t="s">
        <v>730</v>
      </c>
      <c r="L1103" s="142" t="s">
        <v>2518</v>
      </c>
      <c r="M1103" s="19"/>
      <c r="N1103" s="144" t="s">
        <v>2578</v>
      </c>
      <c r="O1103" s="150"/>
      <c r="P1103" s="156"/>
      <c r="Q1103" s="156"/>
      <c r="R1103" s="150"/>
    </row>
    <row r="1104" spans="1:39" ht="35.25" customHeight="1">
      <c r="A1104" s="15">
        <f t="shared" si="16"/>
        <v>1094</v>
      </c>
      <c r="B1104" s="142" t="s">
        <v>1683</v>
      </c>
      <c r="C1104" s="150" t="s">
        <v>582</v>
      </c>
      <c r="D1104" s="176"/>
      <c r="E1104" s="176"/>
      <c r="F1104" s="176"/>
      <c r="G1104" s="144"/>
      <c r="H1104" s="141"/>
      <c r="I1104" s="153" t="s">
        <v>566</v>
      </c>
      <c r="J1104" s="153">
        <v>1</v>
      </c>
      <c r="K1104" s="156" t="s">
        <v>730</v>
      </c>
      <c r="L1104" s="142" t="s">
        <v>2518</v>
      </c>
      <c r="M1104" s="19"/>
      <c r="N1104" s="144" t="s">
        <v>2578</v>
      </c>
      <c r="O1104" s="150"/>
      <c r="P1104" s="156"/>
      <c r="Q1104" s="156"/>
      <c r="R1104" s="150"/>
    </row>
    <row r="1105" spans="1:18" ht="35.25" customHeight="1">
      <c r="A1105" s="15">
        <f t="shared" si="16"/>
        <v>1095</v>
      </c>
      <c r="B1105" s="142" t="s">
        <v>1684</v>
      </c>
      <c r="C1105" s="150" t="s">
        <v>1306</v>
      </c>
      <c r="D1105" s="176"/>
      <c r="E1105" s="176"/>
      <c r="F1105" s="176"/>
      <c r="G1105" s="144"/>
      <c r="H1105" s="141"/>
      <c r="I1105" s="153" t="s">
        <v>566</v>
      </c>
      <c r="J1105" s="153">
        <v>1</v>
      </c>
      <c r="K1105" s="156" t="s">
        <v>730</v>
      </c>
      <c r="L1105" s="142" t="s">
        <v>2518</v>
      </c>
      <c r="M1105" s="19"/>
      <c r="N1105" s="144" t="s">
        <v>2578</v>
      </c>
      <c r="O1105" s="150"/>
      <c r="P1105" s="156"/>
      <c r="Q1105" s="156"/>
      <c r="R1105" s="150"/>
    </row>
    <row r="1106" spans="1:18" ht="35.25" customHeight="1">
      <c r="A1106" s="15">
        <f t="shared" si="16"/>
        <v>1096</v>
      </c>
      <c r="B1106" s="142" t="s">
        <v>1685</v>
      </c>
      <c r="C1106" s="150" t="s">
        <v>32</v>
      </c>
      <c r="D1106" s="176"/>
      <c r="E1106" s="176"/>
      <c r="F1106" s="176"/>
      <c r="G1106" s="144"/>
      <c r="H1106" s="141"/>
      <c r="I1106" s="153" t="s">
        <v>566</v>
      </c>
      <c r="J1106" s="153">
        <v>1</v>
      </c>
      <c r="K1106" s="156" t="s">
        <v>730</v>
      </c>
      <c r="L1106" s="142" t="s">
        <v>2518</v>
      </c>
      <c r="M1106" s="19"/>
      <c r="N1106" s="144" t="s">
        <v>2578</v>
      </c>
      <c r="O1106" s="150"/>
      <c r="P1106" s="156"/>
      <c r="Q1106" s="156"/>
      <c r="R1106" s="150"/>
    </row>
    <row r="1107" spans="1:18" ht="35.25" customHeight="1">
      <c r="A1107" s="15">
        <f t="shared" ref="A1107:A1170" si="17">A1106+1</f>
        <v>1097</v>
      </c>
      <c r="B1107" s="142" t="s">
        <v>1686</v>
      </c>
      <c r="C1107" s="150" t="s">
        <v>1667</v>
      </c>
      <c r="D1107" s="176"/>
      <c r="E1107" s="176"/>
      <c r="F1107" s="176"/>
      <c r="G1107" s="144"/>
      <c r="H1107" s="141"/>
      <c r="I1107" s="153" t="s">
        <v>566</v>
      </c>
      <c r="J1107" s="153">
        <v>1</v>
      </c>
      <c r="K1107" s="156" t="s">
        <v>730</v>
      </c>
      <c r="L1107" s="142" t="s">
        <v>2518</v>
      </c>
      <c r="M1107" s="19"/>
      <c r="N1107" s="144" t="s">
        <v>2579</v>
      </c>
      <c r="O1107" s="150"/>
      <c r="P1107" s="156"/>
      <c r="Q1107" s="156"/>
      <c r="R1107" s="150"/>
    </row>
    <row r="1108" spans="1:18" ht="35.25" customHeight="1">
      <c r="A1108" s="15">
        <f t="shared" si="17"/>
        <v>1098</v>
      </c>
      <c r="B1108" s="142" t="s">
        <v>1687</v>
      </c>
      <c r="C1108" s="150" t="s">
        <v>1176</v>
      </c>
      <c r="D1108" s="176"/>
      <c r="E1108" s="176"/>
      <c r="F1108" s="176"/>
      <c r="G1108" s="144"/>
      <c r="H1108" s="141"/>
      <c r="I1108" s="153" t="s">
        <v>566</v>
      </c>
      <c r="J1108" s="153">
        <v>1</v>
      </c>
      <c r="K1108" s="156" t="s">
        <v>730</v>
      </c>
      <c r="L1108" s="142" t="s">
        <v>2518</v>
      </c>
      <c r="M1108" s="19"/>
      <c r="N1108" s="144" t="s">
        <v>2579</v>
      </c>
      <c r="O1108" s="150"/>
      <c r="P1108" s="156"/>
      <c r="Q1108" s="156"/>
      <c r="R1108" s="143"/>
    </row>
    <row r="1109" spans="1:18" ht="35.25" customHeight="1">
      <c r="A1109" s="15">
        <f t="shared" si="17"/>
        <v>1099</v>
      </c>
      <c r="B1109" s="142" t="s">
        <v>1688</v>
      </c>
      <c r="C1109" s="150" t="s">
        <v>451</v>
      </c>
      <c r="D1109" s="176"/>
      <c r="E1109" s="176"/>
      <c r="F1109" s="176"/>
      <c r="G1109" s="144" t="s">
        <v>2409</v>
      </c>
      <c r="H1109" s="141"/>
      <c r="I1109" s="153" t="s">
        <v>566</v>
      </c>
      <c r="J1109" s="153">
        <v>1</v>
      </c>
      <c r="K1109" s="156" t="s">
        <v>730</v>
      </c>
      <c r="L1109" s="142" t="s">
        <v>2518</v>
      </c>
      <c r="M1109" s="19"/>
      <c r="N1109" s="144" t="s">
        <v>2579</v>
      </c>
      <c r="O1109" s="150"/>
      <c r="P1109" s="156"/>
      <c r="Q1109" s="156"/>
      <c r="R1109" s="143"/>
    </row>
    <row r="1110" spans="1:18" ht="35.25" customHeight="1">
      <c r="A1110" s="15">
        <f t="shared" si="17"/>
        <v>1100</v>
      </c>
      <c r="B1110" s="142" t="s">
        <v>1689</v>
      </c>
      <c r="C1110" s="150" t="s">
        <v>578</v>
      </c>
      <c r="D1110" s="176"/>
      <c r="E1110" s="176"/>
      <c r="F1110" s="176"/>
      <c r="G1110" s="144"/>
      <c r="H1110" s="141"/>
      <c r="I1110" s="153" t="s">
        <v>566</v>
      </c>
      <c r="J1110" s="153">
        <v>1</v>
      </c>
      <c r="K1110" s="156" t="s">
        <v>730</v>
      </c>
      <c r="L1110" s="142" t="s">
        <v>2518</v>
      </c>
      <c r="M1110" s="19"/>
      <c r="N1110" s="144" t="s">
        <v>2579</v>
      </c>
      <c r="O1110" s="150"/>
      <c r="P1110" s="156"/>
      <c r="Q1110" s="156"/>
      <c r="R1110" s="143"/>
    </row>
    <row r="1111" spans="1:18" ht="35.25" customHeight="1">
      <c r="A1111" s="15">
        <f t="shared" si="17"/>
        <v>1101</v>
      </c>
      <c r="B1111" s="142" t="s">
        <v>1690</v>
      </c>
      <c r="C1111" s="150" t="s">
        <v>582</v>
      </c>
      <c r="D1111" s="176"/>
      <c r="E1111" s="176"/>
      <c r="F1111" s="176"/>
      <c r="G1111" s="144"/>
      <c r="H1111" s="141"/>
      <c r="I1111" s="153" t="s">
        <v>566</v>
      </c>
      <c r="J1111" s="153">
        <v>1</v>
      </c>
      <c r="K1111" s="156" t="s">
        <v>730</v>
      </c>
      <c r="L1111" s="142" t="s">
        <v>2518</v>
      </c>
      <c r="M1111" s="19"/>
      <c r="N1111" s="144" t="s">
        <v>2579</v>
      </c>
      <c r="O1111" s="150"/>
      <c r="P1111" s="156"/>
      <c r="Q1111" s="156"/>
      <c r="R1111" s="143"/>
    </row>
    <row r="1112" spans="1:18" ht="35.25" customHeight="1">
      <c r="A1112" s="15">
        <f t="shared" si="17"/>
        <v>1102</v>
      </c>
      <c r="B1112" s="142" t="s">
        <v>1691</v>
      </c>
      <c r="C1112" s="150" t="s">
        <v>1306</v>
      </c>
      <c r="D1112" s="176"/>
      <c r="E1112" s="176"/>
      <c r="F1112" s="176"/>
      <c r="G1112" s="144"/>
      <c r="H1112" s="141"/>
      <c r="I1112" s="153" t="s">
        <v>566</v>
      </c>
      <c r="J1112" s="153">
        <v>1</v>
      </c>
      <c r="K1112" s="156" t="s">
        <v>730</v>
      </c>
      <c r="L1112" s="142" t="s">
        <v>2518</v>
      </c>
      <c r="M1112" s="19"/>
      <c r="N1112" s="144" t="s">
        <v>2579</v>
      </c>
      <c r="O1112" s="150"/>
      <c r="P1112" s="156"/>
      <c r="Q1112" s="156"/>
      <c r="R1112" s="143"/>
    </row>
    <row r="1113" spans="1:18" ht="35.25" customHeight="1">
      <c r="A1113" s="15">
        <f t="shared" si="17"/>
        <v>1103</v>
      </c>
      <c r="B1113" s="142" t="s">
        <v>1692</v>
      </c>
      <c r="C1113" s="150" t="s">
        <v>582</v>
      </c>
      <c r="D1113" s="176"/>
      <c r="E1113" s="176"/>
      <c r="F1113" s="176"/>
      <c r="G1113" s="144"/>
      <c r="H1113" s="141"/>
      <c r="I1113" s="153" t="s">
        <v>566</v>
      </c>
      <c r="J1113" s="153">
        <v>1</v>
      </c>
      <c r="K1113" s="156" t="s">
        <v>730</v>
      </c>
      <c r="L1113" s="142" t="s">
        <v>2518</v>
      </c>
      <c r="M1113" s="19"/>
      <c r="N1113" s="144" t="s">
        <v>2580</v>
      </c>
      <c r="O1113" s="150"/>
      <c r="P1113" s="156"/>
      <c r="Q1113" s="156"/>
      <c r="R1113" s="150"/>
    </row>
    <row r="1114" spans="1:18" ht="35.25" customHeight="1">
      <c r="A1114" s="15">
        <f t="shared" si="17"/>
        <v>1104</v>
      </c>
      <c r="B1114" s="142" t="s">
        <v>1693</v>
      </c>
      <c r="C1114" s="150" t="s">
        <v>1306</v>
      </c>
      <c r="D1114" s="176"/>
      <c r="E1114" s="176"/>
      <c r="F1114" s="176"/>
      <c r="G1114" s="144"/>
      <c r="H1114" s="141"/>
      <c r="I1114" s="153" t="s">
        <v>566</v>
      </c>
      <c r="J1114" s="153">
        <v>1</v>
      </c>
      <c r="K1114" s="156" t="s">
        <v>730</v>
      </c>
      <c r="L1114" s="142" t="s">
        <v>2518</v>
      </c>
      <c r="M1114" s="19"/>
      <c r="N1114" s="144" t="s">
        <v>2580</v>
      </c>
      <c r="O1114" s="150"/>
      <c r="P1114" s="156"/>
      <c r="Q1114" s="156"/>
      <c r="R1114" s="150"/>
    </row>
    <row r="1115" spans="1:18" ht="35.25" customHeight="1">
      <c r="A1115" s="15">
        <f t="shared" si="17"/>
        <v>1105</v>
      </c>
      <c r="B1115" s="142" t="s">
        <v>1694</v>
      </c>
      <c r="C1115" s="150" t="s">
        <v>451</v>
      </c>
      <c r="D1115" s="176"/>
      <c r="E1115" s="176"/>
      <c r="F1115" s="176"/>
      <c r="G1115" s="144" t="s">
        <v>2409</v>
      </c>
      <c r="H1115" s="141"/>
      <c r="I1115" s="153" t="s">
        <v>624</v>
      </c>
      <c r="J1115" s="153">
        <v>1</v>
      </c>
      <c r="K1115" s="156" t="s">
        <v>730</v>
      </c>
      <c r="L1115" s="142" t="s">
        <v>2518</v>
      </c>
      <c r="M1115" s="19"/>
      <c r="N1115" s="144" t="s">
        <v>2580</v>
      </c>
      <c r="O1115" s="150"/>
      <c r="P1115" s="156"/>
      <c r="Q1115" s="156"/>
      <c r="R1115" s="150"/>
    </row>
    <row r="1116" spans="1:18" ht="35.25" customHeight="1">
      <c r="A1116" s="15">
        <f t="shared" si="17"/>
        <v>1106</v>
      </c>
      <c r="B1116" s="142" t="s">
        <v>1695</v>
      </c>
      <c r="C1116" s="150" t="s">
        <v>620</v>
      </c>
      <c r="D1116" s="176"/>
      <c r="E1116" s="176"/>
      <c r="F1116" s="176"/>
      <c r="G1116" s="150" t="s">
        <v>2423</v>
      </c>
      <c r="H1116" s="141"/>
      <c r="I1116" s="153" t="s">
        <v>624</v>
      </c>
      <c r="J1116" s="153">
        <v>1</v>
      </c>
      <c r="K1116" s="156" t="s">
        <v>730</v>
      </c>
      <c r="L1116" s="142" t="s">
        <v>2518</v>
      </c>
      <c r="M1116" s="19"/>
      <c r="N1116" s="144" t="s">
        <v>2580</v>
      </c>
      <c r="O1116" s="150"/>
      <c r="P1116" s="156"/>
      <c r="Q1116" s="156"/>
      <c r="R1116" s="150"/>
    </row>
    <row r="1117" spans="1:18" ht="35.25" customHeight="1">
      <c r="A1117" s="15">
        <f t="shared" si="17"/>
        <v>1107</v>
      </c>
      <c r="B1117" s="142" t="s">
        <v>1696</v>
      </c>
      <c r="C1117" s="150" t="s">
        <v>1176</v>
      </c>
      <c r="D1117" s="176"/>
      <c r="E1117" s="176"/>
      <c r="F1117" s="176"/>
      <c r="G1117" s="144"/>
      <c r="H1117" s="141"/>
      <c r="I1117" s="153" t="s">
        <v>624</v>
      </c>
      <c r="J1117" s="153">
        <v>1</v>
      </c>
      <c r="K1117" s="156" t="s">
        <v>730</v>
      </c>
      <c r="L1117" s="142" t="s">
        <v>2518</v>
      </c>
      <c r="M1117" s="19"/>
      <c r="N1117" s="144" t="s">
        <v>2580</v>
      </c>
      <c r="O1117" s="150"/>
      <c r="P1117" s="156"/>
      <c r="Q1117" s="156"/>
      <c r="R1117" s="150"/>
    </row>
    <row r="1118" spans="1:18" ht="35.25" customHeight="1">
      <c r="A1118" s="15">
        <f t="shared" si="17"/>
        <v>1108</v>
      </c>
      <c r="B1118" s="142" t="s">
        <v>1697</v>
      </c>
      <c r="C1118" s="150" t="s">
        <v>578</v>
      </c>
      <c r="D1118" s="176"/>
      <c r="E1118" s="176"/>
      <c r="F1118" s="176"/>
      <c r="G1118" s="144"/>
      <c r="H1118" s="141"/>
      <c r="I1118" s="153" t="s">
        <v>624</v>
      </c>
      <c r="J1118" s="153">
        <v>1</v>
      </c>
      <c r="K1118" s="156" t="s">
        <v>730</v>
      </c>
      <c r="L1118" s="142" t="s">
        <v>2518</v>
      </c>
      <c r="M1118" s="19"/>
      <c r="N1118" s="144" t="s">
        <v>2580</v>
      </c>
      <c r="O1118" s="150"/>
      <c r="P1118" s="156"/>
      <c r="Q1118" s="156"/>
      <c r="R1118" s="150"/>
    </row>
    <row r="1119" spans="1:18" ht="35.25" customHeight="1">
      <c r="A1119" s="15">
        <f t="shared" si="17"/>
        <v>1109</v>
      </c>
      <c r="B1119" s="142" t="s">
        <v>1698</v>
      </c>
      <c r="C1119" s="150" t="s">
        <v>1646</v>
      </c>
      <c r="D1119" s="176"/>
      <c r="E1119" s="176"/>
      <c r="F1119" s="176"/>
      <c r="G1119" s="150" t="s">
        <v>2424</v>
      </c>
      <c r="H1119" s="141"/>
      <c r="I1119" s="153" t="s">
        <v>566</v>
      </c>
      <c r="J1119" s="153">
        <v>1</v>
      </c>
      <c r="K1119" s="156" t="s">
        <v>730</v>
      </c>
      <c r="L1119" s="142" t="s">
        <v>2518</v>
      </c>
      <c r="M1119" s="19"/>
      <c r="N1119" s="144" t="s">
        <v>2581</v>
      </c>
      <c r="O1119" s="150"/>
      <c r="P1119" s="156"/>
      <c r="Q1119" s="156"/>
      <c r="R1119" s="144" t="s">
        <v>2509</v>
      </c>
    </row>
    <row r="1120" spans="1:18" ht="35.25" customHeight="1">
      <c r="A1120" s="15">
        <f t="shared" si="17"/>
        <v>1110</v>
      </c>
      <c r="B1120" s="142" t="s">
        <v>1699</v>
      </c>
      <c r="C1120" s="150" t="s">
        <v>120</v>
      </c>
      <c r="D1120" s="176"/>
      <c r="E1120" s="176"/>
      <c r="F1120" s="176"/>
      <c r="G1120" s="150"/>
      <c r="H1120" s="141"/>
      <c r="I1120" s="153" t="s">
        <v>566</v>
      </c>
      <c r="J1120" s="153">
        <v>1</v>
      </c>
      <c r="K1120" s="156" t="s">
        <v>730</v>
      </c>
      <c r="L1120" s="142" t="s">
        <v>2518</v>
      </c>
      <c r="M1120" s="19"/>
      <c r="N1120" s="185" t="s">
        <v>2581</v>
      </c>
      <c r="O1120" s="265"/>
      <c r="P1120" s="156"/>
      <c r="Q1120" s="156"/>
      <c r="R1120" s="150"/>
    </row>
    <row r="1121" spans="1:18" ht="35.25" customHeight="1">
      <c r="A1121" s="15">
        <f t="shared" si="17"/>
        <v>1111</v>
      </c>
      <c r="B1121" s="142" t="s">
        <v>1700</v>
      </c>
      <c r="C1121" s="150" t="s">
        <v>451</v>
      </c>
      <c r="D1121" s="176"/>
      <c r="E1121" s="176"/>
      <c r="F1121" s="176"/>
      <c r="G1121" s="144" t="s">
        <v>2409</v>
      </c>
      <c r="H1121" s="141"/>
      <c r="I1121" s="153" t="s">
        <v>566</v>
      </c>
      <c r="J1121" s="153">
        <v>1</v>
      </c>
      <c r="K1121" s="156" t="s">
        <v>730</v>
      </c>
      <c r="L1121" s="142" t="s">
        <v>2518</v>
      </c>
      <c r="M1121" s="19"/>
      <c r="N1121" s="185" t="s">
        <v>2581</v>
      </c>
      <c r="O1121" s="265"/>
      <c r="P1121" s="156"/>
      <c r="Q1121" s="156"/>
      <c r="R1121" s="150"/>
    </row>
    <row r="1122" spans="1:18" ht="35.25" customHeight="1">
      <c r="A1122" s="15">
        <f t="shared" si="17"/>
        <v>1112</v>
      </c>
      <c r="B1122" s="142" t="s">
        <v>1701</v>
      </c>
      <c r="C1122" s="150" t="s">
        <v>605</v>
      </c>
      <c r="D1122" s="176"/>
      <c r="E1122" s="176"/>
      <c r="F1122" s="176"/>
      <c r="G1122" s="144"/>
      <c r="H1122" s="141"/>
      <c r="I1122" s="153" t="s">
        <v>566</v>
      </c>
      <c r="J1122" s="153">
        <v>1</v>
      </c>
      <c r="K1122" s="156" t="s">
        <v>730</v>
      </c>
      <c r="L1122" s="142" t="s">
        <v>2518</v>
      </c>
      <c r="M1122" s="19"/>
      <c r="N1122" s="185" t="s">
        <v>2581</v>
      </c>
      <c r="O1122" s="265"/>
      <c r="P1122" s="156"/>
      <c r="Q1122" s="156"/>
      <c r="R1122" s="150"/>
    </row>
    <row r="1123" spans="1:18" ht="35.25" customHeight="1">
      <c r="A1123" s="15">
        <f t="shared" si="17"/>
        <v>1113</v>
      </c>
      <c r="B1123" s="142" t="s">
        <v>1702</v>
      </c>
      <c r="C1123" s="150" t="s">
        <v>578</v>
      </c>
      <c r="D1123" s="176"/>
      <c r="E1123" s="176"/>
      <c r="F1123" s="176"/>
      <c r="G1123" s="144"/>
      <c r="H1123" s="141"/>
      <c r="I1123" s="153" t="s">
        <v>566</v>
      </c>
      <c r="J1123" s="153">
        <v>1</v>
      </c>
      <c r="K1123" s="156" t="s">
        <v>730</v>
      </c>
      <c r="L1123" s="142" t="s">
        <v>2518</v>
      </c>
      <c r="M1123" s="19"/>
      <c r="N1123" s="185" t="s">
        <v>2581</v>
      </c>
      <c r="O1123" s="265"/>
      <c r="P1123" s="156"/>
      <c r="Q1123" s="156"/>
      <c r="R1123" s="150"/>
    </row>
    <row r="1124" spans="1:18" ht="35.25" customHeight="1">
      <c r="A1124" s="15">
        <f t="shared" si="17"/>
        <v>1114</v>
      </c>
      <c r="B1124" s="142" t="s">
        <v>1703</v>
      </c>
      <c r="C1124" s="150" t="s">
        <v>582</v>
      </c>
      <c r="D1124" s="176"/>
      <c r="E1124" s="176"/>
      <c r="F1124" s="176"/>
      <c r="G1124" s="144"/>
      <c r="H1124" s="141"/>
      <c r="I1124" s="153" t="s">
        <v>566</v>
      </c>
      <c r="J1124" s="153">
        <v>1</v>
      </c>
      <c r="K1124" s="156" t="s">
        <v>730</v>
      </c>
      <c r="L1124" s="142" t="s">
        <v>2518</v>
      </c>
      <c r="M1124" s="19"/>
      <c r="N1124" s="185" t="s">
        <v>2581</v>
      </c>
      <c r="O1124" s="265"/>
      <c r="P1124" s="156"/>
      <c r="Q1124" s="156"/>
      <c r="R1124" s="150"/>
    </row>
    <row r="1125" spans="1:18" ht="35.25" customHeight="1">
      <c r="A1125" s="15">
        <f t="shared" si="17"/>
        <v>1115</v>
      </c>
      <c r="B1125" s="142" t="s">
        <v>1704</v>
      </c>
      <c r="C1125" s="150" t="s">
        <v>1306</v>
      </c>
      <c r="D1125" s="176"/>
      <c r="E1125" s="176"/>
      <c r="F1125" s="176"/>
      <c r="G1125" s="144"/>
      <c r="H1125" s="141"/>
      <c r="I1125" s="153" t="s">
        <v>566</v>
      </c>
      <c r="J1125" s="153">
        <v>1</v>
      </c>
      <c r="K1125" s="156" t="s">
        <v>730</v>
      </c>
      <c r="L1125" s="142" t="s">
        <v>2518</v>
      </c>
      <c r="M1125" s="19"/>
      <c r="N1125" s="185" t="s">
        <v>2581</v>
      </c>
      <c r="O1125" s="265"/>
      <c r="P1125" s="156"/>
      <c r="Q1125" s="156"/>
      <c r="R1125" s="150"/>
    </row>
    <row r="1126" spans="1:18" ht="35.25" customHeight="1">
      <c r="A1126" s="15">
        <f t="shared" si="17"/>
        <v>1116</v>
      </c>
      <c r="B1126" s="142" t="s">
        <v>1705</v>
      </c>
      <c r="C1126" s="150" t="s">
        <v>1706</v>
      </c>
      <c r="D1126" s="176"/>
      <c r="E1126" s="176"/>
      <c r="F1126" s="176"/>
      <c r="G1126" s="144"/>
      <c r="H1126" s="141"/>
      <c r="I1126" s="153" t="s">
        <v>566</v>
      </c>
      <c r="J1126" s="153">
        <v>1</v>
      </c>
      <c r="K1126" s="156" t="s">
        <v>730</v>
      </c>
      <c r="L1126" s="142" t="s">
        <v>2518</v>
      </c>
      <c r="M1126" s="19"/>
      <c r="N1126" s="144" t="s">
        <v>2581</v>
      </c>
      <c r="O1126" s="150"/>
      <c r="P1126" s="156"/>
      <c r="Q1126" s="156"/>
      <c r="R1126" s="150"/>
    </row>
    <row r="1127" spans="1:18" ht="35.25" customHeight="1">
      <c r="A1127" s="15">
        <f t="shared" si="17"/>
        <v>1117</v>
      </c>
      <c r="B1127" s="142" t="s">
        <v>1707</v>
      </c>
      <c r="C1127" s="150" t="s">
        <v>445</v>
      </c>
      <c r="D1127" s="176"/>
      <c r="E1127" s="176"/>
      <c r="F1127" s="176"/>
      <c r="G1127" s="144"/>
      <c r="H1127" s="141"/>
      <c r="I1127" s="153" t="s">
        <v>566</v>
      </c>
      <c r="J1127" s="153">
        <v>1</v>
      </c>
      <c r="K1127" s="156" t="s">
        <v>730</v>
      </c>
      <c r="L1127" s="142" t="s">
        <v>2518</v>
      </c>
      <c r="M1127" s="19"/>
      <c r="N1127" s="144" t="s">
        <v>2581</v>
      </c>
      <c r="O1127" s="150"/>
      <c r="P1127" s="156"/>
      <c r="Q1127" s="156"/>
      <c r="R1127" s="150"/>
    </row>
    <row r="1128" spans="1:18" ht="35.25" customHeight="1">
      <c r="A1128" s="15">
        <f t="shared" si="17"/>
        <v>1118</v>
      </c>
      <c r="B1128" s="145" t="s">
        <v>1708</v>
      </c>
      <c r="C1128" s="169" t="s">
        <v>1646</v>
      </c>
      <c r="D1128" s="176"/>
      <c r="E1128" s="176"/>
      <c r="F1128" s="176"/>
      <c r="G1128" s="169" t="s">
        <v>2425</v>
      </c>
      <c r="H1128" s="141"/>
      <c r="I1128" s="158" t="s">
        <v>566</v>
      </c>
      <c r="J1128" s="158">
        <v>1</v>
      </c>
      <c r="K1128" s="156" t="s">
        <v>730</v>
      </c>
      <c r="L1128" s="145" t="s">
        <v>2518</v>
      </c>
      <c r="M1128" s="276" t="s">
        <v>3273</v>
      </c>
      <c r="N1128" s="156" t="s">
        <v>2582</v>
      </c>
      <c r="O1128" s="169"/>
      <c r="P1128" s="156"/>
      <c r="Q1128" s="156"/>
      <c r="R1128" s="156" t="s">
        <v>2509</v>
      </c>
    </row>
    <row r="1129" spans="1:18" ht="35.25" customHeight="1">
      <c r="A1129" s="15">
        <f t="shared" si="17"/>
        <v>1119</v>
      </c>
      <c r="B1129" s="145" t="s">
        <v>1709</v>
      </c>
      <c r="C1129" s="169" t="s">
        <v>1648</v>
      </c>
      <c r="D1129" s="176"/>
      <c r="E1129" s="176"/>
      <c r="F1129" s="176"/>
      <c r="G1129" s="169"/>
      <c r="H1129" s="141"/>
      <c r="I1129" s="158" t="s">
        <v>566</v>
      </c>
      <c r="J1129" s="158">
        <v>1</v>
      </c>
      <c r="K1129" s="156" t="s">
        <v>730</v>
      </c>
      <c r="L1129" s="145" t="s">
        <v>2518</v>
      </c>
      <c r="M1129" s="276" t="s">
        <v>3273</v>
      </c>
      <c r="N1129" s="156" t="s">
        <v>2582</v>
      </c>
      <c r="O1129" s="169"/>
      <c r="P1129" s="156"/>
      <c r="Q1129" s="156"/>
      <c r="R1129" s="169"/>
    </row>
    <row r="1130" spans="1:18" ht="35.25" customHeight="1">
      <c r="A1130" s="15">
        <f t="shared" si="17"/>
        <v>1120</v>
      </c>
      <c r="B1130" s="145" t="s">
        <v>1710</v>
      </c>
      <c r="C1130" s="169" t="s">
        <v>582</v>
      </c>
      <c r="D1130" s="176"/>
      <c r="E1130" s="176"/>
      <c r="F1130" s="176"/>
      <c r="G1130" s="156"/>
      <c r="H1130" s="141"/>
      <c r="I1130" s="158" t="s">
        <v>566</v>
      </c>
      <c r="J1130" s="158">
        <v>1</v>
      </c>
      <c r="K1130" s="156" t="s">
        <v>730</v>
      </c>
      <c r="L1130" s="145" t="s">
        <v>2518</v>
      </c>
      <c r="M1130" s="276" t="s">
        <v>3273</v>
      </c>
      <c r="N1130" s="156" t="s">
        <v>2582</v>
      </c>
      <c r="O1130" s="169"/>
      <c r="P1130" s="156"/>
      <c r="Q1130" s="156"/>
      <c r="R1130" s="169"/>
    </row>
    <row r="1131" spans="1:18" ht="35.25" customHeight="1">
      <c r="A1131" s="15">
        <f t="shared" si="17"/>
        <v>1121</v>
      </c>
      <c r="B1131" s="145" t="s">
        <v>1711</v>
      </c>
      <c r="C1131" s="169" t="s">
        <v>1306</v>
      </c>
      <c r="D1131" s="176"/>
      <c r="E1131" s="176"/>
      <c r="F1131" s="176"/>
      <c r="G1131" s="156"/>
      <c r="H1131" s="141"/>
      <c r="I1131" s="158" t="s">
        <v>566</v>
      </c>
      <c r="J1131" s="158">
        <v>1</v>
      </c>
      <c r="K1131" s="156" t="s">
        <v>730</v>
      </c>
      <c r="L1131" s="145" t="s">
        <v>2518</v>
      </c>
      <c r="M1131" s="276" t="s">
        <v>3273</v>
      </c>
      <c r="N1131" s="156" t="s">
        <v>2582</v>
      </c>
      <c r="O1131" s="169"/>
      <c r="P1131" s="156"/>
      <c r="Q1131" s="156"/>
      <c r="R1131" s="169"/>
    </row>
    <row r="1132" spans="1:18" ht="35.25" customHeight="1">
      <c r="A1132" s="15">
        <f t="shared" si="17"/>
        <v>1122</v>
      </c>
      <c r="B1132" s="145" t="s">
        <v>1712</v>
      </c>
      <c r="C1132" s="169" t="s">
        <v>578</v>
      </c>
      <c r="D1132" s="176"/>
      <c r="E1132" s="176"/>
      <c r="F1132" s="176"/>
      <c r="G1132" s="156"/>
      <c r="H1132" s="141"/>
      <c r="I1132" s="158" t="s">
        <v>566</v>
      </c>
      <c r="J1132" s="158">
        <v>1</v>
      </c>
      <c r="K1132" s="156" t="s">
        <v>730</v>
      </c>
      <c r="L1132" s="145" t="s">
        <v>2518</v>
      </c>
      <c r="M1132" s="276" t="s">
        <v>3273</v>
      </c>
      <c r="N1132" s="156" t="s">
        <v>2582</v>
      </c>
      <c r="O1132" s="169"/>
      <c r="P1132" s="156"/>
      <c r="Q1132" s="156"/>
      <c r="R1132" s="169"/>
    </row>
    <row r="1133" spans="1:18" ht="35.25" customHeight="1">
      <c r="A1133" s="15">
        <f t="shared" si="17"/>
        <v>1123</v>
      </c>
      <c r="B1133" s="145" t="s">
        <v>1713</v>
      </c>
      <c r="C1133" s="189" t="s">
        <v>601</v>
      </c>
      <c r="D1133" s="176"/>
      <c r="E1133" s="176"/>
      <c r="F1133" s="176"/>
      <c r="G1133" s="176"/>
      <c r="H1133" s="141"/>
      <c r="I1133" s="158" t="s">
        <v>566</v>
      </c>
      <c r="J1133" s="186">
        <v>1</v>
      </c>
      <c r="K1133" s="156" t="s">
        <v>730</v>
      </c>
      <c r="L1133" s="145" t="s">
        <v>2518</v>
      </c>
      <c r="M1133" s="276" t="s">
        <v>3273</v>
      </c>
      <c r="N1133" s="156" t="s">
        <v>2582</v>
      </c>
      <c r="O1133" s="169"/>
      <c r="P1133" s="156"/>
      <c r="Q1133" s="156"/>
      <c r="R1133" s="169"/>
    </row>
    <row r="1134" spans="1:18" ht="35.25" customHeight="1">
      <c r="A1134" s="15">
        <f t="shared" si="17"/>
        <v>1124</v>
      </c>
      <c r="B1134" s="142" t="s">
        <v>1714</v>
      </c>
      <c r="C1134" s="150" t="s">
        <v>1646</v>
      </c>
      <c r="D1134" s="176"/>
      <c r="E1134" s="176"/>
      <c r="F1134" s="176"/>
      <c r="G1134" s="150" t="s">
        <v>2425</v>
      </c>
      <c r="H1134" s="141"/>
      <c r="I1134" s="153" t="s">
        <v>566</v>
      </c>
      <c r="J1134" s="153">
        <v>1</v>
      </c>
      <c r="K1134" s="156" t="s">
        <v>730</v>
      </c>
      <c r="L1134" s="142" t="s">
        <v>2518</v>
      </c>
      <c r="M1134" s="276" t="s">
        <v>3286</v>
      </c>
      <c r="N1134" s="144" t="s">
        <v>2583</v>
      </c>
      <c r="O1134" s="150"/>
      <c r="P1134" s="156"/>
      <c r="Q1134" s="156"/>
      <c r="R1134" s="144" t="s">
        <v>2512</v>
      </c>
    </row>
    <row r="1135" spans="1:18" ht="35.25" customHeight="1">
      <c r="A1135" s="15">
        <f t="shared" si="17"/>
        <v>1125</v>
      </c>
      <c r="B1135" s="142" t="s">
        <v>1715</v>
      </c>
      <c r="C1135" s="150" t="s">
        <v>582</v>
      </c>
      <c r="D1135" s="176"/>
      <c r="E1135" s="176"/>
      <c r="F1135" s="176"/>
      <c r="G1135" s="144"/>
      <c r="H1135" s="141"/>
      <c r="I1135" s="153" t="s">
        <v>566</v>
      </c>
      <c r="J1135" s="153">
        <v>1</v>
      </c>
      <c r="K1135" s="156" t="s">
        <v>730</v>
      </c>
      <c r="L1135" s="142" t="s">
        <v>2518</v>
      </c>
      <c r="M1135" s="276" t="s">
        <v>3286</v>
      </c>
      <c r="N1135" s="144" t="s">
        <v>2583</v>
      </c>
      <c r="O1135" s="150"/>
      <c r="P1135" s="156"/>
      <c r="Q1135" s="156"/>
      <c r="R1135" s="150"/>
    </row>
    <row r="1136" spans="1:18" ht="35.25" customHeight="1">
      <c r="A1136" s="15">
        <f t="shared" si="17"/>
        <v>1126</v>
      </c>
      <c r="B1136" s="142" t="s">
        <v>1716</v>
      </c>
      <c r="C1136" s="150" t="s">
        <v>1306</v>
      </c>
      <c r="D1136" s="176"/>
      <c r="E1136" s="176"/>
      <c r="F1136" s="176"/>
      <c r="G1136" s="144"/>
      <c r="H1136" s="141"/>
      <c r="I1136" s="153" t="s">
        <v>566</v>
      </c>
      <c r="J1136" s="153">
        <v>1</v>
      </c>
      <c r="K1136" s="156" t="s">
        <v>730</v>
      </c>
      <c r="L1136" s="142" t="s">
        <v>2518</v>
      </c>
      <c r="M1136" s="276" t="s">
        <v>3286</v>
      </c>
      <c r="N1136" s="144" t="s">
        <v>2583</v>
      </c>
      <c r="O1136" s="150"/>
      <c r="P1136" s="156"/>
      <c r="Q1136" s="156"/>
      <c r="R1136" s="150"/>
    </row>
    <row r="1137" spans="1:18" ht="35.25" customHeight="1">
      <c r="A1137" s="15">
        <f t="shared" si="17"/>
        <v>1127</v>
      </c>
      <c r="B1137" s="142" t="s">
        <v>1717</v>
      </c>
      <c r="C1137" s="150" t="s">
        <v>1648</v>
      </c>
      <c r="D1137" s="176"/>
      <c r="E1137" s="176"/>
      <c r="F1137" s="176"/>
      <c r="G1137" s="144"/>
      <c r="H1137" s="141"/>
      <c r="I1137" s="153" t="s">
        <v>566</v>
      </c>
      <c r="J1137" s="153">
        <v>1</v>
      </c>
      <c r="K1137" s="156" t="s">
        <v>730</v>
      </c>
      <c r="L1137" s="142" t="s">
        <v>2518</v>
      </c>
      <c r="M1137" s="276" t="s">
        <v>3286</v>
      </c>
      <c r="N1137" s="144" t="s">
        <v>2583</v>
      </c>
      <c r="O1137" s="150"/>
      <c r="P1137" s="156"/>
      <c r="Q1137" s="156"/>
      <c r="R1137" s="150"/>
    </row>
    <row r="1138" spans="1:18" ht="35.25" customHeight="1">
      <c r="A1138" s="15">
        <f t="shared" si="17"/>
        <v>1128</v>
      </c>
      <c r="B1138" s="142" t="s">
        <v>1718</v>
      </c>
      <c r="C1138" s="150" t="s">
        <v>1646</v>
      </c>
      <c r="D1138" s="176"/>
      <c r="E1138" s="176"/>
      <c r="F1138" s="176"/>
      <c r="G1138" s="150" t="s">
        <v>2426</v>
      </c>
      <c r="H1138" s="141"/>
      <c r="I1138" s="153" t="s">
        <v>566</v>
      </c>
      <c r="J1138" s="153">
        <v>1</v>
      </c>
      <c r="K1138" s="156" t="s">
        <v>730</v>
      </c>
      <c r="L1138" s="142" t="s">
        <v>2518</v>
      </c>
      <c r="M1138" s="19"/>
      <c r="N1138" s="144" t="s">
        <v>2584</v>
      </c>
      <c r="O1138" s="150"/>
      <c r="P1138" s="156"/>
      <c r="Q1138" s="156"/>
      <c r="R1138" s="144" t="s">
        <v>2513</v>
      </c>
    </row>
    <row r="1139" spans="1:18" ht="35.25" customHeight="1">
      <c r="A1139" s="15">
        <f t="shared" si="17"/>
        <v>1129</v>
      </c>
      <c r="B1139" s="142" t="s">
        <v>1719</v>
      </c>
      <c r="C1139" s="150" t="s">
        <v>1648</v>
      </c>
      <c r="D1139" s="176"/>
      <c r="E1139" s="176"/>
      <c r="F1139" s="176"/>
      <c r="G1139" s="150"/>
      <c r="H1139" s="141"/>
      <c r="I1139" s="153" t="s">
        <v>566</v>
      </c>
      <c r="J1139" s="153">
        <v>1</v>
      </c>
      <c r="K1139" s="156" t="s">
        <v>730</v>
      </c>
      <c r="L1139" s="142" t="s">
        <v>2518</v>
      </c>
      <c r="M1139" s="19"/>
      <c r="N1139" s="183" t="s">
        <v>2584</v>
      </c>
      <c r="O1139" s="187"/>
      <c r="P1139" s="156"/>
      <c r="Q1139" s="156"/>
      <c r="R1139" s="150"/>
    </row>
    <row r="1140" spans="1:18" ht="35.25" customHeight="1">
      <c r="A1140" s="15">
        <f t="shared" si="17"/>
        <v>1130</v>
      </c>
      <c r="B1140" s="142" t="s">
        <v>1720</v>
      </c>
      <c r="C1140" s="150" t="s">
        <v>451</v>
      </c>
      <c r="D1140" s="176"/>
      <c r="E1140" s="176"/>
      <c r="F1140" s="176"/>
      <c r="G1140" s="144" t="s">
        <v>2409</v>
      </c>
      <c r="H1140" s="141"/>
      <c r="I1140" s="153" t="s">
        <v>566</v>
      </c>
      <c r="J1140" s="153">
        <v>1</v>
      </c>
      <c r="K1140" s="156" t="s">
        <v>730</v>
      </c>
      <c r="L1140" s="142" t="s">
        <v>2518</v>
      </c>
      <c r="M1140" s="19"/>
      <c r="N1140" s="183" t="s">
        <v>2584</v>
      </c>
      <c r="O1140" s="187"/>
      <c r="P1140" s="156"/>
      <c r="Q1140" s="156"/>
      <c r="R1140" s="150"/>
    </row>
    <row r="1141" spans="1:18" ht="35.25" customHeight="1">
      <c r="A1141" s="15">
        <f t="shared" si="17"/>
        <v>1131</v>
      </c>
      <c r="B1141" s="142" t="s">
        <v>1721</v>
      </c>
      <c r="C1141" s="150" t="s">
        <v>32</v>
      </c>
      <c r="D1141" s="176"/>
      <c r="E1141" s="176"/>
      <c r="F1141" s="176"/>
      <c r="G1141" s="144"/>
      <c r="H1141" s="141"/>
      <c r="I1141" s="153" t="s">
        <v>566</v>
      </c>
      <c r="J1141" s="153">
        <v>1</v>
      </c>
      <c r="K1141" s="156" t="s">
        <v>730</v>
      </c>
      <c r="L1141" s="142" t="s">
        <v>2518</v>
      </c>
      <c r="M1141" s="19"/>
      <c r="N1141" s="183" t="s">
        <v>2584</v>
      </c>
      <c r="O1141" s="187"/>
      <c r="P1141" s="156"/>
      <c r="Q1141" s="156"/>
      <c r="R1141" s="150"/>
    </row>
    <row r="1142" spans="1:18" ht="35.25" customHeight="1">
      <c r="A1142" s="15">
        <f t="shared" si="17"/>
        <v>1132</v>
      </c>
      <c r="B1142" s="142" t="s">
        <v>1722</v>
      </c>
      <c r="C1142" s="150" t="s">
        <v>582</v>
      </c>
      <c r="D1142" s="176"/>
      <c r="E1142" s="176"/>
      <c r="F1142" s="176"/>
      <c r="G1142" s="144"/>
      <c r="H1142" s="141"/>
      <c r="I1142" s="153" t="s">
        <v>566</v>
      </c>
      <c r="J1142" s="153">
        <v>1</v>
      </c>
      <c r="K1142" s="156" t="s">
        <v>730</v>
      </c>
      <c r="L1142" s="142" t="s">
        <v>2518</v>
      </c>
      <c r="M1142" s="19"/>
      <c r="N1142" s="183" t="s">
        <v>2584</v>
      </c>
      <c r="O1142" s="187"/>
      <c r="P1142" s="156"/>
      <c r="Q1142" s="156"/>
      <c r="R1142" s="150"/>
    </row>
    <row r="1143" spans="1:18" ht="35.25" customHeight="1">
      <c r="A1143" s="15">
        <f t="shared" si="17"/>
        <v>1133</v>
      </c>
      <c r="B1143" s="142" t="s">
        <v>1723</v>
      </c>
      <c r="C1143" s="150" t="s">
        <v>1306</v>
      </c>
      <c r="D1143" s="176"/>
      <c r="E1143" s="176"/>
      <c r="F1143" s="176"/>
      <c r="G1143" s="144"/>
      <c r="H1143" s="141"/>
      <c r="I1143" s="153" t="s">
        <v>584</v>
      </c>
      <c r="J1143" s="153">
        <v>1</v>
      </c>
      <c r="K1143" s="156" t="s">
        <v>730</v>
      </c>
      <c r="L1143" s="142" t="s">
        <v>2518</v>
      </c>
      <c r="M1143" s="19"/>
      <c r="N1143" s="183" t="s">
        <v>2584</v>
      </c>
      <c r="O1143" s="187"/>
      <c r="P1143" s="156"/>
      <c r="Q1143" s="156"/>
      <c r="R1143" s="150"/>
    </row>
    <row r="1144" spans="1:18" ht="35.25" customHeight="1">
      <c r="A1144" s="15">
        <f t="shared" si="17"/>
        <v>1134</v>
      </c>
      <c r="B1144" s="142" t="s">
        <v>1724</v>
      </c>
      <c r="C1144" s="150" t="s">
        <v>582</v>
      </c>
      <c r="D1144" s="176"/>
      <c r="E1144" s="176"/>
      <c r="F1144" s="176"/>
      <c r="G1144" s="144"/>
      <c r="H1144" s="141"/>
      <c r="I1144" s="153" t="s">
        <v>566</v>
      </c>
      <c r="J1144" s="153">
        <v>1</v>
      </c>
      <c r="K1144" s="156" t="s">
        <v>730</v>
      </c>
      <c r="L1144" s="142" t="s">
        <v>2518</v>
      </c>
      <c r="M1144" s="19"/>
      <c r="N1144" s="144" t="s">
        <v>2585</v>
      </c>
      <c r="O1144" s="150"/>
      <c r="P1144" s="156"/>
      <c r="Q1144" s="156"/>
      <c r="R1144" s="150"/>
    </row>
    <row r="1145" spans="1:18" ht="35.25" customHeight="1">
      <c r="A1145" s="15">
        <f t="shared" si="17"/>
        <v>1135</v>
      </c>
      <c r="B1145" s="142" t="s">
        <v>1725</v>
      </c>
      <c r="C1145" s="150" t="s">
        <v>1306</v>
      </c>
      <c r="D1145" s="176"/>
      <c r="E1145" s="176"/>
      <c r="F1145" s="176"/>
      <c r="G1145" s="144"/>
      <c r="H1145" s="141"/>
      <c r="I1145" s="153" t="s">
        <v>566</v>
      </c>
      <c r="J1145" s="153">
        <v>1</v>
      </c>
      <c r="K1145" s="156" t="s">
        <v>730</v>
      </c>
      <c r="L1145" s="142" t="s">
        <v>2518</v>
      </c>
      <c r="M1145" s="19"/>
      <c r="N1145" s="144" t="s">
        <v>2585</v>
      </c>
      <c r="O1145" s="150"/>
      <c r="P1145" s="156"/>
      <c r="Q1145" s="156"/>
      <c r="R1145" s="150"/>
    </row>
    <row r="1146" spans="1:18" ht="35.25" customHeight="1">
      <c r="A1146" s="15">
        <f t="shared" si="17"/>
        <v>1136</v>
      </c>
      <c r="B1146" s="142" t="s">
        <v>1726</v>
      </c>
      <c r="C1146" s="150" t="s">
        <v>32</v>
      </c>
      <c r="D1146" s="176"/>
      <c r="E1146" s="176"/>
      <c r="F1146" s="176"/>
      <c r="G1146" s="144"/>
      <c r="H1146" s="141"/>
      <c r="I1146" s="153" t="s">
        <v>566</v>
      </c>
      <c r="J1146" s="153">
        <v>1</v>
      </c>
      <c r="K1146" s="156" t="s">
        <v>730</v>
      </c>
      <c r="L1146" s="142" t="s">
        <v>2518</v>
      </c>
      <c r="M1146" s="19"/>
      <c r="N1146" s="144" t="s">
        <v>2585</v>
      </c>
      <c r="O1146" s="150"/>
      <c r="P1146" s="156"/>
      <c r="Q1146" s="156"/>
      <c r="R1146" s="150"/>
    </row>
    <row r="1147" spans="1:18" ht="35.25" customHeight="1">
      <c r="A1147" s="15">
        <f t="shared" si="17"/>
        <v>1137</v>
      </c>
      <c r="B1147" s="142" t="s">
        <v>1727</v>
      </c>
      <c r="C1147" s="150" t="s">
        <v>1675</v>
      </c>
      <c r="D1147" s="176"/>
      <c r="E1147" s="176"/>
      <c r="F1147" s="176"/>
      <c r="G1147" s="150" t="s">
        <v>2427</v>
      </c>
      <c r="H1147" s="141"/>
      <c r="I1147" s="153" t="s">
        <v>566</v>
      </c>
      <c r="J1147" s="153">
        <v>1</v>
      </c>
      <c r="K1147" s="156" t="s">
        <v>730</v>
      </c>
      <c r="L1147" s="142" t="s">
        <v>2518</v>
      </c>
      <c r="M1147" s="19"/>
      <c r="N1147" s="144" t="s">
        <v>2585</v>
      </c>
      <c r="O1147" s="150"/>
      <c r="P1147" s="156"/>
      <c r="Q1147" s="156"/>
      <c r="R1147" s="150"/>
    </row>
    <row r="1148" spans="1:18" ht="35.25" customHeight="1">
      <c r="A1148" s="15">
        <f t="shared" si="17"/>
        <v>1138</v>
      </c>
      <c r="B1148" s="142" t="s">
        <v>1728</v>
      </c>
      <c r="C1148" s="150" t="s">
        <v>1648</v>
      </c>
      <c r="D1148" s="176"/>
      <c r="E1148" s="176"/>
      <c r="F1148" s="176"/>
      <c r="G1148" s="150"/>
      <c r="H1148" s="141"/>
      <c r="I1148" s="153" t="s">
        <v>566</v>
      </c>
      <c r="J1148" s="153">
        <v>1</v>
      </c>
      <c r="K1148" s="156" t="s">
        <v>730</v>
      </c>
      <c r="L1148" s="142" t="s">
        <v>2518</v>
      </c>
      <c r="M1148" s="19"/>
      <c r="N1148" s="144" t="s">
        <v>2585</v>
      </c>
      <c r="O1148" s="150"/>
      <c r="P1148" s="156"/>
      <c r="Q1148" s="156"/>
      <c r="R1148" s="150"/>
    </row>
    <row r="1149" spans="1:18" ht="35.25" customHeight="1">
      <c r="A1149" s="15">
        <f t="shared" si="17"/>
        <v>1139</v>
      </c>
      <c r="B1149" s="142" t="s">
        <v>1729</v>
      </c>
      <c r="C1149" s="150" t="s">
        <v>32</v>
      </c>
      <c r="D1149" s="176"/>
      <c r="E1149" s="176"/>
      <c r="F1149" s="176"/>
      <c r="G1149" s="144"/>
      <c r="H1149" s="141"/>
      <c r="I1149" s="153" t="s">
        <v>566</v>
      </c>
      <c r="J1149" s="153">
        <v>1</v>
      </c>
      <c r="K1149" s="156" t="s">
        <v>730</v>
      </c>
      <c r="L1149" s="142" t="s">
        <v>2518</v>
      </c>
      <c r="M1149" s="19"/>
      <c r="N1149" s="144" t="s">
        <v>2586</v>
      </c>
      <c r="O1149" s="150"/>
      <c r="P1149" s="156"/>
      <c r="Q1149" s="156"/>
      <c r="R1149" s="150"/>
    </row>
    <row r="1150" spans="1:18" ht="35.25" customHeight="1">
      <c r="A1150" s="15">
        <f t="shared" si="17"/>
        <v>1140</v>
      </c>
      <c r="B1150" s="142" t="s">
        <v>1730</v>
      </c>
      <c r="C1150" s="150" t="s">
        <v>582</v>
      </c>
      <c r="D1150" s="176"/>
      <c r="E1150" s="176"/>
      <c r="F1150" s="176"/>
      <c r="G1150" s="144"/>
      <c r="H1150" s="141"/>
      <c r="I1150" s="153" t="s">
        <v>566</v>
      </c>
      <c r="J1150" s="153">
        <v>1</v>
      </c>
      <c r="K1150" s="156" t="s">
        <v>730</v>
      </c>
      <c r="L1150" s="142" t="s">
        <v>2518</v>
      </c>
      <c r="M1150" s="19"/>
      <c r="N1150" s="144" t="s">
        <v>2586</v>
      </c>
      <c r="O1150" s="150"/>
      <c r="P1150" s="156"/>
      <c r="Q1150" s="156"/>
      <c r="R1150" s="150"/>
    </row>
    <row r="1151" spans="1:18" ht="35.25" customHeight="1">
      <c r="A1151" s="15">
        <f t="shared" si="17"/>
        <v>1141</v>
      </c>
      <c r="B1151" s="142" t="s">
        <v>1731</v>
      </c>
      <c r="C1151" s="150" t="s">
        <v>1306</v>
      </c>
      <c r="D1151" s="176"/>
      <c r="E1151" s="176"/>
      <c r="F1151" s="176"/>
      <c r="G1151" s="144"/>
      <c r="H1151" s="141"/>
      <c r="I1151" s="153" t="s">
        <v>566</v>
      </c>
      <c r="J1151" s="153">
        <v>1</v>
      </c>
      <c r="K1151" s="156" t="s">
        <v>730</v>
      </c>
      <c r="L1151" s="142" t="s">
        <v>2518</v>
      </c>
      <c r="M1151" s="19"/>
      <c r="N1151" s="144" t="s">
        <v>2586</v>
      </c>
      <c r="O1151" s="150"/>
      <c r="P1151" s="156"/>
      <c r="Q1151" s="156"/>
      <c r="R1151" s="150"/>
    </row>
    <row r="1152" spans="1:18" ht="35.25" customHeight="1">
      <c r="A1152" s="15">
        <f t="shared" si="17"/>
        <v>1142</v>
      </c>
      <c r="B1152" s="142" t="s">
        <v>1732</v>
      </c>
      <c r="C1152" s="150" t="s">
        <v>1733</v>
      </c>
      <c r="D1152" s="176"/>
      <c r="E1152" s="176"/>
      <c r="F1152" s="176"/>
      <c r="G1152" s="144"/>
      <c r="H1152" s="141"/>
      <c r="I1152" s="153" t="s">
        <v>566</v>
      </c>
      <c r="J1152" s="153">
        <v>1</v>
      </c>
      <c r="K1152" s="156" t="s">
        <v>730</v>
      </c>
      <c r="L1152" s="142" t="s">
        <v>2518</v>
      </c>
      <c r="M1152" s="19"/>
      <c r="N1152" s="144" t="s">
        <v>2586</v>
      </c>
      <c r="O1152" s="260">
        <v>44967</v>
      </c>
      <c r="P1152" s="156"/>
      <c r="Q1152" s="156"/>
      <c r="R1152" s="150"/>
    </row>
    <row r="1153" spans="1:18" ht="35.25" customHeight="1">
      <c r="A1153" s="15">
        <f t="shared" si="17"/>
        <v>1143</v>
      </c>
      <c r="B1153" s="142" t="s">
        <v>1734</v>
      </c>
      <c r="C1153" s="150" t="s">
        <v>1735</v>
      </c>
      <c r="D1153" s="176"/>
      <c r="E1153" s="176"/>
      <c r="F1153" s="176"/>
      <c r="G1153" s="144"/>
      <c r="H1153" s="141"/>
      <c r="I1153" s="153" t="s">
        <v>566</v>
      </c>
      <c r="J1153" s="153">
        <v>1</v>
      </c>
      <c r="K1153" s="156" t="s">
        <v>730</v>
      </c>
      <c r="L1153" s="142" t="s">
        <v>2518</v>
      </c>
      <c r="M1153" s="19"/>
      <c r="N1153" s="144" t="s">
        <v>2586</v>
      </c>
      <c r="O1153" s="260">
        <v>44967</v>
      </c>
      <c r="P1153" s="156"/>
      <c r="Q1153" s="156"/>
      <c r="R1153" s="150"/>
    </row>
    <row r="1154" spans="1:18" ht="35.25" customHeight="1">
      <c r="A1154" s="15">
        <f t="shared" si="17"/>
        <v>1144</v>
      </c>
      <c r="B1154" s="142" t="s">
        <v>1736</v>
      </c>
      <c r="C1154" s="150" t="s">
        <v>1737</v>
      </c>
      <c r="D1154" s="176"/>
      <c r="E1154" s="176"/>
      <c r="F1154" s="176"/>
      <c r="G1154" s="144"/>
      <c r="H1154" s="141"/>
      <c r="I1154" s="153" t="s">
        <v>566</v>
      </c>
      <c r="J1154" s="153">
        <v>1</v>
      </c>
      <c r="K1154" s="156" t="s">
        <v>730</v>
      </c>
      <c r="L1154" s="142" t="s">
        <v>2518</v>
      </c>
      <c r="M1154" s="19"/>
      <c r="N1154" s="144" t="s">
        <v>2586</v>
      </c>
      <c r="O1154" s="260">
        <v>44978</v>
      </c>
      <c r="P1154" s="156"/>
      <c r="Q1154" s="156"/>
      <c r="R1154" s="150"/>
    </row>
    <row r="1155" spans="1:18" ht="35.25" customHeight="1">
      <c r="A1155" s="15">
        <f t="shared" si="17"/>
        <v>1145</v>
      </c>
      <c r="B1155" s="142" t="s">
        <v>1738</v>
      </c>
      <c r="C1155" s="150" t="s">
        <v>1739</v>
      </c>
      <c r="D1155" s="176"/>
      <c r="E1155" s="176"/>
      <c r="F1155" s="176"/>
      <c r="G1155" s="144"/>
      <c r="H1155" s="141"/>
      <c r="I1155" s="153" t="s">
        <v>181</v>
      </c>
      <c r="J1155" s="153">
        <v>1</v>
      </c>
      <c r="K1155" s="156" t="s">
        <v>730</v>
      </c>
      <c r="L1155" s="142" t="s">
        <v>2518</v>
      </c>
      <c r="M1155" s="19"/>
      <c r="N1155" s="144" t="s">
        <v>2586</v>
      </c>
      <c r="O1155" s="260">
        <v>44978</v>
      </c>
      <c r="P1155" s="156"/>
      <c r="Q1155" s="156"/>
      <c r="R1155" s="150"/>
    </row>
    <row r="1156" spans="1:18" ht="35.25" customHeight="1">
      <c r="A1156" s="15">
        <f t="shared" si="17"/>
        <v>1146</v>
      </c>
      <c r="B1156" s="145" t="s">
        <v>1740</v>
      </c>
      <c r="C1156" s="169" t="s">
        <v>1741</v>
      </c>
      <c r="D1156" s="176"/>
      <c r="E1156" s="176"/>
      <c r="F1156" s="176"/>
      <c r="G1156" s="156"/>
      <c r="H1156" s="141"/>
      <c r="I1156" s="158" t="s">
        <v>2502</v>
      </c>
      <c r="J1156" s="158">
        <v>1</v>
      </c>
      <c r="K1156" s="156" t="s">
        <v>730</v>
      </c>
      <c r="L1156" s="145" t="s">
        <v>2518</v>
      </c>
      <c r="M1156" s="276" t="s">
        <v>3252</v>
      </c>
      <c r="N1156" s="156" t="s">
        <v>2587</v>
      </c>
      <c r="O1156" s="169"/>
      <c r="P1156" s="156"/>
      <c r="Q1156" s="156"/>
      <c r="R1156" s="169"/>
    </row>
    <row r="1157" spans="1:18" ht="35.25" customHeight="1">
      <c r="A1157" s="15">
        <f t="shared" si="17"/>
        <v>1147</v>
      </c>
      <c r="B1157" s="145" t="s">
        <v>1742</v>
      </c>
      <c r="C1157" s="169" t="s">
        <v>1743</v>
      </c>
      <c r="D1157" s="176"/>
      <c r="E1157" s="176"/>
      <c r="F1157" s="176"/>
      <c r="G1157" s="156"/>
      <c r="H1157" s="141"/>
      <c r="I1157" s="158" t="s">
        <v>2502</v>
      </c>
      <c r="J1157" s="158">
        <v>1</v>
      </c>
      <c r="K1157" s="156" t="s">
        <v>730</v>
      </c>
      <c r="L1157" s="145" t="s">
        <v>2518</v>
      </c>
      <c r="M1157" s="276" t="s">
        <v>3252</v>
      </c>
      <c r="N1157" s="156" t="s">
        <v>2587</v>
      </c>
      <c r="O1157" s="169"/>
      <c r="P1157" s="156"/>
      <c r="Q1157" s="156"/>
      <c r="R1157" s="169"/>
    </row>
    <row r="1158" spans="1:18" ht="35.25" customHeight="1">
      <c r="A1158" s="15">
        <f t="shared" si="17"/>
        <v>1148</v>
      </c>
      <c r="B1158" s="145" t="s">
        <v>1744</v>
      </c>
      <c r="C1158" s="169" t="s">
        <v>1745</v>
      </c>
      <c r="D1158" s="176"/>
      <c r="E1158" s="176"/>
      <c r="F1158" s="176"/>
      <c r="G1158" s="169" t="s">
        <v>1745</v>
      </c>
      <c r="H1158" s="141"/>
      <c r="I1158" s="158" t="s">
        <v>18</v>
      </c>
      <c r="J1158" s="158">
        <v>1</v>
      </c>
      <c r="K1158" s="156" t="s">
        <v>730</v>
      </c>
      <c r="L1158" s="145" t="s">
        <v>2518</v>
      </c>
      <c r="M1158" s="276" t="s">
        <v>3252</v>
      </c>
      <c r="N1158" s="156" t="s">
        <v>2587</v>
      </c>
      <c r="O1158" s="266">
        <v>45002</v>
      </c>
      <c r="P1158" s="156"/>
      <c r="Q1158" s="156"/>
      <c r="R1158" s="169"/>
    </row>
    <row r="1159" spans="1:18" ht="35.25" customHeight="1">
      <c r="A1159" s="15">
        <f t="shared" si="17"/>
        <v>1149</v>
      </c>
      <c r="B1159" s="145" t="s">
        <v>1746</v>
      </c>
      <c r="C1159" s="169" t="s">
        <v>1226</v>
      </c>
      <c r="D1159" s="176"/>
      <c r="E1159" s="176"/>
      <c r="F1159" s="176"/>
      <c r="G1159" s="156"/>
      <c r="H1159" s="141"/>
      <c r="I1159" s="158" t="s">
        <v>18</v>
      </c>
      <c r="J1159" s="158">
        <v>1</v>
      </c>
      <c r="K1159" s="156" t="s">
        <v>730</v>
      </c>
      <c r="L1159" s="145" t="s">
        <v>2518</v>
      </c>
      <c r="M1159" s="276" t="s">
        <v>3252</v>
      </c>
      <c r="N1159" s="156" t="s">
        <v>2587</v>
      </c>
      <c r="O1159" s="266">
        <v>45002</v>
      </c>
      <c r="P1159" s="156"/>
      <c r="Q1159" s="156"/>
      <c r="R1159" s="169"/>
    </row>
    <row r="1160" spans="1:18" ht="35.25" customHeight="1">
      <c r="A1160" s="15">
        <f t="shared" si="17"/>
        <v>1150</v>
      </c>
      <c r="B1160" s="142" t="s">
        <v>1747</v>
      </c>
      <c r="C1160" s="150" t="s">
        <v>1748</v>
      </c>
      <c r="D1160" s="176"/>
      <c r="E1160" s="176"/>
      <c r="F1160" s="176"/>
      <c r="G1160" s="144"/>
      <c r="H1160" s="141"/>
      <c r="I1160" s="153" t="s">
        <v>566</v>
      </c>
      <c r="J1160" s="153">
        <v>1</v>
      </c>
      <c r="K1160" s="156" t="s">
        <v>730</v>
      </c>
      <c r="L1160" s="142" t="s">
        <v>2518</v>
      </c>
      <c r="M1160" s="19"/>
      <c r="N1160" s="144" t="s">
        <v>2588</v>
      </c>
      <c r="O1160" s="150"/>
      <c r="P1160" s="156"/>
      <c r="Q1160" s="156"/>
      <c r="R1160" s="150"/>
    </row>
    <row r="1161" spans="1:18" ht="35.25" customHeight="1">
      <c r="A1161" s="15">
        <f t="shared" si="17"/>
        <v>1151</v>
      </c>
      <c r="B1161" s="142" t="s">
        <v>1749</v>
      </c>
      <c r="C1161" s="150" t="s">
        <v>1648</v>
      </c>
      <c r="D1161" s="176"/>
      <c r="E1161" s="176"/>
      <c r="F1161" s="176"/>
      <c r="G1161" s="144"/>
      <c r="H1161" s="141"/>
      <c r="I1161" s="153" t="s">
        <v>566</v>
      </c>
      <c r="J1161" s="153">
        <v>1</v>
      </c>
      <c r="K1161" s="156" t="s">
        <v>730</v>
      </c>
      <c r="L1161" s="142" t="s">
        <v>2518</v>
      </c>
      <c r="M1161" s="19"/>
      <c r="N1161" s="144" t="s">
        <v>2588</v>
      </c>
      <c r="O1161" s="150"/>
      <c r="P1161" s="156"/>
      <c r="Q1161" s="156"/>
      <c r="R1161" s="150"/>
    </row>
    <row r="1162" spans="1:18" ht="35.25" customHeight="1">
      <c r="A1162" s="15">
        <f t="shared" si="17"/>
        <v>1152</v>
      </c>
      <c r="B1162" s="142" t="s">
        <v>1750</v>
      </c>
      <c r="C1162" s="150" t="s">
        <v>1741</v>
      </c>
      <c r="D1162" s="176"/>
      <c r="E1162" s="176"/>
      <c r="F1162" s="176"/>
      <c r="G1162" s="144"/>
      <c r="H1162" s="141"/>
      <c r="I1162" s="153" t="s">
        <v>566</v>
      </c>
      <c r="J1162" s="153">
        <v>1</v>
      </c>
      <c r="K1162" s="156" t="s">
        <v>730</v>
      </c>
      <c r="L1162" s="142" t="s">
        <v>2518</v>
      </c>
      <c r="M1162" s="19"/>
      <c r="N1162" s="144" t="s">
        <v>2588</v>
      </c>
      <c r="O1162" s="150"/>
      <c r="P1162" s="156"/>
      <c r="Q1162" s="156"/>
      <c r="R1162" s="150"/>
    </row>
    <row r="1163" spans="1:18" ht="35.25" customHeight="1">
      <c r="A1163" s="15">
        <f t="shared" si="17"/>
        <v>1153</v>
      </c>
      <c r="B1163" s="142" t="s">
        <v>1751</v>
      </c>
      <c r="C1163" s="150" t="s">
        <v>32</v>
      </c>
      <c r="D1163" s="176"/>
      <c r="E1163" s="176"/>
      <c r="F1163" s="176"/>
      <c r="G1163" s="144"/>
      <c r="H1163" s="141"/>
      <c r="I1163" s="153" t="s">
        <v>566</v>
      </c>
      <c r="J1163" s="153">
        <v>1</v>
      </c>
      <c r="K1163" s="156" t="s">
        <v>730</v>
      </c>
      <c r="L1163" s="142" t="s">
        <v>2518</v>
      </c>
      <c r="M1163" s="19"/>
      <c r="N1163" s="144" t="s">
        <v>2588</v>
      </c>
      <c r="O1163" s="150"/>
      <c r="P1163" s="156"/>
      <c r="Q1163" s="156"/>
      <c r="R1163" s="150"/>
    </row>
    <row r="1164" spans="1:18" ht="35.25" customHeight="1">
      <c r="A1164" s="15">
        <f t="shared" si="17"/>
        <v>1154</v>
      </c>
      <c r="B1164" s="142" t="s">
        <v>1752</v>
      </c>
      <c r="C1164" s="150" t="s">
        <v>1352</v>
      </c>
      <c r="D1164" s="176"/>
      <c r="E1164" s="176"/>
      <c r="F1164" s="176"/>
      <c r="G1164" s="144"/>
      <c r="H1164" s="141"/>
      <c r="I1164" s="153" t="s">
        <v>566</v>
      </c>
      <c r="J1164" s="153">
        <v>1</v>
      </c>
      <c r="K1164" s="156" t="s">
        <v>730</v>
      </c>
      <c r="L1164" s="142" t="s">
        <v>2518</v>
      </c>
      <c r="M1164" s="19"/>
      <c r="N1164" s="144" t="s">
        <v>2588</v>
      </c>
      <c r="O1164" s="150"/>
      <c r="P1164" s="156"/>
      <c r="Q1164" s="156"/>
      <c r="R1164" s="150"/>
    </row>
    <row r="1165" spans="1:18" ht="35.25" customHeight="1">
      <c r="A1165" s="15">
        <f t="shared" si="17"/>
        <v>1155</v>
      </c>
      <c r="B1165" s="142" t="s">
        <v>1753</v>
      </c>
      <c r="C1165" s="150" t="s">
        <v>1202</v>
      </c>
      <c r="D1165" s="176"/>
      <c r="E1165" s="176"/>
      <c r="F1165" s="176"/>
      <c r="G1165" s="144"/>
      <c r="H1165" s="141"/>
      <c r="I1165" s="153" t="s">
        <v>566</v>
      </c>
      <c r="J1165" s="153">
        <v>1</v>
      </c>
      <c r="K1165" s="156" t="s">
        <v>730</v>
      </c>
      <c r="L1165" s="142" t="s">
        <v>2518</v>
      </c>
      <c r="M1165" s="19"/>
      <c r="N1165" s="144" t="s">
        <v>2588</v>
      </c>
      <c r="O1165" s="150"/>
      <c r="P1165" s="156"/>
      <c r="Q1165" s="156"/>
      <c r="R1165" s="150"/>
    </row>
    <row r="1166" spans="1:18" ht="35.25" customHeight="1">
      <c r="A1166" s="15">
        <f t="shared" si="17"/>
        <v>1156</v>
      </c>
      <c r="B1166" s="142" t="s">
        <v>1754</v>
      </c>
      <c r="C1166" s="150" t="s">
        <v>1306</v>
      </c>
      <c r="D1166" s="176"/>
      <c r="E1166" s="176"/>
      <c r="F1166" s="176"/>
      <c r="G1166" s="144"/>
      <c r="H1166" s="141"/>
      <c r="I1166" s="153" t="s">
        <v>566</v>
      </c>
      <c r="J1166" s="153">
        <v>1</v>
      </c>
      <c r="K1166" s="156" t="s">
        <v>730</v>
      </c>
      <c r="L1166" s="142" t="s">
        <v>2518</v>
      </c>
      <c r="M1166" s="19"/>
      <c r="N1166" s="144" t="s">
        <v>2588</v>
      </c>
      <c r="O1166" s="150"/>
      <c r="P1166" s="156"/>
      <c r="Q1166" s="156"/>
      <c r="R1166" s="150"/>
    </row>
    <row r="1167" spans="1:18" ht="35.25" customHeight="1">
      <c r="A1167" s="15">
        <f t="shared" si="17"/>
        <v>1157</v>
      </c>
      <c r="B1167" s="16" t="s">
        <v>1755</v>
      </c>
      <c r="C1167" s="20" t="s">
        <v>1756</v>
      </c>
      <c r="D1167" s="176"/>
      <c r="E1167" s="176"/>
      <c r="F1167" s="176"/>
      <c r="G1167" s="144"/>
      <c r="H1167" s="141"/>
      <c r="I1167" s="153" t="s">
        <v>566</v>
      </c>
      <c r="J1167" s="153">
        <v>1</v>
      </c>
      <c r="K1167" s="156" t="s">
        <v>730</v>
      </c>
      <c r="L1167" s="142" t="s">
        <v>2518</v>
      </c>
      <c r="M1167" s="19"/>
      <c r="N1167" s="144" t="s">
        <v>2588</v>
      </c>
      <c r="O1167" s="150"/>
      <c r="P1167" s="156"/>
      <c r="Q1167" s="156"/>
      <c r="R1167" s="150"/>
    </row>
    <row r="1168" spans="1:18" ht="35.25" customHeight="1">
      <c r="A1168" s="15">
        <f t="shared" si="17"/>
        <v>1158</v>
      </c>
      <c r="B1168" s="142" t="s">
        <v>1757</v>
      </c>
      <c r="C1168" s="150" t="s">
        <v>582</v>
      </c>
      <c r="D1168" s="176"/>
      <c r="E1168" s="176"/>
      <c r="F1168" s="176"/>
      <c r="G1168" s="144"/>
      <c r="H1168" s="141"/>
      <c r="I1168" s="153" t="s">
        <v>566</v>
      </c>
      <c r="J1168" s="153">
        <v>1</v>
      </c>
      <c r="K1168" s="156" t="s">
        <v>730</v>
      </c>
      <c r="L1168" s="142" t="s">
        <v>2518</v>
      </c>
      <c r="M1168" s="276" t="s">
        <v>3265</v>
      </c>
      <c r="N1168" s="144" t="s">
        <v>2589</v>
      </c>
      <c r="O1168" s="150"/>
      <c r="P1168" s="156"/>
      <c r="Q1168" s="156"/>
      <c r="R1168" s="150"/>
    </row>
    <row r="1169" spans="1:18" ht="35.25" customHeight="1">
      <c r="A1169" s="15">
        <f t="shared" si="17"/>
        <v>1159</v>
      </c>
      <c r="B1169" s="142" t="s">
        <v>1758</v>
      </c>
      <c r="C1169" s="150" t="s">
        <v>1306</v>
      </c>
      <c r="D1169" s="176"/>
      <c r="E1169" s="176"/>
      <c r="F1169" s="176"/>
      <c r="G1169" s="144"/>
      <c r="H1169" s="141"/>
      <c r="I1169" s="153" t="s">
        <v>566</v>
      </c>
      <c r="J1169" s="153">
        <v>1</v>
      </c>
      <c r="K1169" s="156" t="s">
        <v>730</v>
      </c>
      <c r="L1169" s="142" t="s">
        <v>2518</v>
      </c>
      <c r="M1169" s="276" t="s">
        <v>3265</v>
      </c>
      <c r="N1169" s="144" t="s">
        <v>2589</v>
      </c>
      <c r="O1169" s="150"/>
      <c r="P1169" s="156"/>
      <c r="Q1169" s="156"/>
      <c r="R1169" s="150"/>
    </row>
    <row r="1170" spans="1:18" ht="35.25" customHeight="1">
      <c r="A1170" s="15">
        <f t="shared" si="17"/>
        <v>1160</v>
      </c>
      <c r="B1170" s="142" t="s">
        <v>1759</v>
      </c>
      <c r="C1170" s="150" t="s">
        <v>32</v>
      </c>
      <c r="D1170" s="176"/>
      <c r="E1170" s="176"/>
      <c r="F1170" s="176"/>
      <c r="G1170" s="144"/>
      <c r="H1170" s="141"/>
      <c r="I1170" s="153" t="s">
        <v>566</v>
      </c>
      <c r="J1170" s="153">
        <v>1</v>
      </c>
      <c r="K1170" s="156" t="s">
        <v>730</v>
      </c>
      <c r="L1170" s="142" t="s">
        <v>2518</v>
      </c>
      <c r="M1170" s="276" t="s">
        <v>3265</v>
      </c>
      <c r="N1170" s="144" t="s">
        <v>2589</v>
      </c>
      <c r="O1170" s="150"/>
      <c r="P1170" s="156"/>
      <c r="Q1170" s="156"/>
      <c r="R1170" s="150"/>
    </row>
    <row r="1171" spans="1:18" ht="35.25" customHeight="1">
      <c r="A1171" s="15">
        <f t="shared" ref="A1171:A1234" si="18">A1170+1</f>
        <v>1161</v>
      </c>
      <c r="B1171" s="142" t="s">
        <v>1760</v>
      </c>
      <c r="C1171" s="150" t="s">
        <v>1761</v>
      </c>
      <c r="D1171" s="176"/>
      <c r="E1171" s="176"/>
      <c r="F1171" s="176"/>
      <c r="G1171" s="144"/>
      <c r="H1171" s="141"/>
      <c r="I1171" s="153" t="s">
        <v>18</v>
      </c>
      <c r="J1171" s="153">
        <v>1</v>
      </c>
      <c r="K1171" s="156" t="s">
        <v>730</v>
      </c>
      <c r="L1171" s="142" t="s">
        <v>2518</v>
      </c>
      <c r="M1171" s="276" t="s">
        <v>3265</v>
      </c>
      <c r="N1171" s="144" t="s">
        <v>2589</v>
      </c>
      <c r="O1171" s="260">
        <v>44967</v>
      </c>
      <c r="P1171" s="156"/>
      <c r="Q1171" s="156"/>
      <c r="R1171" s="150"/>
    </row>
    <row r="1172" spans="1:18" ht="35.25" customHeight="1">
      <c r="A1172" s="15">
        <f t="shared" si="18"/>
        <v>1162</v>
      </c>
      <c r="B1172" s="142" t="s">
        <v>1762</v>
      </c>
      <c r="C1172" s="150" t="s">
        <v>1763</v>
      </c>
      <c r="D1172" s="176"/>
      <c r="E1172" s="176"/>
      <c r="F1172" s="176"/>
      <c r="G1172" s="144"/>
      <c r="H1172" s="141"/>
      <c r="I1172" s="153" t="s">
        <v>18</v>
      </c>
      <c r="J1172" s="153">
        <v>1</v>
      </c>
      <c r="K1172" s="156" t="s">
        <v>730</v>
      </c>
      <c r="L1172" s="142" t="s">
        <v>2518</v>
      </c>
      <c r="M1172" s="276" t="s">
        <v>3265</v>
      </c>
      <c r="N1172" s="144" t="s">
        <v>2589</v>
      </c>
      <c r="O1172" s="260">
        <v>44967</v>
      </c>
      <c r="P1172" s="156"/>
      <c r="Q1172" s="156"/>
      <c r="R1172" s="150"/>
    </row>
    <row r="1173" spans="1:18" ht="35.25" customHeight="1">
      <c r="A1173" s="15">
        <f t="shared" si="18"/>
        <v>1163</v>
      </c>
      <c r="B1173" s="142" t="s">
        <v>1764</v>
      </c>
      <c r="C1173" s="150" t="s">
        <v>1765</v>
      </c>
      <c r="D1173" s="176"/>
      <c r="E1173" s="176"/>
      <c r="F1173" s="176"/>
      <c r="G1173" s="144"/>
      <c r="H1173" s="141"/>
      <c r="I1173" s="153" t="s">
        <v>18</v>
      </c>
      <c r="J1173" s="153">
        <v>1</v>
      </c>
      <c r="K1173" s="156" t="s">
        <v>730</v>
      </c>
      <c r="L1173" s="142" t="s">
        <v>2518</v>
      </c>
      <c r="M1173" s="276" t="s">
        <v>3265</v>
      </c>
      <c r="N1173" s="144" t="s">
        <v>2589</v>
      </c>
      <c r="O1173" s="260">
        <v>44967</v>
      </c>
      <c r="P1173" s="156"/>
      <c r="Q1173" s="156"/>
      <c r="R1173" s="150"/>
    </row>
    <row r="1174" spans="1:18" ht="35.25" customHeight="1">
      <c r="A1174" s="15">
        <f t="shared" si="18"/>
        <v>1164</v>
      </c>
      <c r="B1174" s="146" t="s">
        <v>239</v>
      </c>
      <c r="C1174" s="64" t="s">
        <v>238</v>
      </c>
      <c r="D1174" s="176"/>
      <c r="E1174" s="176"/>
      <c r="F1174" s="176"/>
      <c r="G1174" s="64" t="s">
        <v>238</v>
      </c>
      <c r="H1174" s="141"/>
      <c r="I1174" s="153" t="s">
        <v>18</v>
      </c>
      <c r="J1174" s="153">
        <v>1</v>
      </c>
      <c r="K1174" s="156" t="s">
        <v>730</v>
      </c>
      <c r="L1174" s="142" t="s">
        <v>2518</v>
      </c>
      <c r="M1174" s="276" t="s">
        <v>3265</v>
      </c>
      <c r="N1174" s="144" t="s">
        <v>2589</v>
      </c>
      <c r="O1174" s="264"/>
      <c r="P1174" s="156"/>
      <c r="Q1174" s="156"/>
      <c r="R1174" s="150" t="s">
        <v>2668</v>
      </c>
    </row>
    <row r="1175" spans="1:18" ht="35.25" customHeight="1">
      <c r="A1175" s="15">
        <f t="shared" si="18"/>
        <v>1165</v>
      </c>
      <c r="B1175" s="142" t="s">
        <v>1766</v>
      </c>
      <c r="C1175" s="150" t="s">
        <v>582</v>
      </c>
      <c r="D1175" s="176"/>
      <c r="E1175" s="176"/>
      <c r="F1175" s="176"/>
      <c r="G1175" s="144"/>
      <c r="H1175" s="141"/>
      <c r="I1175" s="153" t="s">
        <v>566</v>
      </c>
      <c r="J1175" s="153">
        <v>1</v>
      </c>
      <c r="K1175" s="156" t="s">
        <v>730</v>
      </c>
      <c r="L1175" s="142" t="s">
        <v>2518</v>
      </c>
      <c r="M1175" s="19"/>
      <c r="N1175" s="144" t="s">
        <v>2590</v>
      </c>
      <c r="O1175" s="150"/>
      <c r="P1175" s="156"/>
      <c r="Q1175" s="156"/>
      <c r="R1175" s="150"/>
    </row>
    <row r="1176" spans="1:18" ht="35.25" customHeight="1">
      <c r="A1176" s="15">
        <f t="shared" si="18"/>
        <v>1166</v>
      </c>
      <c r="B1176" s="142" t="s">
        <v>1767</v>
      </c>
      <c r="C1176" s="150" t="s">
        <v>582</v>
      </c>
      <c r="D1176" s="176"/>
      <c r="E1176" s="176"/>
      <c r="F1176" s="176"/>
      <c r="G1176" s="144"/>
      <c r="H1176" s="141"/>
      <c r="I1176" s="153" t="s">
        <v>566</v>
      </c>
      <c r="J1176" s="153">
        <v>1</v>
      </c>
      <c r="K1176" s="156" t="s">
        <v>730</v>
      </c>
      <c r="L1176" s="142" t="s">
        <v>2518</v>
      </c>
      <c r="M1176" s="19"/>
      <c r="N1176" s="144" t="s">
        <v>2591</v>
      </c>
      <c r="O1176" s="150"/>
      <c r="P1176" s="156"/>
      <c r="Q1176" s="156"/>
      <c r="R1176" s="150"/>
    </row>
    <row r="1177" spans="1:18" ht="35.25" customHeight="1">
      <c r="A1177" s="15">
        <f t="shared" si="18"/>
        <v>1167</v>
      </c>
      <c r="B1177" s="142" t="s">
        <v>1768</v>
      </c>
      <c r="C1177" s="150" t="s">
        <v>1306</v>
      </c>
      <c r="D1177" s="176"/>
      <c r="E1177" s="176"/>
      <c r="F1177" s="176"/>
      <c r="G1177" s="144"/>
      <c r="H1177" s="141"/>
      <c r="I1177" s="153" t="s">
        <v>566</v>
      </c>
      <c r="J1177" s="153">
        <v>1</v>
      </c>
      <c r="K1177" s="156" t="s">
        <v>730</v>
      </c>
      <c r="L1177" s="142" t="s">
        <v>2518</v>
      </c>
      <c r="M1177" s="276" t="s">
        <v>3250</v>
      </c>
      <c r="N1177" s="144" t="s">
        <v>2575</v>
      </c>
      <c r="O1177" s="150"/>
      <c r="P1177" s="156"/>
      <c r="Q1177" s="156"/>
      <c r="R1177" s="144" t="s">
        <v>272</v>
      </c>
    </row>
    <row r="1178" spans="1:18" ht="35.25" customHeight="1">
      <c r="A1178" s="15">
        <f t="shared" si="18"/>
        <v>1168</v>
      </c>
      <c r="B1178" s="142" t="s">
        <v>1769</v>
      </c>
      <c r="C1178" s="150" t="s">
        <v>1306</v>
      </c>
      <c r="D1178" s="176"/>
      <c r="E1178" s="176"/>
      <c r="F1178" s="176"/>
      <c r="G1178" s="144"/>
      <c r="H1178" s="141"/>
      <c r="I1178" s="153" t="s">
        <v>566</v>
      </c>
      <c r="J1178" s="153">
        <v>1</v>
      </c>
      <c r="K1178" s="156" t="s">
        <v>730</v>
      </c>
      <c r="L1178" s="142" t="s">
        <v>2518</v>
      </c>
      <c r="M1178" s="276" t="s">
        <v>3250</v>
      </c>
      <c r="N1178" s="144" t="s">
        <v>2575</v>
      </c>
      <c r="O1178" s="150"/>
      <c r="P1178" s="156"/>
      <c r="Q1178" s="156"/>
      <c r="R1178" s="144" t="s">
        <v>272</v>
      </c>
    </row>
    <row r="1179" spans="1:18" ht="35.25" customHeight="1">
      <c r="A1179" s="15">
        <f t="shared" si="18"/>
        <v>1169</v>
      </c>
      <c r="B1179" s="142" t="s">
        <v>1770</v>
      </c>
      <c r="C1179" s="150" t="s">
        <v>1306</v>
      </c>
      <c r="D1179" s="176"/>
      <c r="E1179" s="176"/>
      <c r="F1179" s="176"/>
      <c r="G1179" s="144"/>
      <c r="H1179" s="141"/>
      <c r="I1179" s="153" t="s">
        <v>566</v>
      </c>
      <c r="J1179" s="153">
        <v>1</v>
      </c>
      <c r="K1179" s="156" t="s">
        <v>730</v>
      </c>
      <c r="L1179" s="142" t="s">
        <v>2518</v>
      </c>
      <c r="M1179" s="276" t="s">
        <v>3250</v>
      </c>
      <c r="N1179" s="144" t="s">
        <v>2575</v>
      </c>
      <c r="O1179" s="150"/>
      <c r="P1179" s="156"/>
      <c r="Q1179" s="156"/>
      <c r="R1179" s="144" t="s">
        <v>272</v>
      </c>
    </row>
    <row r="1180" spans="1:18" ht="35.25" customHeight="1">
      <c r="A1180" s="15">
        <f t="shared" si="18"/>
        <v>1170</v>
      </c>
      <c r="B1180" s="142" t="s">
        <v>1771</v>
      </c>
      <c r="C1180" s="150" t="s">
        <v>32</v>
      </c>
      <c r="D1180" s="176"/>
      <c r="E1180" s="176"/>
      <c r="F1180" s="176"/>
      <c r="G1180" s="144"/>
      <c r="H1180" s="141"/>
      <c r="I1180" s="153" t="s">
        <v>566</v>
      </c>
      <c r="J1180" s="153">
        <v>1</v>
      </c>
      <c r="K1180" s="156" t="s">
        <v>730</v>
      </c>
      <c r="L1180" s="142" t="s">
        <v>2518</v>
      </c>
      <c r="M1180" s="276" t="s">
        <v>3250</v>
      </c>
      <c r="N1180" s="144" t="s">
        <v>2575</v>
      </c>
      <c r="O1180" s="150"/>
      <c r="P1180" s="156"/>
      <c r="Q1180" s="156"/>
      <c r="R1180" s="144" t="s">
        <v>272</v>
      </c>
    </row>
    <row r="1181" spans="1:18" ht="35.25" customHeight="1">
      <c r="A1181" s="15">
        <f t="shared" si="18"/>
        <v>1171</v>
      </c>
      <c r="B1181" s="142" t="s">
        <v>1772</v>
      </c>
      <c r="C1181" s="150" t="s">
        <v>32</v>
      </c>
      <c r="D1181" s="176"/>
      <c r="E1181" s="176"/>
      <c r="F1181" s="176"/>
      <c r="G1181" s="144"/>
      <c r="H1181" s="141"/>
      <c r="I1181" s="153" t="s">
        <v>566</v>
      </c>
      <c r="J1181" s="153">
        <v>1</v>
      </c>
      <c r="K1181" s="156" t="s">
        <v>730</v>
      </c>
      <c r="L1181" s="142" t="s">
        <v>2518</v>
      </c>
      <c r="M1181" s="276" t="s">
        <v>3250</v>
      </c>
      <c r="N1181" s="144" t="s">
        <v>2575</v>
      </c>
      <c r="O1181" s="150"/>
      <c r="P1181" s="156"/>
      <c r="Q1181" s="156"/>
      <c r="R1181" s="144" t="s">
        <v>272</v>
      </c>
    </row>
    <row r="1182" spans="1:18" ht="35.25" customHeight="1">
      <c r="A1182" s="15">
        <f t="shared" si="18"/>
        <v>1172</v>
      </c>
      <c r="B1182" s="11" t="s">
        <v>1773</v>
      </c>
      <c r="C1182" s="64" t="s">
        <v>154</v>
      </c>
      <c r="D1182" s="176"/>
      <c r="E1182" s="176"/>
      <c r="F1182" s="176"/>
      <c r="G1182" s="144"/>
      <c r="H1182" s="141"/>
      <c r="I1182" s="153" t="s">
        <v>566</v>
      </c>
      <c r="J1182" s="153">
        <v>1</v>
      </c>
      <c r="K1182" s="156" t="s">
        <v>730</v>
      </c>
      <c r="L1182" s="142" t="s">
        <v>2518</v>
      </c>
      <c r="M1182" s="276" t="s">
        <v>3250</v>
      </c>
      <c r="N1182" s="144" t="s">
        <v>2575</v>
      </c>
      <c r="O1182" s="150"/>
      <c r="P1182" s="156"/>
      <c r="Q1182" s="156"/>
      <c r="R1182" s="144" t="s">
        <v>272</v>
      </c>
    </row>
    <row r="1183" spans="1:18" ht="35.25" customHeight="1">
      <c r="A1183" s="15">
        <f t="shared" si="18"/>
        <v>1173</v>
      </c>
      <c r="B1183" s="11" t="s">
        <v>1774</v>
      </c>
      <c r="C1183" s="64" t="s">
        <v>154</v>
      </c>
      <c r="D1183" s="176"/>
      <c r="E1183" s="176"/>
      <c r="F1183" s="176"/>
      <c r="G1183" s="144"/>
      <c r="H1183" s="141"/>
      <c r="I1183" s="153" t="s">
        <v>566</v>
      </c>
      <c r="J1183" s="153">
        <v>1</v>
      </c>
      <c r="K1183" s="156" t="s">
        <v>730</v>
      </c>
      <c r="L1183" s="142" t="s">
        <v>2518</v>
      </c>
      <c r="M1183" s="276" t="s">
        <v>3250</v>
      </c>
      <c r="N1183" s="144" t="s">
        <v>2575</v>
      </c>
      <c r="O1183" s="150"/>
      <c r="P1183" s="156"/>
      <c r="Q1183" s="156"/>
      <c r="R1183" s="144" t="s">
        <v>272</v>
      </c>
    </row>
    <row r="1184" spans="1:18" ht="35.25" customHeight="1">
      <c r="A1184" s="15">
        <f t="shared" si="18"/>
        <v>1174</v>
      </c>
      <c r="B1184" s="168" t="s">
        <v>1775</v>
      </c>
      <c r="C1184" s="172" t="s">
        <v>1776</v>
      </c>
      <c r="D1184" s="176"/>
      <c r="E1184" s="176"/>
      <c r="F1184" s="176"/>
      <c r="G1184" s="15"/>
      <c r="H1184" s="141"/>
      <c r="I1184" s="153" t="s">
        <v>566</v>
      </c>
      <c r="J1184" s="153">
        <v>1</v>
      </c>
      <c r="K1184" s="156" t="s">
        <v>730</v>
      </c>
      <c r="L1184" s="142" t="s">
        <v>2518</v>
      </c>
      <c r="M1184" s="276" t="s">
        <v>3250</v>
      </c>
      <c r="N1184" s="144" t="s">
        <v>2575</v>
      </c>
      <c r="O1184" s="150"/>
      <c r="P1184" s="156"/>
      <c r="Q1184" s="156"/>
      <c r="R1184" s="144" t="s">
        <v>272</v>
      </c>
    </row>
    <row r="1185" spans="1:18" ht="35.25" customHeight="1">
      <c r="A1185" s="15">
        <f t="shared" si="18"/>
        <v>1175</v>
      </c>
      <c r="B1185" s="168" t="s">
        <v>1777</v>
      </c>
      <c r="C1185" s="172" t="s">
        <v>1776</v>
      </c>
      <c r="D1185" s="176"/>
      <c r="E1185" s="176"/>
      <c r="F1185" s="176"/>
      <c r="G1185" s="15"/>
      <c r="H1185" s="141"/>
      <c r="I1185" s="153" t="s">
        <v>566</v>
      </c>
      <c r="J1185" s="153">
        <v>1</v>
      </c>
      <c r="K1185" s="156" t="s">
        <v>730</v>
      </c>
      <c r="L1185" s="142" t="s">
        <v>2518</v>
      </c>
      <c r="M1185" s="276" t="s">
        <v>3250</v>
      </c>
      <c r="N1185" s="144" t="s">
        <v>2575</v>
      </c>
      <c r="O1185" s="150"/>
      <c r="P1185" s="156"/>
      <c r="Q1185" s="156"/>
      <c r="R1185" s="144" t="s">
        <v>272</v>
      </c>
    </row>
    <row r="1186" spans="1:18" ht="35.25" customHeight="1">
      <c r="A1186" s="15">
        <f t="shared" si="18"/>
        <v>1176</v>
      </c>
      <c r="B1186" s="168" t="s">
        <v>1778</v>
      </c>
      <c r="C1186" s="172" t="s">
        <v>1776</v>
      </c>
      <c r="D1186" s="176"/>
      <c r="E1186" s="176"/>
      <c r="F1186" s="176"/>
      <c r="G1186" s="15"/>
      <c r="H1186" s="141"/>
      <c r="I1186" s="153" t="s">
        <v>566</v>
      </c>
      <c r="J1186" s="153">
        <v>1</v>
      </c>
      <c r="K1186" s="156" t="s">
        <v>730</v>
      </c>
      <c r="L1186" s="142" t="s">
        <v>2518</v>
      </c>
      <c r="M1186" s="276" t="s">
        <v>3250</v>
      </c>
      <c r="N1186" s="144" t="s">
        <v>2575</v>
      </c>
      <c r="O1186" s="150"/>
      <c r="P1186" s="156"/>
      <c r="Q1186" s="156"/>
      <c r="R1186" s="144" t="s">
        <v>272</v>
      </c>
    </row>
    <row r="1187" spans="1:18" ht="35.25" customHeight="1">
      <c r="A1187" s="15">
        <f t="shared" si="18"/>
        <v>1177</v>
      </c>
      <c r="B1187" s="168" t="s">
        <v>1779</v>
      </c>
      <c r="C1187" s="172" t="s">
        <v>1776</v>
      </c>
      <c r="D1187" s="176"/>
      <c r="E1187" s="176"/>
      <c r="F1187" s="176"/>
      <c r="G1187" s="15"/>
      <c r="H1187" s="141"/>
      <c r="I1187" s="153" t="s">
        <v>566</v>
      </c>
      <c r="J1187" s="153">
        <v>1</v>
      </c>
      <c r="K1187" s="156" t="s">
        <v>730</v>
      </c>
      <c r="L1187" s="142" t="s">
        <v>2518</v>
      </c>
      <c r="M1187" s="276" t="s">
        <v>3250</v>
      </c>
      <c r="N1187" s="144" t="s">
        <v>2575</v>
      </c>
      <c r="O1187" s="150"/>
      <c r="P1187" s="156"/>
      <c r="Q1187" s="156"/>
      <c r="R1187" s="144" t="s">
        <v>272</v>
      </c>
    </row>
    <row r="1188" spans="1:18" ht="35.25" customHeight="1">
      <c r="A1188" s="15">
        <f t="shared" si="18"/>
        <v>1178</v>
      </c>
      <c r="B1188" s="168" t="s">
        <v>1780</v>
      </c>
      <c r="C1188" s="172" t="s">
        <v>1776</v>
      </c>
      <c r="D1188" s="176"/>
      <c r="E1188" s="176"/>
      <c r="F1188" s="176"/>
      <c r="G1188" s="15"/>
      <c r="H1188" s="141"/>
      <c r="I1188" s="153" t="s">
        <v>566</v>
      </c>
      <c r="J1188" s="153">
        <v>1</v>
      </c>
      <c r="K1188" s="156" t="s">
        <v>730</v>
      </c>
      <c r="L1188" s="142" t="s">
        <v>2518</v>
      </c>
      <c r="M1188" s="276" t="s">
        <v>3250</v>
      </c>
      <c r="N1188" s="144" t="s">
        <v>2575</v>
      </c>
      <c r="O1188" s="150"/>
      <c r="P1188" s="156"/>
      <c r="Q1188" s="156"/>
      <c r="R1188" s="144" t="s">
        <v>272</v>
      </c>
    </row>
    <row r="1189" spans="1:18" ht="35.25" customHeight="1">
      <c r="A1189" s="15">
        <f t="shared" si="18"/>
        <v>1179</v>
      </c>
      <c r="B1189" s="168" t="s">
        <v>1781</v>
      </c>
      <c r="C1189" s="172" t="s">
        <v>1776</v>
      </c>
      <c r="D1189" s="176"/>
      <c r="E1189" s="176"/>
      <c r="F1189" s="176"/>
      <c r="G1189" s="15"/>
      <c r="H1189" s="141"/>
      <c r="I1189" s="153" t="s">
        <v>566</v>
      </c>
      <c r="J1189" s="153">
        <v>1</v>
      </c>
      <c r="K1189" s="156" t="s">
        <v>730</v>
      </c>
      <c r="L1189" s="142" t="s">
        <v>2518</v>
      </c>
      <c r="M1189" s="276" t="s">
        <v>3250</v>
      </c>
      <c r="N1189" s="144" t="s">
        <v>2575</v>
      </c>
      <c r="O1189" s="150"/>
      <c r="P1189" s="156"/>
      <c r="Q1189" s="156"/>
      <c r="R1189" s="144" t="s">
        <v>272</v>
      </c>
    </row>
    <row r="1190" spans="1:18" ht="35.25" customHeight="1">
      <c r="A1190" s="15">
        <f t="shared" si="18"/>
        <v>1180</v>
      </c>
      <c r="B1190" s="168" t="s">
        <v>1782</v>
      </c>
      <c r="C1190" s="172" t="s">
        <v>1776</v>
      </c>
      <c r="D1190" s="176"/>
      <c r="E1190" s="176"/>
      <c r="F1190" s="176"/>
      <c r="G1190" s="15"/>
      <c r="H1190" s="141"/>
      <c r="I1190" s="153" t="s">
        <v>566</v>
      </c>
      <c r="J1190" s="153">
        <v>1</v>
      </c>
      <c r="K1190" s="156" t="s">
        <v>730</v>
      </c>
      <c r="L1190" s="142" t="s">
        <v>2518</v>
      </c>
      <c r="M1190" s="276" t="s">
        <v>3250</v>
      </c>
      <c r="N1190" s="144" t="s">
        <v>2575</v>
      </c>
      <c r="O1190" s="150"/>
      <c r="P1190" s="156"/>
      <c r="Q1190" s="156"/>
      <c r="R1190" s="144" t="s">
        <v>272</v>
      </c>
    </row>
    <row r="1191" spans="1:18" ht="35.25" customHeight="1">
      <c r="A1191" s="15">
        <f t="shared" si="18"/>
        <v>1181</v>
      </c>
      <c r="B1191" s="168" t="s">
        <v>1783</v>
      </c>
      <c r="C1191" s="172" t="s">
        <v>1776</v>
      </c>
      <c r="D1191" s="176"/>
      <c r="E1191" s="176"/>
      <c r="F1191" s="176"/>
      <c r="G1191" s="15"/>
      <c r="H1191" s="141"/>
      <c r="I1191" s="153" t="s">
        <v>566</v>
      </c>
      <c r="J1191" s="153">
        <v>1</v>
      </c>
      <c r="K1191" s="156" t="s">
        <v>730</v>
      </c>
      <c r="L1191" s="142" t="s">
        <v>2518</v>
      </c>
      <c r="M1191" s="276" t="s">
        <v>3250</v>
      </c>
      <c r="N1191" s="144" t="s">
        <v>2575</v>
      </c>
      <c r="O1191" s="150"/>
      <c r="P1191" s="156"/>
      <c r="Q1191" s="156"/>
      <c r="R1191" s="144" t="s">
        <v>272</v>
      </c>
    </row>
    <row r="1192" spans="1:18" ht="35.25" customHeight="1">
      <c r="A1192" s="15">
        <f t="shared" si="18"/>
        <v>1182</v>
      </c>
      <c r="B1192" s="168" t="s">
        <v>1784</v>
      </c>
      <c r="C1192" s="172" t="s">
        <v>1776</v>
      </c>
      <c r="D1192" s="176"/>
      <c r="E1192" s="176"/>
      <c r="F1192" s="176"/>
      <c r="G1192" s="15"/>
      <c r="H1192" s="141"/>
      <c r="I1192" s="153" t="s">
        <v>566</v>
      </c>
      <c r="J1192" s="153">
        <v>1</v>
      </c>
      <c r="K1192" s="156" t="s">
        <v>730</v>
      </c>
      <c r="L1192" s="142" t="s">
        <v>2518</v>
      </c>
      <c r="M1192" s="276" t="s">
        <v>3250</v>
      </c>
      <c r="N1192" s="144" t="s">
        <v>2575</v>
      </c>
      <c r="O1192" s="150"/>
      <c r="P1192" s="156"/>
      <c r="Q1192" s="156"/>
      <c r="R1192" s="144" t="s">
        <v>272</v>
      </c>
    </row>
    <row r="1193" spans="1:18" ht="35.25" customHeight="1">
      <c r="A1193" s="15">
        <f t="shared" si="18"/>
        <v>1183</v>
      </c>
      <c r="B1193" s="168" t="s">
        <v>1785</v>
      </c>
      <c r="C1193" s="172" t="s">
        <v>1786</v>
      </c>
      <c r="D1193" s="176"/>
      <c r="E1193" s="176"/>
      <c r="F1193" s="176"/>
      <c r="G1193" s="15"/>
      <c r="H1193" s="141"/>
      <c r="I1193" s="153" t="s">
        <v>566</v>
      </c>
      <c r="J1193" s="153">
        <v>1</v>
      </c>
      <c r="K1193" s="156" t="s">
        <v>730</v>
      </c>
      <c r="L1193" s="142" t="s">
        <v>2518</v>
      </c>
      <c r="M1193" s="276" t="s">
        <v>3250</v>
      </c>
      <c r="N1193" s="144" t="s">
        <v>2575</v>
      </c>
      <c r="O1193" s="150"/>
      <c r="P1193" s="156"/>
      <c r="Q1193" s="156"/>
      <c r="R1193" s="144" t="s">
        <v>272</v>
      </c>
    </row>
    <row r="1194" spans="1:18" ht="35.25" customHeight="1">
      <c r="A1194" s="15">
        <f t="shared" si="18"/>
        <v>1184</v>
      </c>
      <c r="B1194" s="168" t="s">
        <v>1787</v>
      </c>
      <c r="C1194" s="172" t="s">
        <v>1786</v>
      </c>
      <c r="D1194" s="176"/>
      <c r="E1194" s="176"/>
      <c r="F1194" s="176"/>
      <c r="G1194" s="15"/>
      <c r="H1194" s="141"/>
      <c r="I1194" s="153" t="s">
        <v>566</v>
      </c>
      <c r="J1194" s="153">
        <v>1</v>
      </c>
      <c r="K1194" s="156" t="s">
        <v>730</v>
      </c>
      <c r="L1194" s="142" t="s">
        <v>2518</v>
      </c>
      <c r="M1194" s="276" t="s">
        <v>3250</v>
      </c>
      <c r="N1194" s="144" t="s">
        <v>2575</v>
      </c>
      <c r="O1194" s="150"/>
      <c r="P1194" s="156"/>
      <c r="Q1194" s="156"/>
      <c r="R1194" s="144" t="s">
        <v>272</v>
      </c>
    </row>
    <row r="1195" spans="1:18" ht="35.25" customHeight="1">
      <c r="A1195" s="15">
        <f t="shared" si="18"/>
        <v>1185</v>
      </c>
      <c r="B1195" s="168" t="s">
        <v>1788</v>
      </c>
      <c r="C1195" s="172" t="s">
        <v>1789</v>
      </c>
      <c r="D1195" s="176"/>
      <c r="E1195" s="176"/>
      <c r="F1195" s="176"/>
      <c r="G1195" s="15"/>
      <c r="H1195" s="141"/>
      <c r="I1195" s="144" t="s">
        <v>18</v>
      </c>
      <c r="J1195" s="153">
        <v>6</v>
      </c>
      <c r="K1195" s="156" t="s">
        <v>730</v>
      </c>
      <c r="L1195" s="142" t="s">
        <v>2518</v>
      </c>
      <c r="M1195" s="276" t="s">
        <v>3250</v>
      </c>
      <c r="N1195" s="144" t="s">
        <v>2575</v>
      </c>
      <c r="O1195" s="150"/>
      <c r="P1195" s="156"/>
      <c r="Q1195" s="156"/>
      <c r="R1195" s="144" t="s">
        <v>272</v>
      </c>
    </row>
    <row r="1196" spans="1:18" ht="35.25" customHeight="1">
      <c r="A1196" s="15">
        <f t="shared" si="18"/>
        <v>1186</v>
      </c>
      <c r="B1196" s="11" t="s">
        <v>1790</v>
      </c>
      <c r="C1196" s="149" t="s">
        <v>1791</v>
      </c>
      <c r="D1196" s="176"/>
      <c r="E1196" s="176"/>
      <c r="F1196" s="176"/>
      <c r="G1196" s="144"/>
      <c r="H1196" s="141"/>
      <c r="I1196" s="153" t="s">
        <v>566</v>
      </c>
      <c r="J1196" s="143">
        <v>10</v>
      </c>
      <c r="K1196" s="156" t="s">
        <v>730</v>
      </c>
      <c r="L1196" s="142" t="s">
        <v>2518</v>
      </c>
      <c r="M1196" s="276" t="s">
        <v>3250</v>
      </c>
      <c r="N1196" s="144" t="s">
        <v>2575</v>
      </c>
      <c r="O1196" s="150"/>
      <c r="P1196" s="156"/>
      <c r="Q1196" s="156"/>
      <c r="R1196" s="144" t="s">
        <v>272</v>
      </c>
    </row>
    <row r="1197" spans="1:18" ht="35.25" customHeight="1">
      <c r="A1197" s="15">
        <f t="shared" si="18"/>
        <v>1187</v>
      </c>
      <c r="B1197" s="11" t="s">
        <v>1792</v>
      </c>
      <c r="C1197" s="149" t="s">
        <v>1791</v>
      </c>
      <c r="D1197" s="176"/>
      <c r="E1197" s="176"/>
      <c r="F1197" s="176"/>
      <c r="G1197" s="144"/>
      <c r="H1197" s="141"/>
      <c r="I1197" s="153" t="s">
        <v>566</v>
      </c>
      <c r="J1197" s="143">
        <v>10</v>
      </c>
      <c r="K1197" s="156" t="s">
        <v>730</v>
      </c>
      <c r="L1197" s="142" t="s">
        <v>2518</v>
      </c>
      <c r="M1197" s="276" t="s">
        <v>3250</v>
      </c>
      <c r="N1197" s="144" t="s">
        <v>2575</v>
      </c>
      <c r="O1197" s="150"/>
      <c r="P1197" s="156"/>
      <c r="Q1197" s="156"/>
      <c r="R1197" s="144" t="s">
        <v>272</v>
      </c>
    </row>
    <row r="1198" spans="1:18" ht="35.25" customHeight="1">
      <c r="A1198" s="15">
        <f t="shared" si="18"/>
        <v>1188</v>
      </c>
      <c r="B1198" s="11" t="s">
        <v>1793</v>
      </c>
      <c r="C1198" s="149" t="s">
        <v>1791</v>
      </c>
      <c r="D1198" s="176"/>
      <c r="E1198" s="176"/>
      <c r="F1198" s="176"/>
      <c r="G1198" s="144"/>
      <c r="H1198" s="141"/>
      <c r="I1198" s="153" t="s">
        <v>566</v>
      </c>
      <c r="J1198" s="143">
        <v>10</v>
      </c>
      <c r="K1198" s="156" t="s">
        <v>730</v>
      </c>
      <c r="L1198" s="142" t="s">
        <v>2518</v>
      </c>
      <c r="M1198" s="276" t="s">
        <v>3250</v>
      </c>
      <c r="N1198" s="144" t="s">
        <v>2575</v>
      </c>
      <c r="O1198" s="150"/>
      <c r="P1198" s="156"/>
      <c r="Q1198" s="156"/>
      <c r="R1198" s="144" t="s">
        <v>272</v>
      </c>
    </row>
    <row r="1199" spans="1:18" ht="35.25" customHeight="1">
      <c r="A1199" s="15">
        <f t="shared" si="18"/>
        <v>1189</v>
      </c>
      <c r="B1199" s="11" t="s">
        <v>1794</v>
      </c>
      <c r="C1199" s="149" t="s">
        <v>1791</v>
      </c>
      <c r="D1199" s="176"/>
      <c r="E1199" s="176"/>
      <c r="F1199" s="176"/>
      <c r="G1199" s="144"/>
      <c r="H1199" s="141"/>
      <c r="I1199" s="153" t="s">
        <v>566</v>
      </c>
      <c r="J1199" s="143">
        <v>10</v>
      </c>
      <c r="K1199" s="156" t="s">
        <v>730</v>
      </c>
      <c r="L1199" s="142" t="s">
        <v>2518</v>
      </c>
      <c r="M1199" s="276" t="s">
        <v>3250</v>
      </c>
      <c r="N1199" s="144" t="s">
        <v>2575</v>
      </c>
      <c r="O1199" s="150"/>
      <c r="P1199" s="156"/>
      <c r="Q1199" s="156"/>
      <c r="R1199" s="144" t="s">
        <v>272</v>
      </c>
    </row>
    <row r="1200" spans="1:18" ht="35.25" customHeight="1">
      <c r="A1200" s="15">
        <f t="shared" si="18"/>
        <v>1190</v>
      </c>
      <c r="B1200" s="11" t="s">
        <v>1795</v>
      </c>
      <c r="C1200" s="149" t="s">
        <v>1791</v>
      </c>
      <c r="D1200" s="176"/>
      <c r="E1200" s="176"/>
      <c r="F1200" s="176"/>
      <c r="G1200" s="144"/>
      <c r="H1200" s="141"/>
      <c r="I1200" s="153" t="s">
        <v>566</v>
      </c>
      <c r="J1200" s="143">
        <v>20</v>
      </c>
      <c r="K1200" s="156" t="s">
        <v>730</v>
      </c>
      <c r="L1200" s="142" t="s">
        <v>2518</v>
      </c>
      <c r="M1200" s="276" t="s">
        <v>3250</v>
      </c>
      <c r="N1200" s="144" t="s">
        <v>2575</v>
      </c>
      <c r="O1200" s="150"/>
      <c r="P1200" s="156"/>
      <c r="Q1200" s="156"/>
      <c r="R1200" s="144" t="s">
        <v>272</v>
      </c>
    </row>
    <row r="1201" spans="1:18" ht="35.25" customHeight="1">
      <c r="A1201" s="15">
        <f t="shared" si="18"/>
        <v>1191</v>
      </c>
      <c r="B1201" s="11" t="s">
        <v>1796</v>
      </c>
      <c r="C1201" s="149" t="s">
        <v>1797</v>
      </c>
      <c r="D1201" s="176"/>
      <c r="E1201" s="176"/>
      <c r="F1201" s="176"/>
      <c r="G1201" s="142" t="s">
        <v>2428</v>
      </c>
      <c r="H1201" s="141"/>
      <c r="I1201" s="153" t="s">
        <v>566</v>
      </c>
      <c r="J1201" s="153">
        <v>1</v>
      </c>
      <c r="K1201" s="156" t="s">
        <v>730</v>
      </c>
      <c r="L1201" s="142" t="s">
        <v>2518</v>
      </c>
      <c r="M1201" s="276" t="s">
        <v>3250</v>
      </c>
      <c r="N1201" s="144" t="s">
        <v>2575</v>
      </c>
      <c r="O1201" s="150"/>
      <c r="P1201" s="156"/>
      <c r="Q1201" s="156"/>
      <c r="R1201" s="144" t="s">
        <v>272</v>
      </c>
    </row>
    <row r="1202" spans="1:18" ht="35.25" customHeight="1">
      <c r="A1202" s="15">
        <f t="shared" si="18"/>
        <v>1192</v>
      </c>
      <c r="B1202" s="11" t="s">
        <v>1798</v>
      </c>
      <c r="C1202" s="149" t="s">
        <v>1797</v>
      </c>
      <c r="D1202" s="176"/>
      <c r="E1202" s="176"/>
      <c r="F1202" s="176"/>
      <c r="G1202" s="142" t="s">
        <v>2428</v>
      </c>
      <c r="H1202" s="141"/>
      <c r="I1202" s="153" t="s">
        <v>566</v>
      </c>
      <c r="J1202" s="153">
        <v>1</v>
      </c>
      <c r="K1202" s="156" t="s">
        <v>730</v>
      </c>
      <c r="L1202" s="142" t="s">
        <v>2518</v>
      </c>
      <c r="M1202" s="276" t="s">
        <v>3250</v>
      </c>
      <c r="N1202" s="144" t="s">
        <v>2575</v>
      </c>
      <c r="O1202" s="150"/>
      <c r="P1202" s="156"/>
      <c r="Q1202" s="156"/>
      <c r="R1202" s="144" t="s">
        <v>272</v>
      </c>
    </row>
    <row r="1203" spans="1:18" ht="35.25" customHeight="1">
      <c r="A1203" s="15">
        <f t="shared" si="18"/>
        <v>1193</v>
      </c>
      <c r="B1203" s="11" t="s">
        <v>1799</v>
      </c>
      <c r="C1203" s="149" t="s">
        <v>723</v>
      </c>
      <c r="D1203" s="176"/>
      <c r="E1203" s="176"/>
      <c r="F1203" s="176"/>
      <c r="G1203" s="142"/>
      <c r="H1203" s="141"/>
      <c r="I1203" s="153" t="s">
        <v>566</v>
      </c>
      <c r="J1203" s="153">
        <v>1</v>
      </c>
      <c r="K1203" s="156" t="s">
        <v>730</v>
      </c>
      <c r="L1203" s="142" t="s">
        <v>2518</v>
      </c>
      <c r="M1203" s="276" t="s">
        <v>3250</v>
      </c>
      <c r="N1203" s="144" t="s">
        <v>2575</v>
      </c>
      <c r="O1203" s="150"/>
      <c r="P1203" s="156"/>
      <c r="Q1203" s="156"/>
      <c r="R1203" s="144" t="s">
        <v>272</v>
      </c>
    </row>
    <row r="1204" spans="1:18" ht="35.25" customHeight="1">
      <c r="A1204" s="15">
        <f t="shared" si="18"/>
        <v>1194</v>
      </c>
      <c r="B1204" s="11" t="s">
        <v>1800</v>
      </c>
      <c r="C1204" s="149" t="s">
        <v>723</v>
      </c>
      <c r="D1204" s="176"/>
      <c r="E1204" s="176"/>
      <c r="F1204" s="176"/>
      <c r="G1204" s="64"/>
      <c r="H1204" s="141"/>
      <c r="I1204" s="153" t="s">
        <v>566</v>
      </c>
      <c r="J1204" s="153">
        <v>1</v>
      </c>
      <c r="K1204" s="156" t="s">
        <v>730</v>
      </c>
      <c r="L1204" s="142" t="s">
        <v>2518</v>
      </c>
      <c r="M1204" s="276" t="s">
        <v>3250</v>
      </c>
      <c r="N1204" s="144" t="s">
        <v>2575</v>
      </c>
      <c r="O1204" s="150"/>
      <c r="P1204" s="156"/>
      <c r="Q1204" s="156"/>
      <c r="R1204" s="144" t="s">
        <v>272</v>
      </c>
    </row>
    <row r="1205" spans="1:18" ht="35.25" customHeight="1">
      <c r="A1205" s="15">
        <f t="shared" si="18"/>
        <v>1195</v>
      </c>
      <c r="B1205" s="11" t="s">
        <v>1801</v>
      </c>
      <c r="C1205" s="149" t="s">
        <v>723</v>
      </c>
      <c r="D1205" s="176"/>
      <c r="E1205" s="176"/>
      <c r="F1205" s="176"/>
      <c r="G1205" s="64"/>
      <c r="H1205" s="141"/>
      <c r="I1205" s="153" t="s">
        <v>566</v>
      </c>
      <c r="J1205" s="153">
        <v>1</v>
      </c>
      <c r="K1205" s="156" t="s">
        <v>730</v>
      </c>
      <c r="L1205" s="142" t="s">
        <v>2518</v>
      </c>
      <c r="M1205" s="276" t="s">
        <v>3250</v>
      </c>
      <c r="N1205" s="144" t="s">
        <v>2575</v>
      </c>
      <c r="O1205" s="150"/>
      <c r="P1205" s="156"/>
      <c r="Q1205" s="156"/>
      <c r="R1205" s="144" t="s">
        <v>272</v>
      </c>
    </row>
    <row r="1206" spans="1:18" ht="35.25" customHeight="1">
      <c r="A1206" s="15">
        <f t="shared" si="18"/>
        <v>1196</v>
      </c>
      <c r="B1206" s="11" t="s">
        <v>1802</v>
      </c>
      <c r="C1206" s="149" t="s">
        <v>723</v>
      </c>
      <c r="D1206" s="176"/>
      <c r="E1206" s="176"/>
      <c r="F1206" s="176"/>
      <c r="G1206" s="64"/>
      <c r="H1206" s="141"/>
      <c r="I1206" s="153" t="s">
        <v>566</v>
      </c>
      <c r="J1206" s="153">
        <v>1</v>
      </c>
      <c r="K1206" s="156" t="s">
        <v>730</v>
      </c>
      <c r="L1206" s="142" t="s">
        <v>2518</v>
      </c>
      <c r="M1206" s="276" t="s">
        <v>3250</v>
      </c>
      <c r="N1206" s="144" t="s">
        <v>2575</v>
      </c>
      <c r="O1206" s="150"/>
      <c r="P1206" s="156"/>
      <c r="Q1206" s="156"/>
      <c r="R1206" s="144" t="s">
        <v>272</v>
      </c>
    </row>
    <row r="1207" spans="1:18" ht="35.25" customHeight="1">
      <c r="A1207" s="15">
        <f t="shared" si="18"/>
        <v>1197</v>
      </c>
      <c r="B1207" s="11" t="s">
        <v>1803</v>
      </c>
      <c r="C1207" s="149" t="s">
        <v>723</v>
      </c>
      <c r="D1207" s="176"/>
      <c r="E1207" s="176"/>
      <c r="F1207" s="176"/>
      <c r="G1207" s="64"/>
      <c r="H1207" s="141"/>
      <c r="I1207" s="153" t="s">
        <v>566</v>
      </c>
      <c r="J1207" s="153">
        <v>1</v>
      </c>
      <c r="K1207" s="156" t="s">
        <v>730</v>
      </c>
      <c r="L1207" s="142" t="s">
        <v>2518</v>
      </c>
      <c r="M1207" s="276" t="s">
        <v>3250</v>
      </c>
      <c r="N1207" s="144" t="s">
        <v>2575</v>
      </c>
      <c r="O1207" s="150"/>
      <c r="P1207" s="156"/>
      <c r="Q1207" s="156"/>
      <c r="R1207" s="144" t="s">
        <v>272</v>
      </c>
    </row>
    <row r="1208" spans="1:18" ht="35.25" customHeight="1">
      <c r="A1208" s="15">
        <f t="shared" si="18"/>
        <v>1198</v>
      </c>
      <c r="B1208" s="11" t="s">
        <v>1804</v>
      </c>
      <c r="C1208" s="149" t="s">
        <v>723</v>
      </c>
      <c r="D1208" s="176"/>
      <c r="E1208" s="176"/>
      <c r="F1208" s="176"/>
      <c r="G1208" s="64"/>
      <c r="H1208" s="141"/>
      <c r="I1208" s="153" t="s">
        <v>566</v>
      </c>
      <c r="J1208" s="153">
        <v>1</v>
      </c>
      <c r="K1208" s="156" t="s">
        <v>730</v>
      </c>
      <c r="L1208" s="142" t="s">
        <v>2518</v>
      </c>
      <c r="M1208" s="276" t="s">
        <v>3250</v>
      </c>
      <c r="N1208" s="144" t="s">
        <v>2575</v>
      </c>
      <c r="O1208" s="150"/>
      <c r="P1208" s="156"/>
      <c r="Q1208" s="156"/>
      <c r="R1208" s="144" t="s">
        <v>272</v>
      </c>
    </row>
    <row r="1209" spans="1:18" ht="35.25" customHeight="1">
      <c r="A1209" s="15">
        <f t="shared" si="18"/>
        <v>1199</v>
      </c>
      <c r="B1209" s="11" t="s">
        <v>1805</v>
      </c>
      <c r="C1209" s="149" t="s">
        <v>723</v>
      </c>
      <c r="D1209" s="176"/>
      <c r="E1209" s="176"/>
      <c r="F1209" s="176"/>
      <c r="G1209" s="64"/>
      <c r="H1209" s="141"/>
      <c r="I1209" s="153" t="s">
        <v>566</v>
      </c>
      <c r="J1209" s="153">
        <v>1</v>
      </c>
      <c r="K1209" s="156" t="s">
        <v>730</v>
      </c>
      <c r="L1209" s="142" t="s">
        <v>2518</v>
      </c>
      <c r="M1209" s="276" t="s">
        <v>3250</v>
      </c>
      <c r="N1209" s="144" t="s">
        <v>2575</v>
      </c>
      <c r="O1209" s="150"/>
      <c r="P1209" s="156"/>
      <c r="Q1209" s="156"/>
      <c r="R1209" s="144" t="s">
        <v>272</v>
      </c>
    </row>
    <row r="1210" spans="1:18" ht="35.25" customHeight="1">
      <c r="A1210" s="15">
        <f t="shared" si="18"/>
        <v>1200</v>
      </c>
      <c r="B1210" s="11" t="s">
        <v>1806</v>
      </c>
      <c r="C1210" s="149" t="s">
        <v>723</v>
      </c>
      <c r="D1210" s="176"/>
      <c r="E1210" s="176"/>
      <c r="F1210" s="176"/>
      <c r="G1210" s="64"/>
      <c r="H1210" s="141"/>
      <c r="I1210" s="153" t="s">
        <v>566</v>
      </c>
      <c r="J1210" s="153">
        <v>1</v>
      </c>
      <c r="K1210" s="156" t="s">
        <v>730</v>
      </c>
      <c r="L1210" s="142" t="s">
        <v>2518</v>
      </c>
      <c r="M1210" s="276" t="s">
        <v>3250</v>
      </c>
      <c r="N1210" s="144" t="s">
        <v>2575</v>
      </c>
      <c r="O1210" s="150"/>
      <c r="P1210" s="156"/>
      <c r="Q1210" s="156"/>
      <c r="R1210" s="144" t="s">
        <v>272</v>
      </c>
    </row>
    <row r="1211" spans="1:18" ht="35.25" customHeight="1">
      <c r="A1211" s="15">
        <f t="shared" si="18"/>
        <v>1201</v>
      </c>
      <c r="B1211" s="11" t="s">
        <v>1807</v>
      </c>
      <c r="C1211" s="149" t="s">
        <v>723</v>
      </c>
      <c r="D1211" s="176"/>
      <c r="E1211" s="176"/>
      <c r="F1211" s="176"/>
      <c r="G1211" s="64"/>
      <c r="H1211" s="141"/>
      <c r="I1211" s="153" t="s">
        <v>566</v>
      </c>
      <c r="J1211" s="153">
        <v>1</v>
      </c>
      <c r="K1211" s="156" t="s">
        <v>730</v>
      </c>
      <c r="L1211" s="142" t="s">
        <v>2518</v>
      </c>
      <c r="M1211" s="276" t="s">
        <v>3250</v>
      </c>
      <c r="N1211" s="144" t="s">
        <v>2575</v>
      </c>
      <c r="O1211" s="150"/>
      <c r="P1211" s="156"/>
      <c r="Q1211" s="156"/>
      <c r="R1211" s="144" t="s">
        <v>272</v>
      </c>
    </row>
    <row r="1212" spans="1:18" ht="35.25" customHeight="1">
      <c r="A1212" s="15">
        <f t="shared" si="18"/>
        <v>1202</v>
      </c>
      <c r="B1212" s="11" t="s">
        <v>1808</v>
      </c>
      <c r="C1212" s="149" t="s">
        <v>723</v>
      </c>
      <c r="D1212" s="176"/>
      <c r="E1212" s="176"/>
      <c r="F1212" s="176"/>
      <c r="G1212" s="64"/>
      <c r="H1212" s="141"/>
      <c r="I1212" s="153" t="s">
        <v>566</v>
      </c>
      <c r="J1212" s="153">
        <v>1</v>
      </c>
      <c r="K1212" s="156" t="s">
        <v>730</v>
      </c>
      <c r="L1212" s="142" t="s">
        <v>2518</v>
      </c>
      <c r="M1212" s="276" t="s">
        <v>3250</v>
      </c>
      <c r="N1212" s="144" t="s">
        <v>2575</v>
      </c>
      <c r="O1212" s="150"/>
      <c r="P1212" s="156"/>
      <c r="Q1212" s="156"/>
      <c r="R1212" s="144" t="s">
        <v>272</v>
      </c>
    </row>
    <row r="1213" spans="1:18" ht="35.25" customHeight="1">
      <c r="A1213" s="15">
        <f t="shared" si="18"/>
        <v>1203</v>
      </c>
      <c r="B1213" s="11" t="s">
        <v>1809</v>
      </c>
      <c r="C1213" s="149" t="s">
        <v>723</v>
      </c>
      <c r="D1213" s="176"/>
      <c r="E1213" s="176"/>
      <c r="F1213" s="176"/>
      <c r="G1213" s="64"/>
      <c r="H1213" s="141"/>
      <c r="I1213" s="153" t="s">
        <v>566</v>
      </c>
      <c r="J1213" s="153">
        <v>1</v>
      </c>
      <c r="K1213" s="156" t="s">
        <v>730</v>
      </c>
      <c r="L1213" s="142" t="s">
        <v>2518</v>
      </c>
      <c r="M1213" s="276" t="s">
        <v>3250</v>
      </c>
      <c r="N1213" s="144" t="s">
        <v>2575</v>
      </c>
      <c r="O1213" s="150"/>
      <c r="P1213" s="156"/>
      <c r="Q1213" s="156"/>
      <c r="R1213" s="144" t="s">
        <v>272</v>
      </c>
    </row>
    <row r="1214" spans="1:18" ht="35.25" customHeight="1">
      <c r="A1214" s="15">
        <f t="shared" si="18"/>
        <v>1204</v>
      </c>
      <c r="B1214" s="11" t="s">
        <v>1810</v>
      </c>
      <c r="C1214" s="149" t="s">
        <v>723</v>
      </c>
      <c r="D1214" s="176"/>
      <c r="E1214" s="176"/>
      <c r="F1214" s="176"/>
      <c r="G1214" s="64"/>
      <c r="H1214" s="141"/>
      <c r="I1214" s="153" t="s">
        <v>566</v>
      </c>
      <c r="J1214" s="153">
        <v>1</v>
      </c>
      <c r="K1214" s="156" t="s">
        <v>730</v>
      </c>
      <c r="L1214" s="142" t="s">
        <v>2518</v>
      </c>
      <c r="M1214" s="276" t="s">
        <v>3250</v>
      </c>
      <c r="N1214" s="144" t="s">
        <v>2575</v>
      </c>
      <c r="O1214" s="150"/>
      <c r="P1214" s="156"/>
      <c r="Q1214" s="156"/>
      <c r="R1214" s="144" t="s">
        <v>272</v>
      </c>
    </row>
    <row r="1215" spans="1:18" ht="35.25" customHeight="1">
      <c r="A1215" s="15">
        <f t="shared" si="18"/>
        <v>1205</v>
      </c>
      <c r="B1215" s="11" t="s">
        <v>1811</v>
      </c>
      <c r="C1215" s="149" t="s">
        <v>723</v>
      </c>
      <c r="D1215" s="176"/>
      <c r="E1215" s="176"/>
      <c r="F1215" s="176"/>
      <c r="G1215" s="64"/>
      <c r="H1215" s="141"/>
      <c r="I1215" s="153" t="s">
        <v>566</v>
      </c>
      <c r="J1215" s="153">
        <v>1</v>
      </c>
      <c r="K1215" s="156" t="s">
        <v>730</v>
      </c>
      <c r="L1215" s="142" t="s">
        <v>2518</v>
      </c>
      <c r="M1215" s="276" t="s">
        <v>3250</v>
      </c>
      <c r="N1215" s="144" t="s">
        <v>2575</v>
      </c>
      <c r="O1215" s="150"/>
      <c r="P1215" s="156"/>
      <c r="Q1215" s="156"/>
      <c r="R1215" s="144" t="s">
        <v>272</v>
      </c>
    </row>
    <row r="1216" spans="1:18" ht="35.25" customHeight="1">
      <c r="A1216" s="15">
        <f t="shared" si="18"/>
        <v>1206</v>
      </c>
      <c r="B1216" s="11" t="s">
        <v>1812</v>
      </c>
      <c r="C1216" s="149" t="s">
        <v>723</v>
      </c>
      <c r="D1216" s="176"/>
      <c r="E1216" s="176"/>
      <c r="F1216" s="176"/>
      <c r="G1216" s="64"/>
      <c r="H1216" s="141"/>
      <c r="I1216" s="153" t="s">
        <v>566</v>
      </c>
      <c r="J1216" s="153">
        <v>1</v>
      </c>
      <c r="K1216" s="156" t="s">
        <v>730</v>
      </c>
      <c r="L1216" s="142" t="s">
        <v>2518</v>
      </c>
      <c r="M1216" s="276" t="s">
        <v>3250</v>
      </c>
      <c r="N1216" s="144" t="s">
        <v>2575</v>
      </c>
      <c r="O1216" s="150"/>
      <c r="P1216" s="169"/>
      <c r="Q1216" s="169"/>
      <c r="R1216" s="144" t="s">
        <v>272</v>
      </c>
    </row>
    <row r="1217" spans="1:18" ht="35.25" customHeight="1">
      <c r="A1217" s="15">
        <f t="shared" si="18"/>
        <v>1207</v>
      </c>
      <c r="B1217" s="11" t="s">
        <v>1813</v>
      </c>
      <c r="C1217" s="149" t="s">
        <v>723</v>
      </c>
      <c r="D1217" s="176"/>
      <c r="E1217" s="176"/>
      <c r="F1217" s="176"/>
      <c r="G1217" s="64"/>
      <c r="H1217" s="141"/>
      <c r="I1217" s="153" t="s">
        <v>566</v>
      </c>
      <c r="J1217" s="153">
        <v>1</v>
      </c>
      <c r="K1217" s="156" t="s">
        <v>730</v>
      </c>
      <c r="L1217" s="142" t="s">
        <v>2518</v>
      </c>
      <c r="M1217" s="276" t="s">
        <v>3250</v>
      </c>
      <c r="N1217" s="144" t="s">
        <v>2575</v>
      </c>
      <c r="O1217" s="150"/>
      <c r="P1217" s="156"/>
      <c r="Q1217" s="156"/>
      <c r="R1217" s="144" t="s">
        <v>272</v>
      </c>
    </row>
    <row r="1218" spans="1:18" ht="35.25" customHeight="1">
      <c r="A1218" s="15">
        <f t="shared" si="18"/>
        <v>1208</v>
      </c>
      <c r="B1218" s="11" t="s">
        <v>1814</v>
      </c>
      <c r="C1218" s="149" t="s">
        <v>723</v>
      </c>
      <c r="D1218" s="176"/>
      <c r="E1218" s="176"/>
      <c r="F1218" s="176"/>
      <c r="G1218" s="64"/>
      <c r="H1218" s="141"/>
      <c r="I1218" s="153" t="s">
        <v>566</v>
      </c>
      <c r="J1218" s="153">
        <v>1</v>
      </c>
      <c r="K1218" s="156" t="s">
        <v>730</v>
      </c>
      <c r="L1218" s="142" t="s">
        <v>2518</v>
      </c>
      <c r="M1218" s="276" t="s">
        <v>3250</v>
      </c>
      <c r="N1218" s="144" t="s">
        <v>2575</v>
      </c>
      <c r="O1218" s="150"/>
      <c r="P1218" s="156"/>
      <c r="Q1218" s="156"/>
      <c r="R1218" s="144" t="s">
        <v>272</v>
      </c>
    </row>
    <row r="1219" spans="1:18" ht="35.25" customHeight="1">
      <c r="A1219" s="15">
        <f t="shared" si="18"/>
        <v>1209</v>
      </c>
      <c r="B1219" s="11" t="s">
        <v>1815</v>
      </c>
      <c r="C1219" s="149" t="s">
        <v>723</v>
      </c>
      <c r="D1219" s="176"/>
      <c r="E1219" s="176"/>
      <c r="F1219" s="176"/>
      <c r="G1219" s="64"/>
      <c r="H1219" s="141"/>
      <c r="I1219" s="153" t="s">
        <v>566</v>
      </c>
      <c r="J1219" s="153">
        <v>1</v>
      </c>
      <c r="K1219" s="156" t="s">
        <v>730</v>
      </c>
      <c r="L1219" s="142" t="s">
        <v>2518</v>
      </c>
      <c r="M1219" s="276" t="s">
        <v>3250</v>
      </c>
      <c r="N1219" s="144" t="s">
        <v>2575</v>
      </c>
      <c r="O1219" s="150"/>
      <c r="P1219" s="156"/>
      <c r="Q1219" s="156"/>
      <c r="R1219" s="144" t="s">
        <v>272</v>
      </c>
    </row>
    <row r="1220" spans="1:18" ht="35.25" customHeight="1">
      <c r="A1220" s="15">
        <f t="shared" si="18"/>
        <v>1210</v>
      </c>
      <c r="B1220" s="11" t="s">
        <v>1816</v>
      </c>
      <c r="C1220" s="149" t="s">
        <v>723</v>
      </c>
      <c r="D1220" s="176"/>
      <c r="E1220" s="176"/>
      <c r="F1220" s="176"/>
      <c r="G1220" s="64"/>
      <c r="H1220" s="141"/>
      <c r="I1220" s="153" t="s">
        <v>566</v>
      </c>
      <c r="J1220" s="153">
        <v>1</v>
      </c>
      <c r="K1220" s="156" t="s">
        <v>730</v>
      </c>
      <c r="L1220" s="142" t="s">
        <v>2518</v>
      </c>
      <c r="M1220" s="276" t="s">
        <v>3250</v>
      </c>
      <c r="N1220" s="144" t="s">
        <v>2575</v>
      </c>
      <c r="O1220" s="150"/>
      <c r="P1220" s="156"/>
      <c r="Q1220" s="156"/>
      <c r="R1220" s="144" t="s">
        <v>272</v>
      </c>
    </row>
    <row r="1221" spans="1:18" ht="35.25" customHeight="1">
      <c r="A1221" s="15">
        <f t="shared" si="18"/>
        <v>1211</v>
      </c>
      <c r="B1221" s="11" t="s">
        <v>1817</v>
      </c>
      <c r="C1221" s="149" t="s">
        <v>723</v>
      </c>
      <c r="D1221" s="46"/>
      <c r="E1221" s="46"/>
      <c r="F1221" s="46"/>
      <c r="G1221" s="64"/>
      <c r="H1221" s="141"/>
      <c r="I1221" s="153" t="s">
        <v>566</v>
      </c>
      <c r="J1221" s="153">
        <v>1</v>
      </c>
      <c r="K1221" s="156" t="s">
        <v>730</v>
      </c>
      <c r="L1221" s="142" t="s">
        <v>2518</v>
      </c>
      <c r="M1221" s="276" t="s">
        <v>3250</v>
      </c>
      <c r="N1221" s="144" t="s">
        <v>2575</v>
      </c>
      <c r="O1221" s="150"/>
      <c r="P1221" s="156"/>
      <c r="Q1221" s="156"/>
      <c r="R1221" s="144" t="s">
        <v>272</v>
      </c>
    </row>
    <row r="1222" spans="1:18" ht="35.25" customHeight="1">
      <c r="A1222" s="15">
        <f t="shared" si="18"/>
        <v>1212</v>
      </c>
      <c r="B1222" s="11" t="s">
        <v>1818</v>
      </c>
      <c r="C1222" s="149" t="s">
        <v>723</v>
      </c>
      <c r="D1222" s="46"/>
      <c r="E1222" s="46"/>
      <c r="F1222" s="46"/>
      <c r="G1222" s="64"/>
      <c r="H1222" s="141"/>
      <c r="I1222" s="153" t="s">
        <v>566</v>
      </c>
      <c r="J1222" s="153">
        <v>1</v>
      </c>
      <c r="K1222" s="156" t="s">
        <v>730</v>
      </c>
      <c r="L1222" s="142" t="s">
        <v>2518</v>
      </c>
      <c r="M1222" s="276" t="s">
        <v>3250</v>
      </c>
      <c r="N1222" s="144" t="s">
        <v>2575</v>
      </c>
      <c r="O1222" s="150"/>
      <c r="P1222" s="156"/>
      <c r="Q1222" s="156"/>
      <c r="R1222" s="144" t="s">
        <v>272</v>
      </c>
    </row>
    <row r="1223" spans="1:18" ht="35.25" customHeight="1">
      <c r="A1223" s="15">
        <f t="shared" si="18"/>
        <v>1213</v>
      </c>
      <c r="B1223" s="11" t="s">
        <v>1819</v>
      </c>
      <c r="C1223" s="149" t="s">
        <v>723</v>
      </c>
      <c r="D1223" s="156"/>
      <c r="E1223" s="156"/>
      <c r="F1223" s="156"/>
      <c r="G1223" s="64"/>
      <c r="H1223" s="141"/>
      <c r="I1223" s="153" t="s">
        <v>566</v>
      </c>
      <c r="J1223" s="153">
        <v>1</v>
      </c>
      <c r="K1223" s="156" t="s">
        <v>730</v>
      </c>
      <c r="L1223" s="142" t="s">
        <v>2518</v>
      </c>
      <c r="M1223" s="276" t="s">
        <v>3250</v>
      </c>
      <c r="N1223" s="144" t="s">
        <v>2575</v>
      </c>
      <c r="O1223" s="150"/>
      <c r="P1223" s="156"/>
      <c r="Q1223" s="156"/>
      <c r="R1223" s="144" t="s">
        <v>272</v>
      </c>
    </row>
    <row r="1224" spans="1:18" ht="35.25" customHeight="1">
      <c r="A1224" s="15">
        <f t="shared" si="18"/>
        <v>1214</v>
      </c>
      <c r="B1224" s="11" t="s">
        <v>1820</v>
      </c>
      <c r="C1224" s="149" t="s">
        <v>723</v>
      </c>
      <c r="D1224" s="156"/>
      <c r="E1224" s="156"/>
      <c r="F1224" s="156"/>
      <c r="G1224" s="64"/>
      <c r="H1224" s="141"/>
      <c r="I1224" s="153" t="s">
        <v>566</v>
      </c>
      <c r="J1224" s="153">
        <v>1</v>
      </c>
      <c r="K1224" s="156" t="s">
        <v>730</v>
      </c>
      <c r="L1224" s="142" t="s">
        <v>2518</v>
      </c>
      <c r="M1224" s="276" t="s">
        <v>3250</v>
      </c>
      <c r="N1224" s="144" t="s">
        <v>2575</v>
      </c>
      <c r="O1224" s="150"/>
      <c r="P1224" s="156"/>
      <c r="Q1224" s="156"/>
      <c r="R1224" s="144" t="s">
        <v>272</v>
      </c>
    </row>
    <row r="1225" spans="1:18" ht="35.25" customHeight="1">
      <c r="A1225" s="15">
        <f t="shared" si="18"/>
        <v>1215</v>
      </c>
      <c r="B1225" s="11" t="s">
        <v>1821</v>
      </c>
      <c r="C1225" s="149" t="s">
        <v>723</v>
      </c>
      <c r="D1225" s="156"/>
      <c r="E1225" s="156"/>
      <c r="F1225" s="156"/>
      <c r="G1225" s="64"/>
      <c r="H1225" s="141"/>
      <c r="I1225" s="153" t="s">
        <v>566</v>
      </c>
      <c r="J1225" s="153">
        <v>1</v>
      </c>
      <c r="K1225" s="156" t="s">
        <v>730</v>
      </c>
      <c r="L1225" s="142" t="s">
        <v>2518</v>
      </c>
      <c r="M1225" s="276" t="s">
        <v>3250</v>
      </c>
      <c r="N1225" s="144" t="s">
        <v>2575</v>
      </c>
      <c r="O1225" s="150"/>
      <c r="P1225" s="156"/>
      <c r="Q1225" s="156"/>
      <c r="R1225" s="144" t="s">
        <v>272</v>
      </c>
    </row>
    <row r="1226" spans="1:18" ht="35.25" customHeight="1">
      <c r="A1226" s="15">
        <f t="shared" si="18"/>
        <v>1216</v>
      </c>
      <c r="B1226" s="11" t="s">
        <v>1822</v>
      </c>
      <c r="C1226" s="149" t="s">
        <v>723</v>
      </c>
      <c r="D1226" s="156"/>
      <c r="E1226" s="156"/>
      <c r="F1226" s="156"/>
      <c r="G1226" s="64"/>
      <c r="H1226" s="141"/>
      <c r="I1226" s="153" t="s">
        <v>566</v>
      </c>
      <c r="J1226" s="153">
        <v>1</v>
      </c>
      <c r="K1226" s="156" t="s">
        <v>730</v>
      </c>
      <c r="L1226" s="142" t="s">
        <v>2518</v>
      </c>
      <c r="M1226" s="276" t="s">
        <v>3250</v>
      </c>
      <c r="N1226" s="144" t="s">
        <v>2575</v>
      </c>
      <c r="O1226" s="150"/>
      <c r="P1226" s="156"/>
      <c r="Q1226" s="156"/>
      <c r="R1226" s="144" t="s">
        <v>272</v>
      </c>
    </row>
    <row r="1227" spans="1:18" ht="35.25" customHeight="1">
      <c r="A1227" s="15">
        <f t="shared" si="18"/>
        <v>1217</v>
      </c>
      <c r="B1227" s="11" t="s">
        <v>1823</v>
      </c>
      <c r="C1227" s="149" t="s">
        <v>723</v>
      </c>
      <c r="D1227" s="156"/>
      <c r="E1227" s="156"/>
      <c r="F1227" s="156"/>
      <c r="G1227" s="64"/>
      <c r="H1227" s="141"/>
      <c r="I1227" s="153" t="s">
        <v>566</v>
      </c>
      <c r="J1227" s="153">
        <v>1</v>
      </c>
      <c r="K1227" s="156" t="s">
        <v>730</v>
      </c>
      <c r="L1227" s="142" t="s">
        <v>2518</v>
      </c>
      <c r="M1227" s="276" t="s">
        <v>3250</v>
      </c>
      <c r="N1227" s="144" t="s">
        <v>2575</v>
      </c>
      <c r="O1227" s="150"/>
      <c r="P1227" s="156"/>
      <c r="Q1227" s="156"/>
      <c r="R1227" s="144" t="s">
        <v>272</v>
      </c>
    </row>
    <row r="1228" spans="1:18" ht="35.25" customHeight="1">
      <c r="A1228" s="15">
        <f t="shared" si="18"/>
        <v>1218</v>
      </c>
      <c r="B1228" s="11" t="s">
        <v>1824</v>
      </c>
      <c r="C1228" s="149" t="s">
        <v>723</v>
      </c>
      <c r="D1228" s="176"/>
      <c r="E1228" s="176"/>
      <c r="F1228" s="176"/>
      <c r="G1228" s="64"/>
      <c r="H1228" s="141"/>
      <c r="I1228" s="153" t="s">
        <v>566</v>
      </c>
      <c r="J1228" s="153">
        <v>1</v>
      </c>
      <c r="K1228" s="156" t="s">
        <v>730</v>
      </c>
      <c r="L1228" s="142" t="s">
        <v>2518</v>
      </c>
      <c r="M1228" s="276" t="s">
        <v>3250</v>
      </c>
      <c r="N1228" s="144" t="s">
        <v>2575</v>
      </c>
      <c r="O1228" s="150"/>
      <c r="P1228" s="156"/>
      <c r="Q1228" s="156"/>
      <c r="R1228" s="144" t="s">
        <v>272</v>
      </c>
    </row>
    <row r="1229" spans="1:18" ht="35.25" customHeight="1">
      <c r="A1229" s="15">
        <f t="shared" si="18"/>
        <v>1219</v>
      </c>
      <c r="B1229" s="11" t="s">
        <v>1825</v>
      </c>
      <c r="C1229" s="149" t="s">
        <v>723</v>
      </c>
      <c r="D1229" s="176"/>
      <c r="E1229" s="176"/>
      <c r="F1229" s="176"/>
      <c r="G1229" s="64"/>
      <c r="H1229" s="141"/>
      <c r="I1229" s="153" t="s">
        <v>566</v>
      </c>
      <c r="J1229" s="153">
        <v>1</v>
      </c>
      <c r="K1229" s="156" t="s">
        <v>730</v>
      </c>
      <c r="L1229" s="142" t="s">
        <v>2518</v>
      </c>
      <c r="M1229" s="276" t="s">
        <v>3250</v>
      </c>
      <c r="N1229" s="144" t="s">
        <v>2575</v>
      </c>
      <c r="O1229" s="150"/>
      <c r="P1229" s="156"/>
      <c r="Q1229" s="156"/>
      <c r="R1229" s="144" t="s">
        <v>272</v>
      </c>
    </row>
    <row r="1230" spans="1:18" ht="35.25" customHeight="1">
      <c r="A1230" s="15">
        <f t="shared" si="18"/>
        <v>1220</v>
      </c>
      <c r="B1230" s="11" t="s">
        <v>1826</v>
      </c>
      <c r="C1230" s="149" t="s">
        <v>723</v>
      </c>
      <c r="D1230" s="176"/>
      <c r="E1230" s="176"/>
      <c r="F1230" s="176"/>
      <c r="G1230" s="64"/>
      <c r="H1230" s="141"/>
      <c r="I1230" s="153" t="s">
        <v>566</v>
      </c>
      <c r="J1230" s="153">
        <v>1</v>
      </c>
      <c r="K1230" s="156" t="s">
        <v>730</v>
      </c>
      <c r="L1230" s="142" t="s">
        <v>2518</v>
      </c>
      <c r="M1230" s="276" t="s">
        <v>3250</v>
      </c>
      <c r="N1230" s="144" t="s">
        <v>2575</v>
      </c>
      <c r="O1230" s="150"/>
      <c r="P1230" s="156"/>
      <c r="Q1230" s="156"/>
      <c r="R1230" s="144" t="s">
        <v>272</v>
      </c>
    </row>
    <row r="1231" spans="1:18" ht="35.25" customHeight="1">
      <c r="A1231" s="15">
        <f t="shared" si="18"/>
        <v>1221</v>
      </c>
      <c r="B1231" s="11" t="s">
        <v>1827</v>
      </c>
      <c r="C1231" s="149" t="s">
        <v>723</v>
      </c>
      <c r="D1231" s="176"/>
      <c r="E1231" s="176"/>
      <c r="F1231" s="176"/>
      <c r="G1231" s="64"/>
      <c r="H1231" s="141"/>
      <c r="I1231" s="153" t="s">
        <v>566</v>
      </c>
      <c r="J1231" s="153">
        <v>1</v>
      </c>
      <c r="K1231" s="156" t="s">
        <v>730</v>
      </c>
      <c r="L1231" s="142" t="s">
        <v>2518</v>
      </c>
      <c r="M1231" s="276" t="s">
        <v>3250</v>
      </c>
      <c r="N1231" s="144" t="s">
        <v>2575</v>
      </c>
      <c r="O1231" s="150"/>
      <c r="P1231" s="156"/>
      <c r="Q1231" s="156"/>
      <c r="R1231" s="144" t="s">
        <v>272</v>
      </c>
    </row>
    <row r="1232" spans="1:18" ht="35.25" customHeight="1">
      <c r="A1232" s="15">
        <f t="shared" si="18"/>
        <v>1222</v>
      </c>
      <c r="B1232" s="11" t="s">
        <v>1828</v>
      </c>
      <c r="C1232" s="149" t="s">
        <v>723</v>
      </c>
      <c r="D1232" s="156"/>
      <c r="E1232" s="156"/>
      <c r="F1232" s="156"/>
      <c r="G1232" s="64"/>
      <c r="H1232" s="141"/>
      <c r="I1232" s="153" t="s">
        <v>566</v>
      </c>
      <c r="J1232" s="153">
        <v>1</v>
      </c>
      <c r="K1232" s="156" t="s">
        <v>730</v>
      </c>
      <c r="L1232" s="142" t="s">
        <v>2518</v>
      </c>
      <c r="M1232" s="276" t="s">
        <v>3250</v>
      </c>
      <c r="N1232" s="144" t="s">
        <v>2575</v>
      </c>
      <c r="O1232" s="150"/>
      <c r="P1232" s="156"/>
      <c r="Q1232" s="156"/>
      <c r="R1232" s="144" t="s">
        <v>272</v>
      </c>
    </row>
    <row r="1233" spans="1:18" ht="35.25" customHeight="1">
      <c r="A1233" s="15">
        <f t="shared" si="18"/>
        <v>1223</v>
      </c>
      <c r="B1233" s="11" t="s">
        <v>1829</v>
      </c>
      <c r="C1233" s="149" t="s">
        <v>723</v>
      </c>
      <c r="D1233" s="156"/>
      <c r="E1233" s="156"/>
      <c r="F1233" s="156"/>
      <c r="G1233" s="64"/>
      <c r="H1233" s="141"/>
      <c r="I1233" s="153" t="s">
        <v>566</v>
      </c>
      <c r="J1233" s="153">
        <v>1</v>
      </c>
      <c r="K1233" s="156" t="s">
        <v>730</v>
      </c>
      <c r="L1233" s="142" t="s">
        <v>2518</v>
      </c>
      <c r="M1233" s="276" t="s">
        <v>3250</v>
      </c>
      <c r="N1233" s="144" t="s">
        <v>2575</v>
      </c>
      <c r="O1233" s="150"/>
      <c r="P1233" s="156"/>
      <c r="Q1233" s="156"/>
      <c r="R1233" s="144" t="s">
        <v>272</v>
      </c>
    </row>
    <row r="1234" spans="1:18" ht="35.25" customHeight="1">
      <c r="A1234" s="15">
        <f t="shared" si="18"/>
        <v>1224</v>
      </c>
      <c r="B1234" s="11" t="s">
        <v>1830</v>
      </c>
      <c r="C1234" s="149" t="s">
        <v>723</v>
      </c>
      <c r="D1234" s="156"/>
      <c r="E1234" s="156"/>
      <c r="F1234" s="156"/>
      <c r="G1234" s="64"/>
      <c r="H1234" s="141"/>
      <c r="I1234" s="153" t="s">
        <v>566</v>
      </c>
      <c r="J1234" s="153">
        <v>1</v>
      </c>
      <c r="K1234" s="156" t="s">
        <v>730</v>
      </c>
      <c r="L1234" s="142" t="s">
        <v>2518</v>
      </c>
      <c r="M1234" s="276" t="s">
        <v>3250</v>
      </c>
      <c r="N1234" s="144" t="s">
        <v>2575</v>
      </c>
      <c r="O1234" s="150"/>
      <c r="P1234" s="156"/>
      <c r="Q1234" s="156"/>
      <c r="R1234" s="144" t="s">
        <v>272</v>
      </c>
    </row>
    <row r="1235" spans="1:18" ht="35.25" customHeight="1">
      <c r="A1235" s="15">
        <f t="shared" ref="A1235:A1298" si="19">A1234+1</f>
        <v>1225</v>
      </c>
      <c r="B1235" s="11" t="s">
        <v>1831</v>
      </c>
      <c r="C1235" s="149" t="s">
        <v>723</v>
      </c>
      <c r="D1235" s="46"/>
      <c r="E1235" s="46"/>
      <c r="F1235" s="46"/>
      <c r="G1235" s="64"/>
      <c r="H1235" s="141"/>
      <c r="I1235" s="153" t="s">
        <v>566</v>
      </c>
      <c r="J1235" s="153">
        <v>1</v>
      </c>
      <c r="K1235" s="156" t="s">
        <v>730</v>
      </c>
      <c r="L1235" s="142" t="s">
        <v>2518</v>
      </c>
      <c r="M1235" s="276" t="s">
        <v>3250</v>
      </c>
      <c r="N1235" s="144" t="s">
        <v>2575</v>
      </c>
      <c r="O1235" s="150"/>
      <c r="P1235" s="156"/>
      <c r="Q1235" s="156"/>
      <c r="R1235" s="144" t="s">
        <v>272</v>
      </c>
    </row>
    <row r="1236" spans="1:18" ht="35.25" customHeight="1">
      <c r="A1236" s="15">
        <f t="shared" si="19"/>
        <v>1226</v>
      </c>
      <c r="B1236" s="11" t="s">
        <v>1832</v>
      </c>
      <c r="C1236" s="149" t="s">
        <v>723</v>
      </c>
      <c r="D1236" s="46"/>
      <c r="E1236" s="46"/>
      <c r="F1236" s="46"/>
      <c r="G1236" s="64" t="s">
        <v>2343</v>
      </c>
      <c r="H1236" s="141"/>
      <c r="I1236" s="153" t="s">
        <v>566</v>
      </c>
      <c r="J1236" s="153">
        <v>1</v>
      </c>
      <c r="K1236" s="156" t="s">
        <v>730</v>
      </c>
      <c r="L1236" s="142" t="s">
        <v>2518</v>
      </c>
      <c r="M1236" s="276" t="s">
        <v>3250</v>
      </c>
      <c r="N1236" s="144" t="s">
        <v>2575</v>
      </c>
      <c r="O1236" s="260">
        <v>44995</v>
      </c>
      <c r="P1236" s="156"/>
      <c r="Q1236" s="156"/>
      <c r="R1236" s="144" t="s">
        <v>272</v>
      </c>
    </row>
    <row r="1237" spans="1:18" ht="35.25" customHeight="1">
      <c r="A1237" s="15">
        <f t="shared" si="19"/>
        <v>1227</v>
      </c>
      <c r="B1237" s="11" t="s">
        <v>1833</v>
      </c>
      <c r="C1237" s="149" t="s">
        <v>723</v>
      </c>
      <c r="D1237" s="46"/>
      <c r="E1237" s="46"/>
      <c r="F1237" s="46"/>
      <c r="G1237" s="64" t="s">
        <v>2343</v>
      </c>
      <c r="H1237" s="141"/>
      <c r="I1237" s="153" t="s">
        <v>566</v>
      </c>
      <c r="J1237" s="153">
        <v>1</v>
      </c>
      <c r="K1237" s="156" t="s">
        <v>730</v>
      </c>
      <c r="L1237" s="142" t="s">
        <v>2518</v>
      </c>
      <c r="M1237" s="276" t="s">
        <v>3250</v>
      </c>
      <c r="N1237" s="144" t="s">
        <v>2575</v>
      </c>
      <c r="O1237" s="260">
        <v>44995</v>
      </c>
      <c r="P1237" s="156"/>
      <c r="Q1237" s="156"/>
      <c r="R1237" s="144" t="s">
        <v>272</v>
      </c>
    </row>
    <row r="1238" spans="1:18" ht="35.25" customHeight="1">
      <c r="A1238" s="15">
        <f t="shared" si="19"/>
        <v>1228</v>
      </c>
      <c r="B1238" s="11" t="s">
        <v>1834</v>
      </c>
      <c r="C1238" s="149" t="s">
        <v>723</v>
      </c>
      <c r="D1238" s="46"/>
      <c r="E1238" s="46"/>
      <c r="F1238" s="46"/>
      <c r="G1238" s="64" t="s">
        <v>2343</v>
      </c>
      <c r="H1238" s="141"/>
      <c r="I1238" s="153" t="s">
        <v>566</v>
      </c>
      <c r="J1238" s="153">
        <v>1</v>
      </c>
      <c r="K1238" s="156" t="s">
        <v>730</v>
      </c>
      <c r="L1238" s="142" t="s">
        <v>2518</v>
      </c>
      <c r="M1238" s="276" t="s">
        <v>3250</v>
      </c>
      <c r="N1238" s="144" t="s">
        <v>2575</v>
      </c>
      <c r="O1238" s="260">
        <v>44995</v>
      </c>
      <c r="P1238" s="156"/>
      <c r="Q1238" s="156"/>
      <c r="R1238" s="144" t="s">
        <v>272</v>
      </c>
    </row>
    <row r="1239" spans="1:18" ht="35.25" customHeight="1">
      <c r="A1239" s="15">
        <f t="shared" si="19"/>
        <v>1229</v>
      </c>
      <c r="B1239" s="11" t="s">
        <v>1835</v>
      </c>
      <c r="C1239" s="149" t="s">
        <v>723</v>
      </c>
      <c r="D1239" s="169"/>
      <c r="E1239" s="169"/>
      <c r="F1239" s="169"/>
      <c r="G1239" s="64" t="s">
        <v>2429</v>
      </c>
      <c r="H1239" s="141"/>
      <c r="I1239" s="153" t="s">
        <v>566</v>
      </c>
      <c r="J1239" s="153">
        <v>1</v>
      </c>
      <c r="K1239" s="156" t="s">
        <v>730</v>
      </c>
      <c r="L1239" s="142" t="s">
        <v>2518</v>
      </c>
      <c r="M1239" s="276" t="s">
        <v>3250</v>
      </c>
      <c r="N1239" s="144" t="s">
        <v>2575</v>
      </c>
      <c r="O1239" s="260">
        <v>44995</v>
      </c>
      <c r="P1239" s="156"/>
      <c r="Q1239" s="156"/>
      <c r="R1239" s="144" t="s">
        <v>272</v>
      </c>
    </row>
    <row r="1240" spans="1:18" ht="35.25" customHeight="1">
      <c r="A1240" s="15">
        <f t="shared" si="19"/>
        <v>1230</v>
      </c>
      <c r="B1240" s="11" t="s">
        <v>1836</v>
      </c>
      <c r="C1240" s="149" t="s">
        <v>723</v>
      </c>
      <c r="D1240" s="156"/>
      <c r="E1240" s="156"/>
      <c r="F1240" s="156"/>
      <c r="G1240" s="64" t="s">
        <v>2429</v>
      </c>
      <c r="H1240" s="141"/>
      <c r="I1240" s="153" t="s">
        <v>566</v>
      </c>
      <c r="J1240" s="153">
        <v>1</v>
      </c>
      <c r="K1240" s="156" t="s">
        <v>730</v>
      </c>
      <c r="L1240" s="142" t="s">
        <v>2518</v>
      </c>
      <c r="M1240" s="276" t="s">
        <v>3250</v>
      </c>
      <c r="N1240" s="144" t="s">
        <v>2575</v>
      </c>
      <c r="O1240" s="260">
        <v>44995</v>
      </c>
      <c r="P1240" s="156"/>
      <c r="Q1240" s="156"/>
      <c r="R1240" s="144" t="s">
        <v>272</v>
      </c>
    </row>
    <row r="1241" spans="1:18" ht="35.25" customHeight="1">
      <c r="A1241" s="15">
        <f t="shared" si="19"/>
        <v>1231</v>
      </c>
      <c r="B1241" s="11" t="s">
        <v>1837</v>
      </c>
      <c r="C1241" s="149" t="s">
        <v>723</v>
      </c>
      <c r="D1241" s="156"/>
      <c r="E1241" s="156"/>
      <c r="F1241" s="156"/>
      <c r="G1241" s="64" t="s">
        <v>2429</v>
      </c>
      <c r="H1241" s="141"/>
      <c r="I1241" s="153" t="s">
        <v>566</v>
      </c>
      <c r="J1241" s="153">
        <v>1</v>
      </c>
      <c r="K1241" s="156" t="s">
        <v>730</v>
      </c>
      <c r="L1241" s="142" t="s">
        <v>2518</v>
      </c>
      <c r="M1241" s="276" t="s">
        <v>3250</v>
      </c>
      <c r="N1241" s="144" t="s">
        <v>2575</v>
      </c>
      <c r="O1241" s="260">
        <v>44995</v>
      </c>
      <c r="P1241" s="156"/>
      <c r="Q1241" s="156"/>
      <c r="R1241" s="144" t="s">
        <v>272</v>
      </c>
    </row>
    <row r="1242" spans="1:18" ht="35.25" customHeight="1">
      <c r="A1242" s="15">
        <f t="shared" si="19"/>
        <v>1232</v>
      </c>
      <c r="B1242" s="123" t="s">
        <v>1838</v>
      </c>
      <c r="C1242" s="29" t="s">
        <v>1839</v>
      </c>
      <c r="D1242" s="156"/>
      <c r="E1242" s="156"/>
      <c r="F1242" s="156"/>
      <c r="G1242" s="64"/>
      <c r="H1242" s="141"/>
      <c r="I1242" s="153" t="s">
        <v>566</v>
      </c>
      <c r="J1242" s="153">
        <v>1</v>
      </c>
      <c r="K1242" s="156" t="s">
        <v>730</v>
      </c>
      <c r="L1242" s="142" t="s">
        <v>2518</v>
      </c>
      <c r="M1242" s="276" t="s">
        <v>3250</v>
      </c>
      <c r="N1242" s="144" t="s">
        <v>2575</v>
      </c>
      <c r="O1242" s="150"/>
      <c r="P1242" s="156"/>
      <c r="Q1242" s="156"/>
      <c r="R1242" s="144" t="s">
        <v>272</v>
      </c>
    </row>
    <row r="1243" spans="1:18" ht="35.25" customHeight="1">
      <c r="A1243" s="15">
        <f t="shared" si="19"/>
        <v>1233</v>
      </c>
      <c r="B1243" s="141" t="s">
        <v>1840</v>
      </c>
      <c r="C1243" s="146" t="s">
        <v>1841</v>
      </c>
      <c r="D1243" s="176"/>
      <c r="E1243" s="176"/>
      <c r="F1243" s="176"/>
      <c r="G1243" s="141" t="s">
        <v>1841</v>
      </c>
      <c r="H1243" s="141"/>
      <c r="I1243" s="202" t="s">
        <v>18</v>
      </c>
      <c r="J1243" s="202">
        <v>1</v>
      </c>
      <c r="K1243" s="156" t="s">
        <v>730</v>
      </c>
      <c r="L1243" s="168" t="s">
        <v>2522</v>
      </c>
      <c r="M1243" s="19"/>
      <c r="N1243" s="168" t="s">
        <v>2597</v>
      </c>
      <c r="O1243" s="150"/>
      <c r="P1243" s="156"/>
      <c r="Q1243" s="156"/>
      <c r="R1243" s="168" t="s">
        <v>272</v>
      </c>
    </row>
    <row r="1244" spans="1:18" ht="35.25" customHeight="1">
      <c r="A1244" s="15">
        <f t="shared" si="19"/>
        <v>1234</v>
      </c>
      <c r="B1244" s="11" t="s">
        <v>1842</v>
      </c>
      <c r="C1244" s="64" t="s">
        <v>154</v>
      </c>
      <c r="D1244" s="176"/>
      <c r="E1244" s="176"/>
      <c r="F1244" s="176"/>
      <c r="G1244" s="11" t="s">
        <v>154</v>
      </c>
      <c r="H1244" s="141"/>
      <c r="I1244" s="202" t="s">
        <v>18</v>
      </c>
      <c r="J1244" s="202">
        <v>1</v>
      </c>
      <c r="K1244" s="156" t="s">
        <v>730</v>
      </c>
      <c r="L1244" s="168" t="s">
        <v>2522</v>
      </c>
      <c r="M1244" s="19"/>
      <c r="N1244" s="168" t="s">
        <v>2597</v>
      </c>
      <c r="O1244" s="150"/>
      <c r="P1244" s="156"/>
      <c r="Q1244" s="156"/>
      <c r="R1244" s="168" t="s">
        <v>272</v>
      </c>
    </row>
    <row r="1245" spans="1:18" ht="35.25" customHeight="1">
      <c r="A1245" s="15">
        <f t="shared" si="19"/>
        <v>1235</v>
      </c>
      <c r="B1245" s="11" t="s">
        <v>1843</v>
      </c>
      <c r="C1245" s="64" t="s">
        <v>154</v>
      </c>
      <c r="D1245" s="156"/>
      <c r="E1245" s="156"/>
      <c r="F1245" s="156"/>
      <c r="G1245" s="11" t="s">
        <v>154</v>
      </c>
      <c r="H1245" s="141"/>
      <c r="I1245" s="202" t="s">
        <v>18</v>
      </c>
      <c r="J1245" s="202">
        <v>1</v>
      </c>
      <c r="K1245" s="156" t="s">
        <v>730</v>
      </c>
      <c r="L1245" s="168" t="s">
        <v>2522</v>
      </c>
      <c r="M1245" s="19"/>
      <c r="N1245" s="168" t="s">
        <v>2597</v>
      </c>
      <c r="O1245" s="150"/>
      <c r="P1245" s="158"/>
      <c r="Q1245" s="158"/>
      <c r="R1245" s="168" t="s">
        <v>272</v>
      </c>
    </row>
    <row r="1246" spans="1:18" ht="35.25" customHeight="1">
      <c r="A1246" s="15">
        <f t="shared" si="19"/>
        <v>1236</v>
      </c>
      <c r="B1246" s="11" t="s">
        <v>1844</v>
      </c>
      <c r="C1246" s="64" t="s">
        <v>154</v>
      </c>
      <c r="D1246" s="156"/>
      <c r="E1246" s="156"/>
      <c r="F1246" s="156"/>
      <c r="G1246" s="11" t="s">
        <v>154</v>
      </c>
      <c r="H1246" s="141"/>
      <c r="I1246" s="202" t="s">
        <v>18</v>
      </c>
      <c r="J1246" s="202">
        <v>1</v>
      </c>
      <c r="K1246" s="156" t="s">
        <v>730</v>
      </c>
      <c r="L1246" s="168" t="s">
        <v>2522</v>
      </c>
      <c r="M1246" s="19"/>
      <c r="N1246" s="168" t="s">
        <v>2597</v>
      </c>
      <c r="O1246" s="150"/>
      <c r="P1246" s="158"/>
      <c r="Q1246" s="158"/>
      <c r="R1246" s="168" t="s">
        <v>272</v>
      </c>
    </row>
    <row r="1247" spans="1:18" ht="35.25" customHeight="1">
      <c r="A1247" s="15">
        <f t="shared" si="19"/>
        <v>1237</v>
      </c>
      <c r="B1247" s="11" t="s">
        <v>1845</v>
      </c>
      <c r="C1247" s="64" t="s">
        <v>154</v>
      </c>
      <c r="D1247" s="156"/>
      <c r="E1247" s="156"/>
      <c r="F1247" s="156"/>
      <c r="G1247" s="11" t="s">
        <v>154</v>
      </c>
      <c r="H1247" s="141"/>
      <c r="I1247" s="202" t="s">
        <v>18</v>
      </c>
      <c r="J1247" s="202">
        <v>1</v>
      </c>
      <c r="K1247" s="156" t="s">
        <v>730</v>
      </c>
      <c r="L1247" s="168" t="s">
        <v>2522</v>
      </c>
      <c r="M1247" s="19"/>
      <c r="N1247" s="168" t="s">
        <v>2597</v>
      </c>
      <c r="O1247" s="150"/>
      <c r="P1247" s="158"/>
      <c r="Q1247" s="158"/>
      <c r="R1247" s="168" t="s">
        <v>272</v>
      </c>
    </row>
    <row r="1248" spans="1:18" ht="35.25" customHeight="1">
      <c r="A1248" s="15">
        <f t="shared" si="19"/>
        <v>1238</v>
      </c>
      <c r="B1248" s="11" t="s">
        <v>1846</v>
      </c>
      <c r="C1248" s="64" t="s">
        <v>154</v>
      </c>
      <c r="D1248" s="169"/>
      <c r="E1248" s="169"/>
      <c r="F1248" s="169"/>
      <c r="G1248" s="11" t="s">
        <v>154</v>
      </c>
      <c r="H1248" s="141"/>
      <c r="I1248" s="202" t="s">
        <v>18</v>
      </c>
      <c r="J1248" s="202">
        <v>1</v>
      </c>
      <c r="K1248" s="156" t="s">
        <v>730</v>
      </c>
      <c r="L1248" s="168" t="s">
        <v>2522</v>
      </c>
      <c r="M1248" s="19"/>
      <c r="N1248" s="168" t="s">
        <v>2597</v>
      </c>
      <c r="O1248" s="150"/>
      <c r="P1248" s="158"/>
      <c r="Q1248" s="158"/>
      <c r="R1248" s="168" t="s">
        <v>272</v>
      </c>
    </row>
    <row r="1249" spans="1:18" ht="35.25" customHeight="1">
      <c r="A1249" s="15">
        <f t="shared" si="19"/>
        <v>1239</v>
      </c>
      <c r="B1249" s="11" t="s">
        <v>1847</v>
      </c>
      <c r="C1249" s="64" t="s">
        <v>154</v>
      </c>
      <c r="D1249" s="169"/>
      <c r="E1249" s="169"/>
      <c r="F1249" s="169"/>
      <c r="G1249" s="11" t="s">
        <v>154</v>
      </c>
      <c r="H1249" s="141"/>
      <c r="I1249" s="202" t="s">
        <v>18</v>
      </c>
      <c r="J1249" s="202">
        <v>1</v>
      </c>
      <c r="K1249" s="156" t="s">
        <v>730</v>
      </c>
      <c r="L1249" s="168" t="s">
        <v>2522</v>
      </c>
      <c r="M1249" s="19"/>
      <c r="N1249" s="168" t="s">
        <v>2597</v>
      </c>
      <c r="O1249" s="150"/>
      <c r="P1249" s="158"/>
      <c r="Q1249" s="158"/>
      <c r="R1249" s="168" t="s">
        <v>272</v>
      </c>
    </row>
    <row r="1250" spans="1:18" ht="35.25" customHeight="1">
      <c r="A1250" s="15">
        <f t="shared" si="19"/>
        <v>1240</v>
      </c>
      <c r="B1250" s="11" t="s">
        <v>1848</v>
      </c>
      <c r="C1250" s="64" t="s">
        <v>154</v>
      </c>
      <c r="D1250" s="156"/>
      <c r="E1250" s="156"/>
      <c r="F1250" s="156"/>
      <c r="G1250" s="11" t="s">
        <v>154</v>
      </c>
      <c r="H1250" s="141"/>
      <c r="I1250" s="202" t="s">
        <v>18</v>
      </c>
      <c r="J1250" s="202">
        <v>1</v>
      </c>
      <c r="K1250" s="156" t="s">
        <v>730</v>
      </c>
      <c r="L1250" s="168" t="s">
        <v>2522</v>
      </c>
      <c r="M1250" s="19"/>
      <c r="N1250" s="168" t="s">
        <v>2597</v>
      </c>
      <c r="O1250" s="150"/>
      <c r="P1250" s="156"/>
      <c r="Q1250" s="156"/>
      <c r="R1250" s="168" t="s">
        <v>272</v>
      </c>
    </row>
    <row r="1251" spans="1:18" ht="35.25" customHeight="1">
      <c r="A1251" s="15">
        <f t="shared" si="19"/>
        <v>1241</v>
      </c>
      <c r="B1251" s="11" t="s">
        <v>1849</v>
      </c>
      <c r="C1251" s="64" t="s">
        <v>1850</v>
      </c>
      <c r="D1251" s="156"/>
      <c r="E1251" s="156"/>
      <c r="F1251" s="156"/>
      <c r="G1251" s="64" t="s">
        <v>1850</v>
      </c>
      <c r="H1251" s="141"/>
      <c r="I1251" s="202" t="s">
        <v>18</v>
      </c>
      <c r="J1251" s="202">
        <v>1</v>
      </c>
      <c r="K1251" s="156" t="s">
        <v>730</v>
      </c>
      <c r="L1251" s="168" t="s">
        <v>2522</v>
      </c>
      <c r="M1251" s="19"/>
      <c r="N1251" s="168" t="s">
        <v>2597</v>
      </c>
      <c r="O1251" s="150"/>
      <c r="P1251" s="156"/>
      <c r="Q1251" s="156"/>
      <c r="R1251" s="168" t="s">
        <v>272</v>
      </c>
    </row>
    <row r="1252" spans="1:18" ht="35.25" customHeight="1">
      <c r="A1252" s="15">
        <f t="shared" si="19"/>
        <v>1242</v>
      </c>
      <c r="B1252" s="11" t="s">
        <v>1851</v>
      </c>
      <c r="C1252" s="64" t="s">
        <v>1850</v>
      </c>
      <c r="D1252" s="156"/>
      <c r="E1252" s="156"/>
      <c r="F1252" s="156"/>
      <c r="G1252" s="64" t="s">
        <v>1850</v>
      </c>
      <c r="H1252" s="141"/>
      <c r="I1252" s="202" t="s">
        <v>18</v>
      </c>
      <c r="J1252" s="202">
        <v>1</v>
      </c>
      <c r="K1252" s="156" t="s">
        <v>730</v>
      </c>
      <c r="L1252" s="168" t="s">
        <v>2522</v>
      </c>
      <c r="M1252" s="19"/>
      <c r="N1252" s="168" t="s">
        <v>2597</v>
      </c>
      <c r="O1252" s="150"/>
      <c r="P1252" s="158"/>
      <c r="Q1252" s="158"/>
      <c r="R1252" s="168" t="s">
        <v>272</v>
      </c>
    </row>
    <row r="1253" spans="1:18" ht="35.25" customHeight="1">
      <c r="A1253" s="15">
        <f t="shared" si="19"/>
        <v>1243</v>
      </c>
      <c r="B1253" s="11" t="s">
        <v>1852</v>
      </c>
      <c r="C1253" s="64" t="s">
        <v>1850</v>
      </c>
      <c r="D1253" s="156"/>
      <c r="E1253" s="156"/>
      <c r="F1253" s="156"/>
      <c r="G1253" s="64" t="s">
        <v>1850</v>
      </c>
      <c r="H1253" s="141"/>
      <c r="I1253" s="202" t="s">
        <v>18</v>
      </c>
      <c r="J1253" s="202">
        <v>1</v>
      </c>
      <c r="K1253" s="156" t="s">
        <v>730</v>
      </c>
      <c r="L1253" s="168" t="s">
        <v>2522</v>
      </c>
      <c r="M1253" s="19"/>
      <c r="N1253" s="168" t="s">
        <v>2597</v>
      </c>
      <c r="O1253" s="150"/>
      <c r="P1253" s="156"/>
      <c r="Q1253" s="156"/>
      <c r="R1253" s="168" t="s">
        <v>272</v>
      </c>
    </row>
    <row r="1254" spans="1:18" ht="35.25" customHeight="1">
      <c r="A1254" s="15">
        <f t="shared" si="19"/>
        <v>1244</v>
      </c>
      <c r="B1254" s="11" t="s">
        <v>1853</v>
      </c>
      <c r="C1254" s="64" t="s">
        <v>1850</v>
      </c>
      <c r="D1254" s="156"/>
      <c r="E1254" s="156"/>
      <c r="F1254" s="156"/>
      <c r="G1254" s="64" t="s">
        <v>1850</v>
      </c>
      <c r="H1254" s="141"/>
      <c r="I1254" s="202" t="s">
        <v>18</v>
      </c>
      <c r="J1254" s="202">
        <v>1</v>
      </c>
      <c r="K1254" s="156" t="s">
        <v>730</v>
      </c>
      <c r="L1254" s="168" t="s">
        <v>2522</v>
      </c>
      <c r="M1254" s="19"/>
      <c r="N1254" s="168" t="s">
        <v>2597</v>
      </c>
      <c r="O1254" s="150"/>
      <c r="P1254" s="156"/>
      <c r="Q1254" s="156"/>
      <c r="R1254" s="168" t="s">
        <v>272</v>
      </c>
    </row>
    <row r="1255" spans="1:18" ht="35.25" customHeight="1">
      <c r="A1255" s="15">
        <f t="shared" si="19"/>
        <v>1245</v>
      </c>
      <c r="B1255" s="11" t="s">
        <v>1854</v>
      </c>
      <c r="C1255" s="64" t="s">
        <v>1850</v>
      </c>
      <c r="D1255" s="156"/>
      <c r="E1255" s="156"/>
      <c r="F1255" s="156"/>
      <c r="G1255" s="64" t="s">
        <v>1850</v>
      </c>
      <c r="H1255" s="141"/>
      <c r="I1255" s="202" t="s">
        <v>18</v>
      </c>
      <c r="J1255" s="202">
        <v>1</v>
      </c>
      <c r="K1255" s="156" t="s">
        <v>730</v>
      </c>
      <c r="L1255" s="168" t="s">
        <v>2522</v>
      </c>
      <c r="M1255" s="19"/>
      <c r="N1255" s="168" t="s">
        <v>2597</v>
      </c>
      <c r="O1255" s="150"/>
      <c r="P1255" s="156"/>
      <c r="Q1255" s="156"/>
      <c r="R1255" s="168" t="s">
        <v>272</v>
      </c>
    </row>
    <row r="1256" spans="1:18" ht="35.25" customHeight="1">
      <c r="A1256" s="15">
        <f t="shared" si="19"/>
        <v>1246</v>
      </c>
      <c r="B1256" s="11" t="s">
        <v>1855</v>
      </c>
      <c r="C1256" s="64" t="s">
        <v>1850</v>
      </c>
      <c r="D1256" s="156"/>
      <c r="E1256" s="156"/>
      <c r="F1256" s="156"/>
      <c r="G1256" s="64" t="s">
        <v>1850</v>
      </c>
      <c r="H1256" s="141"/>
      <c r="I1256" s="202" t="s">
        <v>18</v>
      </c>
      <c r="J1256" s="202">
        <v>1</v>
      </c>
      <c r="K1256" s="156" t="s">
        <v>730</v>
      </c>
      <c r="L1256" s="168" t="s">
        <v>2522</v>
      </c>
      <c r="M1256" s="19"/>
      <c r="N1256" s="168" t="s">
        <v>2597</v>
      </c>
      <c r="O1256" s="150"/>
      <c r="P1256" s="156"/>
      <c r="Q1256" s="156"/>
      <c r="R1256" s="168" t="s">
        <v>272</v>
      </c>
    </row>
    <row r="1257" spans="1:18" ht="35.25" customHeight="1">
      <c r="A1257" s="15">
        <f t="shared" si="19"/>
        <v>1247</v>
      </c>
      <c r="B1257" s="142" t="s">
        <v>1856</v>
      </c>
      <c r="C1257" s="172" t="s">
        <v>1857</v>
      </c>
      <c r="D1257" s="156"/>
      <c r="E1257" s="156"/>
      <c r="F1257" s="156"/>
      <c r="G1257" s="172" t="s">
        <v>1857</v>
      </c>
      <c r="H1257" s="141"/>
      <c r="I1257" s="202" t="s">
        <v>18</v>
      </c>
      <c r="J1257" s="202">
        <v>1</v>
      </c>
      <c r="K1257" s="156" t="s">
        <v>730</v>
      </c>
      <c r="L1257" s="168" t="s">
        <v>2522</v>
      </c>
      <c r="M1257" s="19"/>
      <c r="N1257" s="168" t="s">
        <v>2597</v>
      </c>
      <c r="O1257" s="150"/>
      <c r="P1257" s="156"/>
      <c r="Q1257" s="156"/>
      <c r="R1257" s="168" t="s">
        <v>272</v>
      </c>
    </row>
    <row r="1258" spans="1:18" ht="35.25" customHeight="1">
      <c r="A1258" s="15">
        <f t="shared" si="19"/>
        <v>1248</v>
      </c>
      <c r="B1258" s="142" t="s">
        <v>1858</v>
      </c>
      <c r="C1258" s="172" t="s">
        <v>1857</v>
      </c>
      <c r="D1258" s="156"/>
      <c r="E1258" s="156"/>
      <c r="F1258" s="156"/>
      <c r="G1258" s="172" t="s">
        <v>1857</v>
      </c>
      <c r="H1258" s="141"/>
      <c r="I1258" s="202" t="s">
        <v>18</v>
      </c>
      <c r="J1258" s="202">
        <v>1</v>
      </c>
      <c r="K1258" s="156" t="s">
        <v>730</v>
      </c>
      <c r="L1258" s="168" t="s">
        <v>2522</v>
      </c>
      <c r="M1258" s="19"/>
      <c r="N1258" s="168" t="s">
        <v>2597</v>
      </c>
      <c r="O1258" s="150"/>
      <c r="P1258" s="156"/>
      <c r="Q1258" s="156"/>
      <c r="R1258" s="168" t="s">
        <v>272</v>
      </c>
    </row>
    <row r="1259" spans="1:18" ht="35.25" customHeight="1">
      <c r="A1259" s="15">
        <f t="shared" si="19"/>
        <v>1249</v>
      </c>
      <c r="B1259" s="142" t="s">
        <v>1859</v>
      </c>
      <c r="C1259" s="172" t="s">
        <v>1857</v>
      </c>
      <c r="D1259" s="156"/>
      <c r="E1259" s="156"/>
      <c r="F1259" s="156"/>
      <c r="G1259" s="172" t="s">
        <v>1857</v>
      </c>
      <c r="H1259" s="141"/>
      <c r="I1259" s="202" t="s">
        <v>18</v>
      </c>
      <c r="J1259" s="202">
        <v>1</v>
      </c>
      <c r="K1259" s="156" t="s">
        <v>730</v>
      </c>
      <c r="L1259" s="168" t="s">
        <v>2522</v>
      </c>
      <c r="M1259" s="19"/>
      <c r="N1259" s="168" t="s">
        <v>2597</v>
      </c>
      <c r="O1259" s="150"/>
      <c r="P1259" s="156"/>
      <c r="Q1259" s="156"/>
      <c r="R1259" s="168" t="s">
        <v>272</v>
      </c>
    </row>
    <row r="1260" spans="1:18" ht="35.25" customHeight="1">
      <c r="A1260" s="15">
        <f t="shared" si="19"/>
        <v>1250</v>
      </c>
      <c r="B1260" s="142" t="s">
        <v>1860</v>
      </c>
      <c r="C1260" s="172" t="s">
        <v>1857</v>
      </c>
      <c r="D1260" s="156"/>
      <c r="E1260" s="156"/>
      <c r="F1260" s="156"/>
      <c r="G1260" s="172" t="s">
        <v>1857</v>
      </c>
      <c r="H1260" s="141"/>
      <c r="I1260" s="202" t="s">
        <v>18</v>
      </c>
      <c r="J1260" s="202">
        <v>1</v>
      </c>
      <c r="K1260" s="156" t="s">
        <v>730</v>
      </c>
      <c r="L1260" s="168" t="s">
        <v>2522</v>
      </c>
      <c r="M1260" s="19"/>
      <c r="N1260" s="168" t="s">
        <v>2597</v>
      </c>
      <c r="O1260" s="150"/>
      <c r="P1260" s="156"/>
      <c r="Q1260" s="156"/>
      <c r="R1260" s="168" t="s">
        <v>272</v>
      </c>
    </row>
    <row r="1261" spans="1:18" ht="35.25" customHeight="1">
      <c r="A1261" s="15">
        <f t="shared" si="19"/>
        <v>1251</v>
      </c>
      <c r="B1261" s="142" t="s">
        <v>1861</v>
      </c>
      <c r="C1261" s="172" t="s">
        <v>1857</v>
      </c>
      <c r="D1261" s="156"/>
      <c r="E1261" s="156"/>
      <c r="F1261" s="156"/>
      <c r="G1261" s="172" t="s">
        <v>1857</v>
      </c>
      <c r="H1261" s="141"/>
      <c r="I1261" s="202" t="s">
        <v>18</v>
      </c>
      <c r="J1261" s="202">
        <v>1</v>
      </c>
      <c r="K1261" s="156" t="s">
        <v>730</v>
      </c>
      <c r="L1261" s="168" t="s">
        <v>2522</v>
      </c>
      <c r="M1261" s="19"/>
      <c r="N1261" s="168" t="s">
        <v>2597</v>
      </c>
      <c r="O1261" s="150"/>
      <c r="P1261" s="156"/>
      <c r="Q1261" s="156"/>
      <c r="R1261" s="168" t="s">
        <v>272</v>
      </c>
    </row>
    <row r="1262" spans="1:18" ht="35.25" customHeight="1">
      <c r="A1262" s="15">
        <f t="shared" si="19"/>
        <v>1252</v>
      </c>
      <c r="B1262" s="142" t="s">
        <v>1862</v>
      </c>
      <c r="C1262" s="172" t="s">
        <v>1857</v>
      </c>
      <c r="D1262" s="145"/>
      <c r="E1262" s="145"/>
      <c r="F1262" s="145"/>
      <c r="G1262" s="172" t="s">
        <v>1857</v>
      </c>
      <c r="H1262" s="141"/>
      <c r="I1262" s="202" t="s">
        <v>18</v>
      </c>
      <c r="J1262" s="202">
        <v>1</v>
      </c>
      <c r="K1262" s="156" t="s">
        <v>730</v>
      </c>
      <c r="L1262" s="168" t="s">
        <v>2522</v>
      </c>
      <c r="M1262" s="19"/>
      <c r="N1262" s="168" t="s">
        <v>2597</v>
      </c>
      <c r="O1262" s="150"/>
      <c r="P1262" s="156"/>
      <c r="Q1262" s="156"/>
      <c r="R1262" s="168" t="s">
        <v>272</v>
      </c>
    </row>
    <row r="1263" spans="1:18" ht="35.25" customHeight="1">
      <c r="A1263" s="15">
        <f t="shared" si="19"/>
        <v>1253</v>
      </c>
      <c r="B1263" s="142" t="s">
        <v>1863</v>
      </c>
      <c r="C1263" s="172" t="s">
        <v>1857</v>
      </c>
      <c r="D1263" s="156"/>
      <c r="E1263" s="156"/>
      <c r="F1263" s="156"/>
      <c r="G1263" s="172" t="s">
        <v>1857</v>
      </c>
      <c r="H1263" s="141"/>
      <c r="I1263" s="202" t="s">
        <v>18</v>
      </c>
      <c r="J1263" s="202">
        <v>1</v>
      </c>
      <c r="K1263" s="156" t="s">
        <v>730</v>
      </c>
      <c r="L1263" s="168" t="s">
        <v>2522</v>
      </c>
      <c r="M1263" s="19"/>
      <c r="N1263" s="168" t="s">
        <v>2597</v>
      </c>
      <c r="O1263" s="150"/>
      <c r="P1263" s="156"/>
      <c r="Q1263" s="156"/>
      <c r="R1263" s="168" t="s">
        <v>272</v>
      </c>
    </row>
    <row r="1264" spans="1:18" ht="35.25" customHeight="1">
      <c r="A1264" s="15">
        <f t="shared" si="19"/>
        <v>1254</v>
      </c>
      <c r="B1264" s="142" t="s">
        <v>1864</v>
      </c>
      <c r="C1264" s="172" t="s">
        <v>1857</v>
      </c>
      <c r="D1264" s="156"/>
      <c r="E1264" s="156"/>
      <c r="F1264" s="156"/>
      <c r="G1264" s="172" t="s">
        <v>1857</v>
      </c>
      <c r="H1264" s="141"/>
      <c r="I1264" s="202" t="s">
        <v>18</v>
      </c>
      <c r="J1264" s="202">
        <v>1</v>
      </c>
      <c r="K1264" s="156" t="s">
        <v>730</v>
      </c>
      <c r="L1264" s="168" t="s">
        <v>2522</v>
      </c>
      <c r="M1264" s="19"/>
      <c r="N1264" s="168" t="s">
        <v>2597</v>
      </c>
      <c r="O1264" s="150"/>
      <c r="P1264" s="156"/>
      <c r="Q1264" s="156"/>
      <c r="R1264" s="168" t="s">
        <v>272</v>
      </c>
    </row>
    <row r="1265" spans="1:39" s="136" customFormat="1" ht="35.25" customHeight="1">
      <c r="A1265" s="15">
        <f t="shared" si="19"/>
        <v>1255</v>
      </c>
      <c r="B1265" s="142" t="s">
        <v>1865</v>
      </c>
      <c r="C1265" s="172" t="s">
        <v>1857</v>
      </c>
      <c r="D1265" s="156"/>
      <c r="E1265" s="156"/>
      <c r="F1265" s="156"/>
      <c r="G1265" s="172" t="s">
        <v>1857</v>
      </c>
      <c r="H1265" s="141"/>
      <c r="I1265" s="202" t="s">
        <v>18</v>
      </c>
      <c r="J1265" s="202">
        <v>1</v>
      </c>
      <c r="K1265" s="156" t="s">
        <v>730</v>
      </c>
      <c r="L1265" s="168" t="s">
        <v>2522</v>
      </c>
      <c r="M1265" s="19"/>
      <c r="N1265" s="168" t="s">
        <v>2597</v>
      </c>
      <c r="O1265" s="150"/>
      <c r="P1265" s="156"/>
      <c r="Q1265" s="156"/>
      <c r="R1265" s="168" t="s">
        <v>272</v>
      </c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</row>
    <row r="1266" spans="1:39" ht="35.25" customHeight="1">
      <c r="A1266" s="15">
        <f t="shared" si="19"/>
        <v>1256</v>
      </c>
      <c r="B1266" s="142" t="s">
        <v>1866</v>
      </c>
      <c r="C1266" s="172" t="s">
        <v>1857</v>
      </c>
      <c r="D1266" s="156"/>
      <c r="E1266" s="156"/>
      <c r="F1266" s="156"/>
      <c r="G1266" s="172" t="s">
        <v>1857</v>
      </c>
      <c r="H1266" s="141"/>
      <c r="I1266" s="202" t="s">
        <v>18</v>
      </c>
      <c r="J1266" s="202">
        <v>1</v>
      </c>
      <c r="K1266" s="156" t="s">
        <v>730</v>
      </c>
      <c r="L1266" s="168" t="s">
        <v>2522</v>
      </c>
      <c r="M1266" s="19"/>
      <c r="N1266" s="168" t="s">
        <v>2597</v>
      </c>
      <c r="O1266" s="150"/>
      <c r="P1266" s="156"/>
      <c r="Q1266" s="156"/>
      <c r="R1266" s="168" t="s">
        <v>272</v>
      </c>
    </row>
    <row r="1267" spans="1:39" ht="35.25" customHeight="1">
      <c r="A1267" s="15">
        <f t="shared" si="19"/>
        <v>1257</v>
      </c>
      <c r="B1267" s="161" t="s">
        <v>1867</v>
      </c>
      <c r="C1267" s="191" t="s">
        <v>1392</v>
      </c>
      <c r="D1267" s="156"/>
      <c r="E1267" s="156"/>
      <c r="F1267" s="156"/>
      <c r="G1267" s="168" t="s">
        <v>2430</v>
      </c>
      <c r="H1267" s="141"/>
      <c r="I1267" s="202" t="s">
        <v>18</v>
      </c>
      <c r="J1267" s="202">
        <v>5</v>
      </c>
      <c r="K1267" s="156" t="s">
        <v>730</v>
      </c>
      <c r="L1267" s="168" t="s">
        <v>2522</v>
      </c>
      <c r="M1267" s="19"/>
      <c r="N1267" s="168" t="s">
        <v>2597</v>
      </c>
      <c r="O1267" s="150"/>
      <c r="P1267" s="156"/>
      <c r="Q1267" s="156"/>
      <c r="R1267" s="168" t="s">
        <v>2592</v>
      </c>
    </row>
    <row r="1268" spans="1:39" ht="35.25" customHeight="1">
      <c r="A1268" s="15">
        <f t="shared" si="19"/>
        <v>1258</v>
      </c>
      <c r="B1268" s="161" t="s">
        <v>1868</v>
      </c>
      <c r="C1268" s="191" t="s">
        <v>723</v>
      </c>
      <c r="D1268" s="156"/>
      <c r="E1268" s="156"/>
      <c r="F1268" s="156"/>
      <c r="G1268" s="168" t="s">
        <v>2431</v>
      </c>
      <c r="H1268" s="141"/>
      <c r="I1268" s="202" t="s">
        <v>18</v>
      </c>
      <c r="J1268" s="202">
        <v>1</v>
      </c>
      <c r="K1268" s="156" t="s">
        <v>730</v>
      </c>
      <c r="L1268" s="168" t="s">
        <v>2522</v>
      </c>
      <c r="M1268" s="19"/>
      <c r="N1268" s="168" t="s">
        <v>2597</v>
      </c>
      <c r="O1268" s="150"/>
      <c r="P1268" s="156"/>
      <c r="Q1268" s="156"/>
      <c r="R1268" s="168" t="s">
        <v>2592</v>
      </c>
    </row>
    <row r="1269" spans="1:39" ht="35.25" customHeight="1">
      <c r="A1269" s="15">
        <f t="shared" si="19"/>
        <v>1259</v>
      </c>
      <c r="B1269" s="161" t="s">
        <v>1869</v>
      </c>
      <c r="C1269" s="191" t="s">
        <v>723</v>
      </c>
      <c r="D1269" s="156"/>
      <c r="E1269" s="156"/>
      <c r="F1269" s="156"/>
      <c r="G1269" s="168" t="s">
        <v>2431</v>
      </c>
      <c r="H1269" s="141"/>
      <c r="I1269" s="202" t="s">
        <v>18</v>
      </c>
      <c r="J1269" s="202">
        <v>1</v>
      </c>
      <c r="K1269" s="156" t="s">
        <v>730</v>
      </c>
      <c r="L1269" s="168" t="s">
        <v>2522</v>
      </c>
      <c r="M1269" s="19"/>
      <c r="N1269" s="168" t="s">
        <v>2597</v>
      </c>
      <c r="O1269" s="150"/>
      <c r="P1269" s="156"/>
      <c r="Q1269" s="156"/>
      <c r="R1269" s="168" t="s">
        <v>2592</v>
      </c>
    </row>
    <row r="1270" spans="1:39" ht="35.25" customHeight="1">
      <c r="A1270" s="15">
        <f t="shared" si="19"/>
        <v>1260</v>
      </c>
      <c r="B1270" s="161" t="s">
        <v>1870</v>
      </c>
      <c r="C1270" s="191" t="s">
        <v>723</v>
      </c>
      <c r="D1270" s="156"/>
      <c r="E1270" s="156"/>
      <c r="F1270" s="156"/>
      <c r="G1270" s="168" t="s">
        <v>2431</v>
      </c>
      <c r="H1270" s="141"/>
      <c r="I1270" s="202" t="s">
        <v>18</v>
      </c>
      <c r="J1270" s="202">
        <v>1</v>
      </c>
      <c r="K1270" s="156" t="s">
        <v>730</v>
      </c>
      <c r="L1270" s="168" t="s">
        <v>2522</v>
      </c>
      <c r="M1270" s="19"/>
      <c r="N1270" s="168" t="s">
        <v>2597</v>
      </c>
      <c r="O1270" s="150"/>
      <c r="P1270" s="156"/>
      <c r="Q1270" s="156"/>
      <c r="R1270" s="168" t="s">
        <v>2592</v>
      </c>
    </row>
    <row r="1271" spans="1:39" ht="35.25" customHeight="1">
      <c r="A1271" s="15">
        <f t="shared" si="19"/>
        <v>1261</v>
      </c>
      <c r="B1271" s="161" t="s">
        <v>1871</v>
      </c>
      <c r="C1271" s="191" t="s">
        <v>723</v>
      </c>
      <c r="D1271" s="145"/>
      <c r="E1271" s="145"/>
      <c r="F1271" s="145"/>
      <c r="G1271" s="168" t="s">
        <v>2431</v>
      </c>
      <c r="H1271" s="141"/>
      <c r="I1271" s="202" t="s">
        <v>18</v>
      </c>
      <c r="J1271" s="202">
        <v>1</v>
      </c>
      <c r="K1271" s="156" t="s">
        <v>730</v>
      </c>
      <c r="L1271" s="168" t="s">
        <v>2522</v>
      </c>
      <c r="M1271" s="19"/>
      <c r="N1271" s="168" t="s">
        <v>2597</v>
      </c>
      <c r="O1271" s="150"/>
      <c r="P1271" s="156"/>
      <c r="Q1271" s="156"/>
      <c r="R1271" s="168" t="s">
        <v>2592</v>
      </c>
    </row>
    <row r="1272" spans="1:39" ht="35.25" customHeight="1">
      <c r="A1272" s="15">
        <f t="shared" si="19"/>
        <v>1262</v>
      </c>
      <c r="B1272" s="161" t="s">
        <v>1872</v>
      </c>
      <c r="C1272" s="191" t="s">
        <v>723</v>
      </c>
      <c r="D1272" s="231"/>
      <c r="E1272" s="231"/>
      <c r="F1272" s="231"/>
      <c r="G1272" s="168" t="s">
        <v>2431</v>
      </c>
      <c r="H1272" s="141"/>
      <c r="I1272" s="202" t="s">
        <v>18</v>
      </c>
      <c r="J1272" s="202">
        <v>1</v>
      </c>
      <c r="K1272" s="156" t="s">
        <v>730</v>
      </c>
      <c r="L1272" s="168" t="s">
        <v>2522</v>
      </c>
      <c r="M1272" s="19"/>
      <c r="N1272" s="168" t="s">
        <v>2597</v>
      </c>
      <c r="O1272" s="150"/>
      <c r="P1272" s="232"/>
      <c r="Q1272" s="232"/>
      <c r="R1272" s="168" t="s">
        <v>2592</v>
      </c>
    </row>
    <row r="1273" spans="1:39" ht="35.25" customHeight="1">
      <c r="A1273" s="15">
        <f t="shared" si="19"/>
        <v>1263</v>
      </c>
      <c r="B1273" s="161" t="s">
        <v>1873</v>
      </c>
      <c r="C1273" s="191" t="s">
        <v>723</v>
      </c>
      <c r="D1273" s="231"/>
      <c r="E1273" s="231"/>
      <c r="F1273" s="231"/>
      <c r="G1273" s="168" t="s">
        <v>2431</v>
      </c>
      <c r="H1273" s="141"/>
      <c r="I1273" s="202" t="s">
        <v>18</v>
      </c>
      <c r="J1273" s="202">
        <v>1</v>
      </c>
      <c r="K1273" s="156" t="s">
        <v>730</v>
      </c>
      <c r="L1273" s="168" t="s">
        <v>2522</v>
      </c>
      <c r="M1273" s="19"/>
      <c r="N1273" s="168" t="s">
        <v>2597</v>
      </c>
      <c r="O1273" s="150"/>
      <c r="P1273" s="232"/>
      <c r="Q1273" s="232"/>
      <c r="R1273" s="168" t="s">
        <v>2592</v>
      </c>
    </row>
    <row r="1274" spans="1:39" ht="35.25" customHeight="1">
      <c r="A1274" s="15">
        <f t="shared" si="19"/>
        <v>1264</v>
      </c>
      <c r="B1274" s="161" t="s">
        <v>1874</v>
      </c>
      <c r="C1274" s="191" t="s">
        <v>723</v>
      </c>
      <c r="D1274" s="231"/>
      <c r="E1274" s="231"/>
      <c r="F1274" s="231"/>
      <c r="G1274" s="168" t="s">
        <v>2432</v>
      </c>
      <c r="H1274" s="141"/>
      <c r="I1274" s="202" t="s">
        <v>18</v>
      </c>
      <c r="J1274" s="202">
        <v>1</v>
      </c>
      <c r="K1274" s="156" t="s">
        <v>730</v>
      </c>
      <c r="L1274" s="168" t="s">
        <v>2522</v>
      </c>
      <c r="M1274" s="19"/>
      <c r="N1274" s="168" t="s">
        <v>2597</v>
      </c>
      <c r="O1274" s="150"/>
      <c r="P1274" s="232"/>
      <c r="Q1274" s="232"/>
      <c r="R1274" s="168" t="s">
        <v>2592</v>
      </c>
    </row>
    <row r="1275" spans="1:39" ht="35.25" customHeight="1">
      <c r="A1275" s="15">
        <f t="shared" si="19"/>
        <v>1265</v>
      </c>
      <c r="B1275" s="161" t="s">
        <v>1875</v>
      </c>
      <c r="C1275" s="191" t="s">
        <v>723</v>
      </c>
      <c r="D1275" s="231"/>
      <c r="E1275" s="231"/>
      <c r="F1275" s="231"/>
      <c r="G1275" s="168" t="s">
        <v>2433</v>
      </c>
      <c r="H1275" s="141"/>
      <c r="I1275" s="202" t="s">
        <v>18</v>
      </c>
      <c r="J1275" s="202">
        <v>1</v>
      </c>
      <c r="K1275" s="156" t="s">
        <v>730</v>
      </c>
      <c r="L1275" s="168" t="s">
        <v>2522</v>
      </c>
      <c r="M1275" s="19"/>
      <c r="N1275" s="168" t="s">
        <v>2597</v>
      </c>
      <c r="O1275" s="150"/>
      <c r="P1275" s="232"/>
      <c r="Q1275" s="232"/>
      <c r="R1275" s="168" t="s">
        <v>2592</v>
      </c>
    </row>
    <row r="1276" spans="1:39" ht="35.25" customHeight="1">
      <c r="A1276" s="15">
        <f t="shared" si="19"/>
        <v>1266</v>
      </c>
      <c r="B1276" s="161" t="s">
        <v>1876</v>
      </c>
      <c r="C1276" s="191" t="s">
        <v>723</v>
      </c>
      <c r="D1276" s="231"/>
      <c r="E1276" s="231"/>
      <c r="F1276" s="231"/>
      <c r="G1276" s="168" t="s">
        <v>2433</v>
      </c>
      <c r="H1276" s="141"/>
      <c r="I1276" s="202" t="s">
        <v>18</v>
      </c>
      <c r="J1276" s="202">
        <v>1</v>
      </c>
      <c r="K1276" s="156" t="s">
        <v>730</v>
      </c>
      <c r="L1276" s="168" t="s">
        <v>2522</v>
      </c>
      <c r="M1276" s="19"/>
      <c r="N1276" s="168" t="s">
        <v>2597</v>
      </c>
      <c r="O1276" s="150"/>
      <c r="P1276" s="232"/>
      <c r="Q1276" s="232"/>
      <c r="R1276" s="168" t="s">
        <v>2592</v>
      </c>
    </row>
    <row r="1277" spans="1:39" ht="35.25" customHeight="1">
      <c r="A1277" s="15">
        <f t="shared" si="19"/>
        <v>1267</v>
      </c>
      <c r="B1277" s="161" t="s">
        <v>1877</v>
      </c>
      <c r="C1277" s="191" t="s">
        <v>723</v>
      </c>
      <c r="D1277" s="231"/>
      <c r="E1277" s="231"/>
      <c r="F1277" s="231"/>
      <c r="G1277" s="168" t="s">
        <v>2433</v>
      </c>
      <c r="H1277" s="141"/>
      <c r="I1277" s="202" t="s">
        <v>18</v>
      </c>
      <c r="J1277" s="202">
        <v>1</v>
      </c>
      <c r="K1277" s="156" t="s">
        <v>730</v>
      </c>
      <c r="L1277" s="168" t="s">
        <v>2522</v>
      </c>
      <c r="M1277" s="19"/>
      <c r="N1277" s="168" t="s">
        <v>2597</v>
      </c>
      <c r="O1277" s="150"/>
      <c r="P1277" s="232"/>
      <c r="Q1277" s="232"/>
      <c r="R1277" s="168" t="s">
        <v>2592</v>
      </c>
    </row>
    <row r="1278" spans="1:39" ht="35.25" customHeight="1">
      <c r="A1278" s="15">
        <f t="shared" si="19"/>
        <v>1268</v>
      </c>
      <c r="B1278" s="161" t="s">
        <v>1878</v>
      </c>
      <c r="C1278" s="191" t="s">
        <v>723</v>
      </c>
      <c r="D1278" s="231"/>
      <c r="E1278" s="231"/>
      <c r="F1278" s="231"/>
      <c r="G1278" s="168" t="s">
        <v>2433</v>
      </c>
      <c r="H1278" s="141"/>
      <c r="I1278" s="202" t="s">
        <v>18</v>
      </c>
      <c r="J1278" s="202">
        <v>1</v>
      </c>
      <c r="K1278" s="156" t="s">
        <v>730</v>
      </c>
      <c r="L1278" s="168" t="s">
        <v>2522</v>
      </c>
      <c r="M1278" s="19"/>
      <c r="N1278" s="168" t="s">
        <v>2597</v>
      </c>
      <c r="O1278" s="150"/>
      <c r="P1278" s="232"/>
      <c r="Q1278" s="232"/>
      <c r="R1278" s="168" t="s">
        <v>2592</v>
      </c>
    </row>
    <row r="1279" spans="1:39" ht="35.25" customHeight="1">
      <c r="A1279" s="15">
        <f t="shared" si="19"/>
        <v>1269</v>
      </c>
      <c r="B1279" s="161" t="s">
        <v>1879</v>
      </c>
      <c r="C1279" s="191" t="s">
        <v>723</v>
      </c>
      <c r="D1279" s="231"/>
      <c r="E1279" s="231"/>
      <c r="F1279" s="231"/>
      <c r="G1279" s="168" t="s">
        <v>2433</v>
      </c>
      <c r="H1279" s="141"/>
      <c r="I1279" s="202" t="s">
        <v>18</v>
      </c>
      <c r="J1279" s="202">
        <v>1</v>
      </c>
      <c r="K1279" s="156" t="s">
        <v>730</v>
      </c>
      <c r="L1279" s="168" t="s">
        <v>2522</v>
      </c>
      <c r="M1279" s="19"/>
      <c r="N1279" s="168" t="s">
        <v>2597</v>
      </c>
      <c r="O1279" s="150"/>
      <c r="P1279" s="232"/>
      <c r="Q1279" s="232"/>
      <c r="R1279" s="168" t="s">
        <v>2592</v>
      </c>
    </row>
    <row r="1280" spans="1:39" ht="35.25" customHeight="1">
      <c r="A1280" s="15">
        <f t="shared" si="19"/>
        <v>1270</v>
      </c>
      <c r="B1280" s="161" t="s">
        <v>1880</v>
      </c>
      <c r="C1280" s="191" t="s">
        <v>723</v>
      </c>
      <c r="D1280" s="231"/>
      <c r="E1280" s="231"/>
      <c r="F1280" s="231"/>
      <c r="G1280" s="168" t="s">
        <v>2433</v>
      </c>
      <c r="H1280" s="141"/>
      <c r="I1280" s="202" t="s">
        <v>18</v>
      </c>
      <c r="J1280" s="202">
        <v>1</v>
      </c>
      <c r="K1280" s="156" t="s">
        <v>730</v>
      </c>
      <c r="L1280" s="168" t="s">
        <v>2522</v>
      </c>
      <c r="M1280" s="19"/>
      <c r="N1280" s="168" t="s">
        <v>2597</v>
      </c>
      <c r="O1280" s="150"/>
      <c r="P1280" s="233"/>
      <c r="Q1280" s="233"/>
      <c r="R1280" s="168" t="s">
        <v>2592</v>
      </c>
    </row>
    <row r="1281" spans="1:39" ht="35.25" customHeight="1">
      <c r="A1281" s="15">
        <f t="shared" si="19"/>
        <v>1271</v>
      </c>
      <c r="B1281" s="161" t="s">
        <v>1881</v>
      </c>
      <c r="C1281" s="191" t="s">
        <v>723</v>
      </c>
      <c r="D1281" s="231"/>
      <c r="E1281" s="231"/>
      <c r="F1281" s="231"/>
      <c r="G1281" s="168" t="s">
        <v>2433</v>
      </c>
      <c r="H1281" s="141"/>
      <c r="I1281" s="202" t="s">
        <v>18</v>
      </c>
      <c r="J1281" s="202">
        <v>1</v>
      </c>
      <c r="K1281" s="156" t="s">
        <v>730</v>
      </c>
      <c r="L1281" s="168" t="s">
        <v>2522</v>
      </c>
      <c r="M1281" s="19"/>
      <c r="N1281" s="168" t="s">
        <v>2597</v>
      </c>
      <c r="O1281" s="150"/>
      <c r="P1281" s="233"/>
      <c r="Q1281" s="233"/>
      <c r="R1281" s="168" t="s">
        <v>2592</v>
      </c>
    </row>
    <row r="1282" spans="1:39" ht="35.25" customHeight="1">
      <c r="A1282" s="15">
        <f t="shared" si="19"/>
        <v>1272</v>
      </c>
      <c r="B1282" s="161" t="s">
        <v>1882</v>
      </c>
      <c r="C1282" s="191" t="s">
        <v>723</v>
      </c>
      <c r="D1282" s="231"/>
      <c r="E1282" s="231"/>
      <c r="F1282" s="231"/>
      <c r="G1282" s="168" t="s">
        <v>2433</v>
      </c>
      <c r="H1282" s="141"/>
      <c r="I1282" s="202" t="s">
        <v>18</v>
      </c>
      <c r="J1282" s="202">
        <v>1</v>
      </c>
      <c r="K1282" s="156" t="s">
        <v>730</v>
      </c>
      <c r="L1282" s="168" t="s">
        <v>2522</v>
      </c>
      <c r="M1282" s="19"/>
      <c r="N1282" s="168" t="s">
        <v>2597</v>
      </c>
      <c r="O1282" s="150"/>
      <c r="P1282" s="233"/>
      <c r="Q1282" s="233"/>
      <c r="R1282" s="168" t="s">
        <v>2592</v>
      </c>
    </row>
    <row r="1283" spans="1:39" ht="35.25" customHeight="1">
      <c r="A1283" s="15">
        <f t="shared" si="19"/>
        <v>1273</v>
      </c>
      <c r="B1283" s="161" t="s">
        <v>1883</v>
      </c>
      <c r="C1283" s="191" t="s">
        <v>723</v>
      </c>
      <c r="D1283" s="189"/>
      <c r="E1283" s="189"/>
      <c r="F1283" s="189"/>
      <c r="G1283" s="168" t="s">
        <v>2433</v>
      </c>
      <c r="H1283" s="141"/>
      <c r="I1283" s="202" t="s">
        <v>18</v>
      </c>
      <c r="J1283" s="202">
        <v>1</v>
      </c>
      <c r="K1283" s="156" t="s">
        <v>730</v>
      </c>
      <c r="L1283" s="168" t="s">
        <v>2522</v>
      </c>
      <c r="M1283" s="19"/>
      <c r="N1283" s="168" t="s">
        <v>2597</v>
      </c>
      <c r="O1283" s="150"/>
      <c r="P1283" s="190"/>
      <c r="Q1283" s="190"/>
      <c r="R1283" s="168" t="s">
        <v>2592</v>
      </c>
    </row>
    <row r="1284" spans="1:39" ht="35.25" customHeight="1">
      <c r="A1284" s="15">
        <f t="shared" si="19"/>
        <v>1274</v>
      </c>
      <c r="B1284" s="161" t="s">
        <v>1884</v>
      </c>
      <c r="C1284" s="191" t="s">
        <v>723</v>
      </c>
      <c r="D1284" s="189"/>
      <c r="E1284" s="189"/>
      <c r="F1284" s="189"/>
      <c r="G1284" s="168" t="s">
        <v>2433</v>
      </c>
      <c r="H1284" s="141"/>
      <c r="I1284" s="202" t="s">
        <v>18</v>
      </c>
      <c r="J1284" s="202">
        <v>1</v>
      </c>
      <c r="K1284" s="156" t="s">
        <v>730</v>
      </c>
      <c r="L1284" s="168" t="s">
        <v>2522</v>
      </c>
      <c r="M1284" s="19"/>
      <c r="N1284" s="168" t="s">
        <v>2597</v>
      </c>
      <c r="O1284" s="150"/>
      <c r="P1284" s="190"/>
      <c r="Q1284" s="190"/>
      <c r="R1284" s="168" t="s">
        <v>2592</v>
      </c>
    </row>
    <row r="1285" spans="1:39" ht="35.25" customHeight="1">
      <c r="A1285" s="15">
        <f t="shared" si="19"/>
        <v>1275</v>
      </c>
      <c r="B1285" s="161" t="s">
        <v>1885</v>
      </c>
      <c r="C1285" s="191" t="s">
        <v>723</v>
      </c>
      <c r="D1285" s="189"/>
      <c r="E1285" s="189"/>
      <c r="F1285" s="189"/>
      <c r="G1285" s="168" t="s">
        <v>2433</v>
      </c>
      <c r="H1285" s="141"/>
      <c r="I1285" s="202" t="s">
        <v>18</v>
      </c>
      <c r="J1285" s="202">
        <v>1</v>
      </c>
      <c r="K1285" s="156" t="s">
        <v>730</v>
      </c>
      <c r="L1285" s="168" t="s">
        <v>2522</v>
      </c>
      <c r="M1285" s="19"/>
      <c r="N1285" s="168" t="s">
        <v>2597</v>
      </c>
      <c r="O1285" s="150"/>
      <c r="P1285" s="190"/>
      <c r="Q1285" s="190"/>
      <c r="R1285" s="168" t="s">
        <v>2592</v>
      </c>
    </row>
    <row r="1286" spans="1:39" ht="35.25" customHeight="1">
      <c r="A1286" s="15">
        <f t="shared" si="19"/>
        <v>1276</v>
      </c>
      <c r="B1286" s="161" t="s">
        <v>1886</v>
      </c>
      <c r="C1286" s="191" t="s">
        <v>723</v>
      </c>
      <c r="D1286" s="46"/>
      <c r="E1286" s="46"/>
      <c r="F1286" s="46"/>
      <c r="G1286" s="168" t="s">
        <v>2433</v>
      </c>
      <c r="H1286" s="141"/>
      <c r="I1286" s="202" t="s">
        <v>18</v>
      </c>
      <c r="J1286" s="202">
        <v>1</v>
      </c>
      <c r="K1286" s="156" t="s">
        <v>730</v>
      </c>
      <c r="L1286" s="168" t="s">
        <v>2522</v>
      </c>
      <c r="M1286" s="19"/>
      <c r="N1286" s="168" t="s">
        <v>2597</v>
      </c>
      <c r="O1286" s="150"/>
      <c r="P1286" s="190"/>
      <c r="Q1286" s="190"/>
      <c r="R1286" s="168" t="s">
        <v>2592</v>
      </c>
    </row>
    <row r="1287" spans="1:39" ht="35.25" customHeight="1">
      <c r="A1287" s="15">
        <f t="shared" si="19"/>
        <v>1277</v>
      </c>
      <c r="B1287" s="161" t="s">
        <v>1887</v>
      </c>
      <c r="C1287" s="191" t="s">
        <v>723</v>
      </c>
      <c r="D1287" s="176"/>
      <c r="E1287" s="176"/>
      <c r="F1287" s="176"/>
      <c r="G1287" s="168" t="s">
        <v>2433</v>
      </c>
      <c r="H1287" s="141"/>
      <c r="I1287" s="202" t="s">
        <v>18</v>
      </c>
      <c r="J1287" s="202">
        <v>1</v>
      </c>
      <c r="K1287" s="156" t="s">
        <v>730</v>
      </c>
      <c r="L1287" s="168" t="s">
        <v>2522</v>
      </c>
      <c r="M1287" s="19"/>
      <c r="N1287" s="168" t="s">
        <v>2597</v>
      </c>
      <c r="O1287" s="150"/>
      <c r="P1287" s="190"/>
      <c r="Q1287" s="190"/>
      <c r="R1287" s="168" t="s">
        <v>2592</v>
      </c>
    </row>
    <row r="1288" spans="1:39" s="136" customFormat="1" ht="35.25" customHeight="1">
      <c r="A1288" s="15">
        <f t="shared" si="19"/>
        <v>1278</v>
      </c>
      <c r="B1288" s="161" t="s">
        <v>1888</v>
      </c>
      <c r="C1288" s="191" t="s">
        <v>723</v>
      </c>
      <c r="D1288" s="189"/>
      <c r="E1288" s="189"/>
      <c r="F1288" s="189"/>
      <c r="G1288" s="168" t="s">
        <v>2433</v>
      </c>
      <c r="H1288" s="141"/>
      <c r="I1288" s="202" t="s">
        <v>18</v>
      </c>
      <c r="J1288" s="202">
        <v>1</v>
      </c>
      <c r="K1288" s="156" t="s">
        <v>730</v>
      </c>
      <c r="L1288" s="168" t="s">
        <v>2522</v>
      </c>
      <c r="M1288" s="19"/>
      <c r="N1288" s="168" t="s">
        <v>2597</v>
      </c>
      <c r="O1288" s="150"/>
      <c r="P1288" s="190"/>
      <c r="Q1288" s="190"/>
      <c r="R1288" s="168" t="s">
        <v>2592</v>
      </c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</row>
    <row r="1289" spans="1:39" ht="35.25" customHeight="1">
      <c r="A1289" s="15">
        <f t="shared" si="19"/>
        <v>1279</v>
      </c>
      <c r="B1289" s="161" t="s">
        <v>1889</v>
      </c>
      <c r="C1289" s="191" t="s">
        <v>723</v>
      </c>
      <c r="D1289" s="169"/>
      <c r="E1289" s="169"/>
      <c r="F1289" s="169"/>
      <c r="G1289" s="168" t="s">
        <v>2433</v>
      </c>
      <c r="H1289" s="141"/>
      <c r="I1289" s="202" t="s">
        <v>18</v>
      </c>
      <c r="J1289" s="202">
        <v>1</v>
      </c>
      <c r="K1289" s="156" t="s">
        <v>730</v>
      </c>
      <c r="L1289" s="168" t="s">
        <v>2522</v>
      </c>
      <c r="M1289" s="19"/>
      <c r="N1289" s="168" t="s">
        <v>2597</v>
      </c>
      <c r="O1289" s="150"/>
      <c r="P1289" s="158"/>
      <c r="Q1289" s="158"/>
      <c r="R1289" s="168" t="s">
        <v>2592</v>
      </c>
    </row>
    <row r="1290" spans="1:39" ht="35.25" customHeight="1">
      <c r="A1290" s="15">
        <f t="shared" si="19"/>
        <v>1280</v>
      </c>
      <c r="B1290" s="161" t="s">
        <v>1890</v>
      </c>
      <c r="C1290" s="191" t="s">
        <v>723</v>
      </c>
      <c r="D1290" s="156"/>
      <c r="E1290" s="156"/>
      <c r="F1290" s="156"/>
      <c r="G1290" s="168" t="s">
        <v>2433</v>
      </c>
      <c r="H1290" s="141"/>
      <c r="I1290" s="202" t="s">
        <v>18</v>
      </c>
      <c r="J1290" s="202">
        <v>1</v>
      </c>
      <c r="K1290" s="156" t="s">
        <v>730</v>
      </c>
      <c r="L1290" s="168" t="s">
        <v>2522</v>
      </c>
      <c r="M1290" s="19"/>
      <c r="N1290" s="168" t="s">
        <v>2597</v>
      </c>
      <c r="O1290" s="150"/>
      <c r="P1290" s="158"/>
      <c r="Q1290" s="158"/>
      <c r="R1290" s="168" t="s">
        <v>2592</v>
      </c>
    </row>
    <row r="1291" spans="1:39" ht="35.25" customHeight="1">
      <c r="A1291" s="15">
        <f t="shared" si="19"/>
        <v>1281</v>
      </c>
      <c r="B1291" s="161" t="s">
        <v>1891</v>
      </c>
      <c r="C1291" s="191" t="s">
        <v>723</v>
      </c>
      <c r="D1291" s="156"/>
      <c r="E1291" s="156"/>
      <c r="F1291" s="156"/>
      <c r="G1291" s="168" t="s">
        <v>2433</v>
      </c>
      <c r="H1291" s="141"/>
      <c r="I1291" s="202" t="s">
        <v>18</v>
      </c>
      <c r="J1291" s="202">
        <v>1</v>
      </c>
      <c r="K1291" s="156" t="s">
        <v>730</v>
      </c>
      <c r="L1291" s="168" t="s">
        <v>2522</v>
      </c>
      <c r="M1291" s="19"/>
      <c r="N1291" s="168" t="s">
        <v>2597</v>
      </c>
      <c r="O1291" s="150"/>
      <c r="P1291" s="158"/>
      <c r="Q1291" s="158"/>
      <c r="R1291" s="168" t="s">
        <v>2592</v>
      </c>
    </row>
    <row r="1292" spans="1:39" ht="35.25" customHeight="1">
      <c r="A1292" s="15">
        <f t="shared" si="19"/>
        <v>1282</v>
      </c>
      <c r="B1292" s="161" t="s">
        <v>1892</v>
      </c>
      <c r="C1292" s="191" t="s">
        <v>723</v>
      </c>
      <c r="D1292" s="156"/>
      <c r="E1292" s="156"/>
      <c r="F1292" s="156"/>
      <c r="G1292" s="168" t="s">
        <v>2433</v>
      </c>
      <c r="H1292" s="141"/>
      <c r="I1292" s="202" t="s">
        <v>18</v>
      </c>
      <c r="J1292" s="202">
        <v>1</v>
      </c>
      <c r="K1292" s="156" t="s">
        <v>730</v>
      </c>
      <c r="L1292" s="168" t="s">
        <v>2522</v>
      </c>
      <c r="M1292" s="19"/>
      <c r="N1292" s="168" t="s">
        <v>2597</v>
      </c>
      <c r="O1292" s="150"/>
      <c r="P1292" s="158"/>
      <c r="Q1292" s="158"/>
      <c r="R1292" s="168" t="s">
        <v>2592</v>
      </c>
    </row>
    <row r="1293" spans="1:39" ht="35.25" customHeight="1">
      <c r="A1293" s="15">
        <f t="shared" si="19"/>
        <v>1283</v>
      </c>
      <c r="B1293" s="161" t="s">
        <v>1893</v>
      </c>
      <c r="C1293" s="191" t="s">
        <v>723</v>
      </c>
      <c r="D1293" s="156"/>
      <c r="E1293" s="156"/>
      <c r="F1293" s="156"/>
      <c r="G1293" s="168" t="s">
        <v>2433</v>
      </c>
      <c r="H1293" s="141"/>
      <c r="I1293" s="202" t="s">
        <v>18</v>
      </c>
      <c r="J1293" s="202">
        <v>1</v>
      </c>
      <c r="K1293" s="156" t="s">
        <v>730</v>
      </c>
      <c r="L1293" s="168" t="s">
        <v>2522</v>
      </c>
      <c r="M1293" s="19"/>
      <c r="N1293" s="168" t="s">
        <v>2597</v>
      </c>
      <c r="O1293" s="150"/>
      <c r="P1293" s="158"/>
      <c r="Q1293" s="158"/>
      <c r="R1293" s="168" t="s">
        <v>2592</v>
      </c>
    </row>
    <row r="1294" spans="1:39" ht="35.25" customHeight="1">
      <c r="A1294" s="15">
        <f t="shared" si="19"/>
        <v>1284</v>
      </c>
      <c r="B1294" s="161" t="s">
        <v>1894</v>
      </c>
      <c r="C1294" s="191" t="s">
        <v>723</v>
      </c>
      <c r="D1294" s="19"/>
      <c r="E1294" s="19"/>
      <c r="F1294" s="19"/>
      <c r="G1294" s="168" t="s">
        <v>2433</v>
      </c>
      <c r="H1294" s="141"/>
      <c r="I1294" s="202" t="s">
        <v>18</v>
      </c>
      <c r="J1294" s="202">
        <v>1</v>
      </c>
      <c r="K1294" s="156" t="s">
        <v>730</v>
      </c>
      <c r="L1294" s="168" t="s">
        <v>2522</v>
      </c>
      <c r="M1294" s="19"/>
      <c r="N1294" s="168" t="s">
        <v>2597</v>
      </c>
      <c r="O1294" s="150"/>
      <c r="P1294" s="158"/>
      <c r="Q1294" s="158"/>
      <c r="R1294" s="168" t="s">
        <v>2592</v>
      </c>
    </row>
    <row r="1295" spans="1:39" s="136" customFormat="1" ht="35.25" customHeight="1">
      <c r="A1295" s="15">
        <f t="shared" si="19"/>
        <v>1285</v>
      </c>
      <c r="B1295" s="161" t="s">
        <v>1895</v>
      </c>
      <c r="C1295" s="191" t="s">
        <v>723</v>
      </c>
      <c r="D1295" s="176"/>
      <c r="E1295" s="176"/>
      <c r="F1295" s="176"/>
      <c r="G1295" s="168" t="s">
        <v>2433</v>
      </c>
      <c r="H1295" s="141"/>
      <c r="I1295" s="202" t="s">
        <v>18</v>
      </c>
      <c r="J1295" s="202">
        <v>1</v>
      </c>
      <c r="K1295" s="156" t="s">
        <v>730</v>
      </c>
      <c r="L1295" s="168" t="s">
        <v>2522</v>
      </c>
      <c r="M1295" s="19"/>
      <c r="N1295" s="168" t="s">
        <v>2597</v>
      </c>
      <c r="O1295" s="150"/>
      <c r="P1295" s="156"/>
      <c r="Q1295" s="156"/>
      <c r="R1295" s="168" t="s">
        <v>2592</v>
      </c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</row>
    <row r="1296" spans="1:39" s="136" customFormat="1" ht="35.25" customHeight="1">
      <c r="A1296" s="15">
        <f t="shared" si="19"/>
        <v>1286</v>
      </c>
      <c r="B1296" s="161" t="s">
        <v>1896</v>
      </c>
      <c r="C1296" s="191" t="s">
        <v>723</v>
      </c>
      <c r="D1296" s="176"/>
      <c r="E1296" s="176"/>
      <c r="F1296" s="176"/>
      <c r="G1296" s="168" t="s">
        <v>2433</v>
      </c>
      <c r="H1296" s="141"/>
      <c r="I1296" s="202" t="s">
        <v>18</v>
      </c>
      <c r="J1296" s="202">
        <v>1</v>
      </c>
      <c r="K1296" s="156" t="s">
        <v>730</v>
      </c>
      <c r="L1296" s="168" t="s">
        <v>2522</v>
      </c>
      <c r="M1296" s="19"/>
      <c r="N1296" s="168" t="s">
        <v>2597</v>
      </c>
      <c r="O1296" s="150"/>
      <c r="P1296" s="180"/>
      <c r="Q1296" s="180"/>
      <c r="R1296" s="168" t="s">
        <v>2592</v>
      </c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</row>
    <row r="1297" spans="1:18" ht="35.25" customHeight="1">
      <c r="A1297" s="15">
        <f t="shared" si="19"/>
        <v>1287</v>
      </c>
      <c r="B1297" s="161" t="s">
        <v>1897</v>
      </c>
      <c r="C1297" s="191" t="s">
        <v>723</v>
      </c>
      <c r="D1297" s="156"/>
      <c r="E1297" s="156"/>
      <c r="F1297" s="156"/>
      <c r="G1297" s="168" t="s">
        <v>2433</v>
      </c>
      <c r="H1297" s="141"/>
      <c r="I1297" s="202" t="s">
        <v>18</v>
      </c>
      <c r="J1297" s="202">
        <v>1</v>
      </c>
      <c r="K1297" s="156" t="s">
        <v>730</v>
      </c>
      <c r="L1297" s="168" t="s">
        <v>2522</v>
      </c>
      <c r="M1297" s="19"/>
      <c r="N1297" s="168" t="s">
        <v>2597</v>
      </c>
      <c r="O1297" s="150"/>
      <c r="P1297" s="177"/>
      <c r="Q1297" s="177"/>
      <c r="R1297" s="168" t="s">
        <v>2592</v>
      </c>
    </row>
    <row r="1298" spans="1:18" ht="35.25" customHeight="1">
      <c r="A1298" s="15">
        <f t="shared" si="19"/>
        <v>1288</v>
      </c>
      <c r="B1298" s="161" t="s">
        <v>1898</v>
      </c>
      <c r="C1298" s="191" t="s">
        <v>723</v>
      </c>
      <c r="D1298" s="156"/>
      <c r="E1298" s="156"/>
      <c r="F1298" s="156"/>
      <c r="G1298" s="168" t="s">
        <v>2433</v>
      </c>
      <c r="H1298" s="141"/>
      <c r="I1298" s="202" t="s">
        <v>18</v>
      </c>
      <c r="J1298" s="202">
        <v>1</v>
      </c>
      <c r="K1298" s="156" t="s">
        <v>730</v>
      </c>
      <c r="L1298" s="168" t="s">
        <v>2522</v>
      </c>
      <c r="M1298" s="19"/>
      <c r="N1298" s="168" t="s">
        <v>2597</v>
      </c>
      <c r="O1298" s="150"/>
      <c r="P1298" s="158"/>
      <c r="Q1298" s="158"/>
      <c r="R1298" s="168" t="s">
        <v>2592</v>
      </c>
    </row>
    <row r="1299" spans="1:18" ht="35.25" customHeight="1">
      <c r="A1299" s="15">
        <f t="shared" ref="A1299:A1362" si="20">A1298+1</f>
        <v>1289</v>
      </c>
      <c r="B1299" s="161" t="s">
        <v>1899</v>
      </c>
      <c r="C1299" s="191" t="s">
        <v>723</v>
      </c>
      <c r="D1299" s="156"/>
      <c r="E1299" s="156"/>
      <c r="F1299" s="156"/>
      <c r="G1299" s="168" t="s">
        <v>2433</v>
      </c>
      <c r="H1299" s="141"/>
      <c r="I1299" s="202" t="s">
        <v>18</v>
      </c>
      <c r="J1299" s="202">
        <v>1</v>
      </c>
      <c r="K1299" s="156" t="s">
        <v>730</v>
      </c>
      <c r="L1299" s="168" t="s">
        <v>2522</v>
      </c>
      <c r="M1299" s="19"/>
      <c r="N1299" s="168" t="s">
        <v>2597</v>
      </c>
      <c r="O1299" s="150"/>
      <c r="P1299" s="177"/>
      <c r="Q1299" s="177"/>
      <c r="R1299" s="168" t="s">
        <v>2592</v>
      </c>
    </row>
    <row r="1300" spans="1:18" ht="35.25" customHeight="1">
      <c r="A1300" s="15">
        <f t="shared" si="20"/>
        <v>1290</v>
      </c>
      <c r="B1300" s="161" t="s">
        <v>1900</v>
      </c>
      <c r="C1300" s="191" t="s">
        <v>723</v>
      </c>
      <c r="D1300" s="156"/>
      <c r="E1300" s="156"/>
      <c r="F1300" s="156"/>
      <c r="G1300" s="168" t="s">
        <v>2433</v>
      </c>
      <c r="H1300" s="141"/>
      <c r="I1300" s="202" t="s">
        <v>18</v>
      </c>
      <c r="J1300" s="202">
        <v>1</v>
      </c>
      <c r="K1300" s="156" t="s">
        <v>730</v>
      </c>
      <c r="L1300" s="168" t="s">
        <v>2522</v>
      </c>
      <c r="M1300" s="19"/>
      <c r="N1300" s="168" t="s">
        <v>2597</v>
      </c>
      <c r="O1300" s="150"/>
      <c r="P1300" s="158"/>
      <c r="Q1300" s="158"/>
      <c r="R1300" s="168" t="s">
        <v>2592</v>
      </c>
    </row>
    <row r="1301" spans="1:18" ht="35.25" customHeight="1">
      <c r="A1301" s="15">
        <f t="shared" si="20"/>
        <v>1291</v>
      </c>
      <c r="B1301" s="161" t="s">
        <v>1901</v>
      </c>
      <c r="C1301" s="191" t="s">
        <v>723</v>
      </c>
      <c r="D1301" s="156"/>
      <c r="E1301" s="156"/>
      <c r="F1301" s="156"/>
      <c r="G1301" s="168" t="s">
        <v>2433</v>
      </c>
      <c r="H1301" s="141"/>
      <c r="I1301" s="202" t="s">
        <v>18</v>
      </c>
      <c r="J1301" s="202">
        <v>1</v>
      </c>
      <c r="K1301" s="156" t="s">
        <v>730</v>
      </c>
      <c r="L1301" s="168" t="s">
        <v>2522</v>
      </c>
      <c r="M1301" s="19"/>
      <c r="N1301" s="168" t="s">
        <v>2597</v>
      </c>
      <c r="O1301" s="150"/>
      <c r="P1301" s="158"/>
      <c r="Q1301" s="158"/>
      <c r="R1301" s="168" t="s">
        <v>2592</v>
      </c>
    </row>
    <row r="1302" spans="1:18" ht="35.25" customHeight="1">
      <c r="A1302" s="15">
        <f t="shared" si="20"/>
        <v>1292</v>
      </c>
      <c r="B1302" s="161" t="s">
        <v>1902</v>
      </c>
      <c r="C1302" s="191" t="s">
        <v>723</v>
      </c>
      <c r="D1302" s="156"/>
      <c r="E1302" s="156"/>
      <c r="F1302" s="156"/>
      <c r="G1302" s="168" t="s">
        <v>2433</v>
      </c>
      <c r="H1302" s="141"/>
      <c r="I1302" s="202" t="s">
        <v>18</v>
      </c>
      <c r="J1302" s="202">
        <v>1</v>
      </c>
      <c r="K1302" s="156" t="s">
        <v>730</v>
      </c>
      <c r="L1302" s="168" t="s">
        <v>2522</v>
      </c>
      <c r="M1302" s="19"/>
      <c r="N1302" s="168" t="s">
        <v>2597</v>
      </c>
      <c r="O1302" s="150"/>
      <c r="P1302" s="158"/>
      <c r="Q1302" s="158"/>
      <c r="R1302" s="168" t="s">
        <v>2592</v>
      </c>
    </row>
    <row r="1303" spans="1:18" ht="35.25" customHeight="1">
      <c r="A1303" s="15">
        <f t="shared" si="20"/>
        <v>1293</v>
      </c>
      <c r="B1303" s="161" t="s">
        <v>1903</v>
      </c>
      <c r="C1303" s="191" t="s">
        <v>723</v>
      </c>
      <c r="D1303" s="156"/>
      <c r="E1303" s="156"/>
      <c r="F1303" s="156"/>
      <c r="G1303" s="168" t="s">
        <v>2433</v>
      </c>
      <c r="H1303" s="141"/>
      <c r="I1303" s="202" t="s">
        <v>18</v>
      </c>
      <c r="J1303" s="202">
        <v>1</v>
      </c>
      <c r="K1303" s="156" t="s">
        <v>730</v>
      </c>
      <c r="L1303" s="168" t="s">
        <v>2522</v>
      </c>
      <c r="M1303" s="19"/>
      <c r="N1303" s="168" t="s">
        <v>2597</v>
      </c>
      <c r="O1303" s="150"/>
      <c r="P1303" s="158"/>
      <c r="Q1303" s="158"/>
      <c r="R1303" s="168" t="s">
        <v>2592</v>
      </c>
    </row>
    <row r="1304" spans="1:18" ht="35.25" customHeight="1">
      <c r="A1304" s="15">
        <f t="shared" si="20"/>
        <v>1294</v>
      </c>
      <c r="B1304" s="161" t="s">
        <v>1904</v>
      </c>
      <c r="C1304" s="191" t="s">
        <v>723</v>
      </c>
      <c r="D1304" s="156"/>
      <c r="E1304" s="156"/>
      <c r="F1304" s="156"/>
      <c r="G1304" s="168" t="s">
        <v>2433</v>
      </c>
      <c r="H1304" s="141"/>
      <c r="I1304" s="202" t="s">
        <v>18</v>
      </c>
      <c r="J1304" s="202">
        <v>1</v>
      </c>
      <c r="K1304" s="156" t="s">
        <v>730</v>
      </c>
      <c r="L1304" s="168" t="s">
        <v>2522</v>
      </c>
      <c r="M1304" s="19"/>
      <c r="N1304" s="168" t="s">
        <v>2597</v>
      </c>
      <c r="O1304" s="150"/>
      <c r="P1304" s="158"/>
      <c r="Q1304" s="158"/>
      <c r="R1304" s="168" t="s">
        <v>2592</v>
      </c>
    </row>
    <row r="1305" spans="1:18" ht="35.25" customHeight="1">
      <c r="A1305" s="15">
        <f t="shared" si="20"/>
        <v>1295</v>
      </c>
      <c r="B1305" s="161" t="s">
        <v>1905</v>
      </c>
      <c r="C1305" s="191" t="s">
        <v>723</v>
      </c>
      <c r="D1305" s="179"/>
      <c r="E1305" s="179"/>
      <c r="F1305" s="179"/>
      <c r="G1305" s="168" t="s">
        <v>2433</v>
      </c>
      <c r="H1305" s="141"/>
      <c r="I1305" s="202" t="s">
        <v>18</v>
      </c>
      <c r="J1305" s="202">
        <v>1</v>
      </c>
      <c r="K1305" s="156" t="s">
        <v>730</v>
      </c>
      <c r="L1305" s="168" t="s">
        <v>2522</v>
      </c>
      <c r="M1305" s="19"/>
      <c r="N1305" s="168" t="s">
        <v>2597</v>
      </c>
      <c r="O1305" s="150"/>
      <c r="P1305" s="158"/>
      <c r="Q1305" s="158"/>
      <c r="R1305" s="168" t="s">
        <v>2592</v>
      </c>
    </row>
    <row r="1306" spans="1:18" ht="35.25" customHeight="1">
      <c r="A1306" s="15">
        <f t="shared" si="20"/>
        <v>1296</v>
      </c>
      <c r="B1306" s="161" t="s">
        <v>1906</v>
      </c>
      <c r="C1306" s="191" t="s">
        <v>723</v>
      </c>
      <c r="D1306" s="178"/>
      <c r="E1306" s="178"/>
      <c r="F1306" s="178"/>
      <c r="G1306" s="168" t="s">
        <v>2433</v>
      </c>
      <c r="H1306" s="141"/>
      <c r="I1306" s="202" t="s">
        <v>18</v>
      </c>
      <c r="J1306" s="202">
        <v>1</v>
      </c>
      <c r="K1306" s="156" t="s">
        <v>730</v>
      </c>
      <c r="L1306" s="168" t="s">
        <v>2522</v>
      </c>
      <c r="M1306" s="19"/>
      <c r="N1306" s="168" t="s">
        <v>2597</v>
      </c>
      <c r="O1306" s="150"/>
      <c r="P1306" s="255"/>
      <c r="Q1306" s="255"/>
      <c r="R1306" s="168" t="s">
        <v>2592</v>
      </c>
    </row>
    <row r="1307" spans="1:18" ht="35.25" customHeight="1">
      <c r="A1307" s="15">
        <f t="shared" si="20"/>
        <v>1297</v>
      </c>
      <c r="B1307" s="161" t="s">
        <v>1907</v>
      </c>
      <c r="C1307" s="191" t="s">
        <v>723</v>
      </c>
      <c r="D1307" s="179"/>
      <c r="E1307" s="179"/>
      <c r="F1307" s="179"/>
      <c r="G1307" s="168" t="s">
        <v>2433</v>
      </c>
      <c r="H1307" s="141"/>
      <c r="I1307" s="202" t="s">
        <v>18</v>
      </c>
      <c r="J1307" s="202">
        <v>1</v>
      </c>
      <c r="K1307" s="156" t="s">
        <v>730</v>
      </c>
      <c r="L1307" s="168" t="s">
        <v>2522</v>
      </c>
      <c r="M1307" s="19"/>
      <c r="N1307" s="168" t="s">
        <v>2597</v>
      </c>
      <c r="O1307" s="150"/>
      <c r="P1307" s="255"/>
      <c r="Q1307" s="255"/>
      <c r="R1307" s="168" t="s">
        <v>2592</v>
      </c>
    </row>
    <row r="1308" spans="1:18" ht="35.25" customHeight="1">
      <c r="A1308" s="15">
        <f t="shared" si="20"/>
        <v>1298</v>
      </c>
      <c r="B1308" s="161" t="s">
        <v>1908</v>
      </c>
      <c r="C1308" s="191" t="s">
        <v>723</v>
      </c>
      <c r="D1308" s="179"/>
      <c r="E1308" s="179"/>
      <c r="F1308" s="179"/>
      <c r="G1308" s="168" t="s">
        <v>2433</v>
      </c>
      <c r="H1308" s="141"/>
      <c r="I1308" s="202" t="s">
        <v>18</v>
      </c>
      <c r="J1308" s="202">
        <v>1</v>
      </c>
      <c r="K1308" s="156" t="s">
        <v>730</v>
      </c>
      <c r="L1308" s="168" t="s">
        <v>2522</v>
      </c>
      <c r="M1308" s="19"/>
      <c r="N1308" s="168" t="s">
        <v>2597</v>
      </c>
      <c r="O1308" s="150"/>
      <c r="P1308" s="255"/>
      <c r="Q1308" s="255"/>
      <c r="R1308" s="168" t="s">
        <v>2592</v>
      </c>
    </row>
    <row r="1309" spans="1:18" ht="35.25" customHeight="1">
      <c r="A1309" s="15">
        <f t="shared" si="20"/>
        <v>1299</v>
      </c>
      <c r="B1309" s="161" t="s">
        <v>1909</v>
      </c>
      <c r="C1309" s="191" t="s">
        <v>723</v>
      </c>
      <c r="D1309" s="156"/>
      <c r="E1309" s="156"/>
      <c r="F1309" s="156"/>
      <c r="G1309" s="168" t="s">
        <v>2433</v>
      </c>
      <c r="H1309" s="141"/>
      <c r="I1309" s="202" t="s">
        <v>18</v>
      </c>
      <c r="J1309" s="202">
        <v>1</v>
      </c>
      <c r="K1309" s="156" t="s">
        <v>730</v>
      </c>
      <c r="L1309" s="168" t="s">
        <v>2522</v>
      </c>
      <c r="M1309" s="19"/>
      <c r="N1309" s="168" t="s">
        <v>2597</v>
      </c>
      <c r="O1309" s="150"/>
      <c r="P1309" s="158"/>
      <c r="Q1309" s="158"/>
      <c r="R1309" s="168" t="s">
        <v>2592</v>
      </c>
    </row>
    <row r="1310" spans="1:18" ht="35.25" customHeight="1">
      <c r="A1310" s="15">
        <f t="shared" si="20"/>
        <v>1300</v>
      </c>
      <c r="B1310" s="161" t="s">
        <v>1910</v>
      </c>
      <c r="C1310" s="191" t="s">
        <v>723</v>
      </c>
      <c r="D1310" s="169"/>
      <c r="E1310" s="169"/>
      <c r="F1310" s="169"/>
      <c r="G1310" s="168" t="s">
        <v>2433</v>
      </c>
      <c r="H1310" s="141"/>
      <c r="I1310" s="202" t="s">
        <v>18</v>
      </c>
      <c r="J1310" s="202">
        <v>1</v>
      </c>
      <c r="K1310" s="156" t="s">
        <v>730</v>
      </c>
      <c r="L1310" s="168" t="s">
        <v>2522</v>
      </c>
      <c r="M1310" s="19"/>
      <c r="N1310" s="168" t="s">
        <v>2597</v>
      </c>
      <c r="O1310" s="150"/>
      <c r="P1310" s="158"/>
      <c r="Q1310" s="158"/>
      <c r="R1310" s="168" t="s">
        <v>2592</v>
      </c>
    </row>
    <row r="1311" spans="1:18" ht="35.25" customHeight="1">
      <c r="A1311" s="15">
        <f t="shared" si="20"/>
        <v>1301</v>
      </c>
      <c r="B1311" s="161" t="s">
        <v>1911</v>
      </c>
      <c r="C1311" s="191" t="s">
        <v>723</v>
      </c>
      <c r="D1311" s="156"/>
      <c r="E1311" s="156"/>
      <c r="F1311" s="156"/>
      <c r="G1311" s="168" t="s">
        <v>2433</v>
      </c>
      <c r="H1311" s="141"/>
      <c r="I1311" s="202" t="s">
        <v>18</v>
      </c>
      <c r="J1311" s="202">
        <v>1</v>
      </c>
      <c r="K1311" s="156" t="s">
        <v>730</v>
      </c>
      <c r="L1311" s="168" t="s">
        <v>2522</v>
      </c>
      <c r="M1311" s="19"/>
      <c r="N1311" s="168" t="s">
        <v>2597</v>
      </c>
      <c r="O1311" s="150"/>
      <c r="P1311" s="158"/>
      <c r="Q1311" s="158"/>
      <c r="R1311" s="168" t="s">
        <v>2592</v>
      </c>
    </row>
    <row r="1312" spans="1:18" ht="35.25" customHeight="1">
      <c r="A1312" s="15">
        <f t="shared" si="20"/>
        <v>1302</v>
      </c>
      <c r="B1312" s="161" t="s">
        <v>1912</v>
      </c>
      <c r="C1312" s="191" t="s">
        <v>723</v>
      </c>
      <c r="D1312" s="156"/>
      <c r="E1312" s="156"/>
      <c r="F1312" s="156"/>
      <c r="G1312" s="168" t="s">
        <v>2433</v>
      </c>
      <c r="H1312" s="141"/>
      <c r="I1312" s="202" t="s">
        <v>18</v>
      </c>
      <c r="J1312" s="202">
        <v>1</v>
      </c>
      <c r="K1312" s="156" t="s">
        <v>730</v>
      </c>
      <c r="L1312" s="168" t="s">
        <v>2522</v>
      </c>
      <c r="M1312" s="19"/>
      <c r="N1312" s="168" t="s">
        <v>2597</v>
      </c>
      <c r="O1312" s="150"/>
      <c r="P1312" s="158"/>
      <c r="Q1312" s="158"/>
      <c r="R1312" s="168" t="s">
        <v>2592</v>
      </c>
    </row>
    <row r="1313" spans="1:39" ht="35.25" customHeight="1">
      <c r="A1313" s="15">
        <f t="shared" si="20"/>
        <v>1303</v>
      </c>
      <c r="B1313" s="161" t="s">
        <v>1913</v>
      </c>
      <c r="C1313" s="191" t="s">
        <v>723</v>
      </c>
      <c r="D1313" s="189"/>
      <c r="E1313" s="189"/>
      <c r="F1313" s="189"/>
      <c r="G1313" s="168" t="s">
        <v>2433</v>
      </c>
      <c r="H1313" s="141"/>
      <c r="I1313" s="202" t="s">
        <v>18</v>
      </c>
      <c r="J1313" s="202">
        <v>1</v>
      </c>
      <c r="K1313" s="156" t="s">
        <v>730</v>
      </c>
      <c r="L1313" s="168" t="s">
        <v>2522</v>
      </c>
      <c r="M1313" s="19"/>
      <c r="N1313" s="168" t="s">
        <v>2597</v>
      </c>
      <c r="O1313" s="150"/>
      <c r="P1313" s="190"/>
      <c r="Q1313" s="190"/>
      <c r="R1313" s="168" t="s">
        <v>2592</v>
      </c>
    </row>
    <row r="1314" spans="1:39" ht="35.25" customHeight="1">
      <c r="A1314" s="15">
        <f t="shared" si="20"/>
        <v>1304</v>
      </c>
      <c r="B1314" s="161" t="s">
        <v>1914</v>
      </c>
      <c r="C1314" s="191" t="s">
        <v>723</v>
      </c>
      <c r="D1314" s="189"/>
      <c r="E1314" s="189"/>
      <c r="F1314" s="189"/>
      <c r="G1314" s="168" t="s">
        <v>2433</v>
      </c>
      <c r="H1314" s="141"/>
      <c r="I1314" s="202" t="s">
        <v>18</v>
      </c>
      <c r="J1314" s="202">
        <v>1</v>
      </c>
      <c r="K1314" s="156" t="s">
        <v>730</v>
      </c>
      <c r="L1314" s="168" t="s">
        <v>2522</v>
      </c>
      <c r="M1314" s="19"/>
      <c r="N1314" s="168" t="s">
        <v>2597</v>
      </c>
      <c r="O1314" s="150"/>
      <c r="P1314" s="190"/>
      <c r="Q1314" s="190"/>
      <c r="R1314" s="168" t="s">
        <v>2592</v>
      </c>
    </row>
    <row r="1315" spans="1:39" ht="35.25" customHeight="1">
      <c r="A1315" s="15">
        <f t="shared" si="20"/>
        <v>1305</v>
      </c>
      <c r="B1315" s="161" t="s">
        <v>1915</v>
      </c>
      <c r="C1315" s="191" t="s">
        <v>723</v>
      </c>
      <c r="D1315" s="189"/>
      <c r="E1315" s="189"/>
      <c r="F1315" s="189"/>
      <c r="G1315" s="168" t="s">
        <v>2433</v>
      </c>
      <c r="H1315" s="141"/>
      <c r="I1315" s="202" t="s">
        <v>18</v>
      </c>
      <c r="J1315" s="202">
        <v>1</v>
      </c>
      <c r="K1315" s="156" t="s">
        <v>730</v>
      </c>
      <c r="L1315" s="168" t="s">
        <v>2522</v>
      </c>
      <c r="M1315" s="19"/>
      <c r="N1315" s="168" t="s">
        <v>2597</v>
      </c>
      <c r="O1315" s="150"/>
      <c r="P1315" s="158"/>
      <c r="Q1315" s="158"/>
      <c r="R1315" s="168" t="s">
        <v>2592</v>
      </c>
    </row>
    <row r="1316" spans="1:39" ht="35.25" customHeight="1">
      <c r="A1316" s="15">
        <f t="shared" si="20"/>
        <v>1306</v>
      </c>
      <c r="B1316" s="161" t="s">
        <v>1916</v>
      </c>
      <c r="C1316" s="191" t="s">
        <v>723</v>
      </c>
      <c r="D1316" s="231"/>
      <c r="E1316" s="231"/>
      <c r="F1316" s="231"/>
      <c r="G1316" s="168" t="s">
        <v>2433</v>
      </c>
      <c r="H1316" s="141"/>
      <c r="I1316" s="202" t="s">
        <v>18</v>
      </c>
      <c r="J1316" s="202">
        <v>1</v>
      </c>
      <c r="K1316" s="156" t="s">
        <v>730</v>
      </c>
      <c r="L1316" s="168" t="s">
        <v>2522</v>
      </c>
      <c r="M1316" s="19"/>
      <c r="N1316" s="168" t="s">
        <v>2597</v>
      </c>
      <c r="O1316" s="150"/>
      <c r="P1316" s="158"/>
      <c r="Q1316" s="158"/>
      <c r="R1316" s="168" t="s">
        <v>2592</v>
      </c>
    </row>
    <row r="1317" spans="1:39" ht="35.25" customHeight="1">
      <c r="A1317" s="15">
        <f t="shared" si="20"/>
        <v>1307</v>
      </c>
      <c r="B1317" s="161" t="s">
        <v>1917</v>
      </c>
      <c r="C1317" s="191" t="s">
        <v>723</v>
      </c>
      <c r="D1317" s="176"/>
      <c r="E1317" s="176"/>
      <c r="F1317" s="176"/>
      <c r="G1317" s="168" t="s">
        <v>2433</v>
      </c>
      <c r="H1317" s="141"/>
      <c r="I1317" s="202" t="s">
        <v>18</v>
      </c>
      <c r="J1317" s="202">
        <v>1</v>
      </c>
      <c r="K1317" s="156" t="s">
        <v>730</v>
      </c>
      <c r="L1317" s="168" t="s">
        <v>2522</v>
      </c>
      <c r="M1317" s="19"/>
      <c r="N1317" s="168" t="s">
        <v>2597</v>
      </c>
      <c r="O1317" s="150"/>
      <c r="P1317" s="158"/>
      <c r="Q1317" s="158"/>
      <c r="R1317" s="168" t="s">
        <v>2592</v>
      </c>
    </row>
    <row r="1318" spans="1:39" ht="35.25" customHeight="1">
      <c r="A1318" s="15">
        <f t="shared" si="20"/>
        <v>1308</v>
      </c>
      <c r="B1318" s="161" t="s">
        <v>1918</v>
      </c>
      <c r="C1318" s="191" t="s">
        <v>723</v>
      </c>
      <c r="D1318" s="176"/>
      <c r="E1318" s="176"/>
      <c r="F1318" s="176"/>
      <c r="G1318" s="168" t="s">
        <v>2433</v>
      </c>
      <c r="H1318" s="141"/>
      <c r="I1318" s="202" t="s">
        <v>18</v>
      </c>
      <c r="J1318" s="202">
        <v>1</v>
      </c>
      <c r="K1318" s="156" t="s">
        <v>730</v>
      </c>
      <c r="L1318" s="168" t="s">
        <v>2522</v>
      </c>
      <c r="M1318" s="19"/>
      <c r="N1318" s="168" t="s">
        <v>2597</v>
      </c>
      <c r="O1318" s="150"/>
      <c r="P1318" s="158"/>
      <c r="Q1318" s="158"/>
      <c r="R1318" s="168" t="s">
        <v>2592</v>
      </c>
    </row>
    <row r="1319" spans="1:39" s="136" customFormat="1" ht="35.25" customHeight="1">
      <c r="A1319" s="15">
        <f t="shared" si="20"/>
        <v>1309</v>
      </c>
      <c r="B1319" s="161" t="s">
        <v>1919</v>
      </c>
      <c r="C1319" s="191" t="s">
        <v>723</v>
      </c>
      <c r="D1319" s="156"/>
      <c r="E1319" s="156"/>
      <c r="F1319" s="156"/>
      <c r="G1319" s="168" t="s">
        <v>2433</v>
      </c>
      <c r="H1319" s="141"/>
      <c r="I1319" s="202" t="s">
        <v>18</v>
      </c>
      <c r="J1319" s="202">
        <v>1</v>
      </c>
      <c r="K1319" s="156" t="s">
        <v>730</v>
      </c>
      <c r="L1319" s="168" t="s">
        <v>2522</v>
      </c>
      <c r="M1319" s="19"/>
      <c r="N1319" s="168" t="s">
        <v>2597</v>
      </c>
      <c r="O1319" s="150"/>
      <c r="P1319" s="158"/>
      <c r="Q1319" s="158"/>
      <c r="R1319" s="168" t="s">
        <v>2592</v>
      </c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</row>
    <row r="1320" spans="1:39" s="136" customFormat="1" ht="35.25" customHeight="1">
      <c r="A1320" s="15">
        <f t="shared" si="20"/>
        <v>1310</v>
      </c>
      <c r="B1320" s="161" t="s">
        <v>1920</v>
      </c>
      <c r="C1320" s="191" t="s">
        <v>723</v>
      </c>
      <c r="D1320" s="156"/>
      <c r="E1320" s="156"/>
      <c r="F1320" s="156"/>
      <c r="G1320" s="168" t="s">
        <v>2433</v>
      </c>
      <c r="H1320" s="141"/>
      <c r="I1320" s="202" t="s">
        <v>18</v>
      </c>
      <c r="J1320" s="202">
        <v>1</v>
      </c>
      <c r="K1320" s="156" t="s">
        <v>730</v>
      </c>
      <c r="L1320" s="168" t="s">
        <v>2522</v>
      </c>
      <c r="M1320" s="19"/>
      <c r="N1320" s="168" t="s">
        <v>2597</v>
      </c>
      <c r="O1320" s="150"/>
      <c r="P1320" s="158"/>
      <c r="Q1320" s="158"/>
      <c r="R1320" s="168" t="s">
        <v>2592</v>
      </c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</row>
    <row r="1321" spans="1:39" s="136" customFormat="1" ht="35.25" customHeight="1">
      <c r="A1321" s="15">
        <f t="shared" si="20"/>
        <v>1311</v>
      </c>
      <c r="B1321" s="161" t="s">
        <v>1921</v>
      </c>
      <c r="C1321" s="191" t="s">
        <v>723</v>
      </c>
      <c r="D1321" s="156"/>
      <c r="E1321" s="156"/>
      <c r="F1321" s="156"/>
      <c r="G1321" s="168" t="s">
        <v>2433</v>
      </c>
      <c r="H1321" s="141"/>
      <c r="I1321" s="202" t="s">
        <v>18</v>
      </c>
      <c r="J1321" s="202">
        <v>1</v>
      </c>
      <c r="K1321" s="156" t="s">
        <v>730</v>
      </c>
      <c r="L1321" s="168" t="s">
        <v>2522</v>
      </c>
      <c r="M1321" s="19"/>
      <c r="N1321" s="168" t="s">
        <v>2597</v>
      </c>
      <c r="O1321" s="150"/>
      <c r="P1321" s="158"/>
      <c r="Q1321" s="158"/>
      <c r="R1321" s="168" t="s">
        <v>2592</v>
      </c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</row>
    <row r="1322" spans="1:39" s="136" customFormat="1" ht="35.25" customHeight="1">
      <c r="A1322" s="15">
        <f t="shared" si="20"/>
        <v>1312</v>
      </c>
      <c r="B1322" s="161" t="s">
        <v>1922</v>
      </c>
      <c r="C1322" s="191" t="s">
        <v>723</v>
      </c>
      <c r="D1322" s="156"/>
      <c r="E1322" s="156"/>
      <c r="F1322" s="156"/>
      <c r="G1322" s="168" t="s">
        <v>2433</v>
      </c>
      <c r="H1322" s="141"/>
      <c r="I1322" s="202" t="s">
        <v>18</v>
      </c>
      <c r="J1322" s="202">
        <v>1</v>
      </c>
      <c r="K1322" s="156" t="s">
        <v>730</v>
      </c>
      <c r="L1322" s="168" t="s">
        <v>2522</v>
      </c>
      <c r="M1322" s="19"/>
      <c r="N1322" s="168" t="s">
        <v>2597</v>
      </c>
      <c r="O1322" s="150"/>
      <c r="P1322" s="158"/>
      <c r="Q1322" s="158"/>
      <c r="R1322" s="168" t="s">
        <v>2592</v>
      </c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</row>
    <row r="1323" spans="1:39" s="136" customFormat="1" ht="35.25" customHeight="1">
      <c r="A1323" s="15">
        <f t="shared" si="20"/>
        <v>1313</v>
      </c>
      <c r="B1323" s="161" t="s">
        <v>1923</v>
      </c>
      <c r="C1323" s="191" t="s">
        <v>723</v>
      </c>
      <c r="D1323" s="156"/>
      <c r="E1323" s="156"/>
      <c r="F1323" s="156"/>
      <c r="G1323" s="168" t="s">
        <v>2433</v>
      </c>
      <c r="H1323" s="141"/>
      <c r="I1323" s="202" t="s">
        <v>18</v>
      </c>
      <c r="J1323" s="202">
        <v>1</v>
      </c>
      <c r="K1323" s="156" t="s">
        <v>730</v>
      </c>
      <c r="L1323" s="168" t="s">
        <v>2522</v>
      </c>
      <c r="M1323" s="19"/>
      <c r="N1323" s="168" t="s">
        <v>2597</v>
      </c>
      <c r="O1323" s="150"/>
      <c r="P1323" s="158"/>
      <c r="Q1323" s="158"/>
      <c r="R1323" s="168" t="s">
        <v>2592</v>
      </c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</row>
    <row r="1324" spans="1:39" s="136" customFormat="1" ht="35.25" customHeight="1">
      <c r="A1324" s="15">
        <f t="shared" si="20"/>
        <v>1314</v>
      </c>
      <c r="B1324" s="161" t="s">
        <v>1924</v>
      </c>
      <c r="C1324" s="191" t="s">
        <v>723</v>
      </c>
      <c r="D1324" s="176"/>
      <c r="E1324" s="176"/>
      <c r="F1324" s="176"/>
      <c r="G1324" s="168" t="s">
        <v>2433</v>
      </c>
      <c r="H1324" s="141"/>
      <c r="I1324" s="202" t="s">
        <v>18</v>
      </c>
      <c r="J1324" s="202">
        <v>1</v>
      </c>
      <c r="K1324" s="156" t="s">
        <v>730</v>
      </c>
      <c r="L1324" s="168" t="s">
        <v>2522</v>
      </c>
      <c r="M1324" s="19"/>
      <c r="N1324" s="168" t="s">
        <v>2597</v>
      </c>
      <c r="O1324" s="150"/>
      <c r="P1324" s="158"/>
      <c r="Q1324" s="158"/>
      <c r="R1324" s="168" t="s">
        <v>2592</v>
      </c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</row>
    <row r="1325" spans="1:39" s="136" customFormat="1" ht="35.25" customHeight="1">
      <c r="A1325" s="15">
        <f t="shared" si="20"/>
        <v>1315</v>
      </c>
      <c r="B1325" s="161" t="s">
        <v>1925</v>
      </c>
      <c r="C1325" s="191" t="s">
        <v>723</v>
      </c>
      <c r="D1325" s="176"/>
      <c r="E1325" s="176"/>
      <c r="F1325" s="176"/>
      <c r="G1325" s="168" t="s">
        <v>2433</v>
      </c>
      <c r="H1325" s="141"/>
      <c r="I1325" s="202" t="s">
        <v>18</v>
      </c>
      <c r="J1325" s="202">
        <v>1</v>
      </c>
      <c r="K1325" s="156" t="s">
        <v>730</v>
      </c>
      <c r="L1325" s="168" t="s">
        <v>2522</v>
      </c>
      <c r="M1325" s="19"/>
      <c r="N1325" s="168" t="s">
        <v>2597</v>
      </c>
      <c r="O1325" s="150"/>
      <c r="P1325" s="158"/>
      <c r="Q1325" s="158"/>
      <c r="R1325" s="168" t="s">
        <v>2592</v>
      </c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</row>
    <row r="1326" spans="1:39" ht="35.25" customHeight="1">
      <c r="A1326" s="15">
        <f t="shared" si="20"/>
        <v>1316</v>
      </c>
      <c r="B1326" s="161" t="s">
        <v>1926</v>
      </c>
      <c r="C1326" s="191" t="s">
        <v>723</v>
      </c>
      <c r="D1326" s="156"/>
      <c r="E1326" s="156"/>
      <c r="F1326" s="156"/>
      <c r="G1326" s="168" t="s">
        <v>2433</v>
      </c>
      <c r="H1326" s="141"/>
      <c r="I1326" s="202" t="s">
        <v>18</v>
      </c>
      <c r="J1326" s="202">
        <v>1</v>
      </c>
      <c r="K1326" s="156" t="s">
        <v>730</v>
      </c>
      <c r="L1326" s="168" t="s">
        <v>2522</v>
      </c>
      <c r="M1326" s="19"/>
      <c r="N1326" s="168" t="s">
        <v>2597</v>
      </c>
      <c r="O1326" s="150"/>
      <c r="P1326" s="158"/>
      <c r="Q1326" s="158"/>
      <c r="R1326" s="168" t="s">
        <v>2592</v>
      </c>
    </row>
    <row r="1327" spans="1:39" ht="35.25" customHeight="1">
      <c r="A1327" s="15">
        <f t="shared" si="20"/>
        <v>1317</v>
      </c>
      <c r="B1327" s="161" t="s">
        <v>1927</v>
      </c>
      <c r="C1327" s="191" t="s">
        <v>723</v>
      </c>
      <c r="D1327" s="156"/>
      <c r="E1327" s="156"/>
      <c r="F1327" s="156"/>
      <c r="G1327" s="168" t="s">
        <v>2433</v>
      </c>
      <c r="H1327" s="141"/>
      <c r="I1327" s="202" t="s">
        <v>18</v>
      </c>
      <c r="J1327" s="202">
        <v>1</v>
      </c>
      <c r="K1327" s="156" t="s">
        <v>730</v>
      </c>
      <c r="L1327" s="168" t="s">
        <v>2522</v>
      </c>
      <c r="M1327" s="19"/>
      <c r="N1327" s="168" t="s">
        <v>2597</v>
      </c>
      <c r="O1327" s="150"/>
      <c r="P1327" s="158"/>
      <c r="Q1327" s="158"/>
      <c r="R1327" s="168" t="s">
        <v>2592</v>
      </c>
    </row>
    <row r="1328" spans="1:39" ht="35.25" customHeight="1">
      <c r="A1328" s="15">
        <f t="shared" si="20"/>
        <v>1318</v>
      </c>
      <c r="B1328" s="161" t="s">
        <v>1928</v>
      </c>
      <c r="C1328" s="191" t="s">
        <v>723</v>
      </c>
      <c r="D1328" s="156"/>
      <c r="E1328" s="156"/>
      <c r="F1328" s="156"/>
      <c r="G1328" s="168" t="s">
        <v>2433</v>
      </c>
      <c r="H1328" s="141"/>
      <c r="I1328" s="202" t="s">
        <v>18</v>
      </c>
      <c r="J1328" s="202">
        <v>1</v>
      </c>
      <c r="K1328" s="156" t="s">
        <v>730</v>
      </c>
      <c r="L1328" s="168" t="s">
        <v>2522</v>
      </c>
      <c r="M1328" s="19"/>
      <c r="N1328" s="168" t="s">
        <v>2597</v>
      </c>
      <c r="O1328" s="150"/>
      <c r="P1328" s="158"/>
      <c r="Q1328" s="158"/>
      <c r="R1328" s="168" t="s">
        <v>2592</v>
      </c>
    </row>
    <row r="1329" spans="1:18" ht="35.25" customHeight="1">
      <c r="A1329" s="15">
        <f t="shared" si="20"/>
        <v>1319</v>
      </c>
      <c r="B1329" s="161" t="s">
        <v>1929</v>
      </c>
      <c r="C1329" s="191" t="s">
        <v>723</v>
      </c>
      <c r="D1329" s="156"/>
      <c r="E1329" s="156"/>
      <c r="F1329" s="156"/>
      <c r="G1329" s="168" t="s">
        <v>2433</v>
      </c>
      <c r="H1329" s="141"/>
      <c r="I1329" s="202" t="s">
        <v>18</v>
      </c>
      <c r="J1329" s="202">
        <v>1</v>
      </c>
      <c r="K1329" s="156" t="s">
        <v>730</v>
      </c>
      <c r="L1329" s="168" t="s">
        <v>2522</v>
      </c>
      <c r="M1329" s="19"/>
      <c r="N1329" s="168" t="s">
        <v>2597</v>
      </c>
      <c r="O1329" s="150"/>
      <c r="P1329" s="158"/>
      <c r="Q1329" s="158"/>
      <c r="R1329" s="168" t="s">
        <v>2592</v>
      </c>
    </row>
    <row r="1330" spans="1:18" ht="35.25" customHeight="1">
      <c r="A1330" s="15">
        <f t="shared" si="20"/>
        <v>1320</v>
      </c>
      <c r="B1330" s="161" t="s">
        <v>1930</v>
      </c>
      <c r="C1330" s="191" t="s">
        <v>723</v>
      </c>
      <c r="D1330" s="156"/>
      <c r="E1330" s="156"/>
      <c r="F1330" s="156"/>
      <c r="G1330" s="168" t="s">
        <v>2433</v>
      </c>
      <c r="H1330" s="141"/>
      <c r="I1330" s="202" t="s">
        <v>18</v>
      </c>
      <c r="J1330" s="202">
        <v>1</v>
      </c>
      <c r="K1330" s="156" t="s">
        <v>730</v>
      </c>
      <c r="L1330" s="168" t="s">
        <v>2522</v>
      </c>
      <c r="M1330" s="19"/>
      <c r="N1330" s="168" t="s">
        <v>2597</v>
      </c>
      <c r="O1330" s="150"/>
      <c r="P1330" s="158"/>
      <c r="Q1330" s="158"/>
      <c r="R1330" s="168" t="s">
        <v>2592</v>
      </c>
    </row>
    <row r="1331" spans="1:18" ht="35.25" customHeight="1">
      <c r="A1331" s="15">
        <f t="shared" si="20"/>
        <v>1321</v>
      </c>
      <c r="B1331" s="161" t="s">
        <v>1931</v>
      </c>
      <c r="C1331" s="191" t="s">
        <v>723</v>
      </c>
      <c r="D1331" s="169"/>
      <c r="E1331" s="169"/>
      <c r="F1331" s="169"/>
      <c r="G1331" s="168" t="s">
        <v>2433</v>
      </c>
      <c r="H1331" s="141"/>
      <c r="I1331" s="202" t="s">
        <v>18</v>
      </c>
      <c r="J1331" s="202">
        <v>1</v>
      </c>
      <c r="K1331" s="156" t="s">
        <v>730</v>
      </c>
      <c r="L1331" s="168" t="s">
        <v>2522</v>
      </c>
      <c r="M1331" s="19"/>
      <c r="N1331" s="168" t="s">
        <v>2597</v>
      </c>
      <c r="O1331" s="150"/>
      <c r="P1331" s="158"/>
      <c r="Q1331" s="158"/>
      <c r="R1331" s="168" t="s">
        <v>2592</v>
      </c>
    </row>
    <row r="1332" spans="1:18" ht="35.25" customHeight="1">
      <c r="A1332" s="15">
        <f t="shared" si="20"/>
        <v>1322</v>
      </c>
      <c r="B1332" s="161" t="s">
        <v>1932</v>
      </c>
      <c r="C1332" s="191" t="s">
        <v>723</v>
      </c>
      <c r="D1332" s="156"/>
      <c r="E1332" s="156"/>
      <c r="F1332" s="156"/>
      <c r="G1332" s="168" t="s">
        <v>2433</v>
      </c>
      <c r="H1332" s="141"/>
      <c r="I1332" s="202" t="s">
        <v>18</v>
      </c>
      <c r="J1332" s="202">
        <v>1</v>
      </c>
      <c r="K1332" s="156" t="s">
        <v>730</v>
      </c>
      <c r="L1332" s="168" t="s">
        <v>2522</v>
      </c>
      <c r="M1332" s="19"/>
      <c r="N1332" s="168" t="s">
        <v>2597</v>
      </c>
      <c r="O1332" s="150"/>
      <c r="P1332" s="158"/>
      <c r="Q1332" s="158"/>
      <c r="R1332" s="168" t="s">
        <v>2592</v>
      </c>
    </row>
    <row r="1333" spans="1:18" ht="35.25" customHeight="1">
      <c r="A1333" s="15">
        <f t="shared" si="20"/>
        <v>1323</v>
      </c>
      <c r="B1333" s="161" t="s">
        <v>1933</v>
      </c>
      <c r="C1333" s="191" t="s">
        <v>723</v>
      </c>
      <c r="D1333" s="156"/>
      <c r="E1333" s="156"/>
      <c r="F1333" s="156"/>
      <c r="G1333" s="168" t="s">
        <v>2433</v>
      </c>
      <c r="H1333" s="141"/>
      <c r="I1333" s="202" t="s">
        <v>18</v>
      </c>
      <c r="J1333" s="202">
        <v>1</v>
      </c>
      <c r="K1333" s="156" t="s">
        <v>730</v>
      </c>
      <c r="L1333" s="168" t="s">
        <v>2522</v>
      </c>
      <c r="M1333" s="19"/>
      <c r="N1333" s="168" t="s">
        <v>2597</v>
      </c>
      <c r="O1333" s="150"/>
      <c r="P1333" s="158"/>
      <c r="Q1333" s="158"/>
      <c r="R1333" s="168" t="s">
        <v>2592</v>
      </c>
    </row>
    <row r="1334" spans="1:18" ht="35.25" customHeight="1">
      <c r="A1334" s="15">
        <f t="shared" si="20"/>
        <v>1324</v>
      </c>
      <c r="B1334" s="161" t="s">
        <v>1934</v>
      </c>
      <c r="C1334" s="191" t="s">
        <v>723</v>
      </c>
      <c r="D1334" s="156"/>
      <c r="E1334" s="156"/>
      <c r="F1334" s="156"/>
      <c r="G1334" s="168" t="s">
        <v>2433</v>
      </c>
      <c r="H1334" s="141"/>
      <c r="I1334" s="202" t="s">
        <v>18</v>
      </c>
      <c r="J1334" s="202">
        <v>1</v>
      </c>
      <c r="K1334" s="156" t="s">
        <v>730</v>
      </c>
      <c r="L1334" s="168" t="s">
        <v>2522</v>
      </c>
      <c r="M1334" s="19"/>
      <c r="N1334" s="168" t="s">
        <v>2597</v>
      </c>
      <c r="O1334" s="150"/>
      <c r="P1334" s="158"/>
      <c r="Q1334" s="158"/>
      <c r="R1334" s="168" t="s">
        <v>2592</v>
      </c>
    </row>
    <row r="1335" spans="1:18" ht="35.25" customHeight="1">
      <c r="A1335" s="15">
        <f t="shared" si="20"/>
        <v>1325</v>
      </c>
      <c r="B1335" s="161" t="s">
        <v>1935</v>
      </c>
      <c r="C1335" s="191" t="s">
        <v>723</v>
      </c>
      <c r="D1335" s="176"/>
      <c r="E1335" s="176"/>
      <c r="F1335" s="176"/>
      <c r="G1335" s="168" t="s">
        <v>2433</v>
      </c>
      <c r="H1335" s="141"/>
      <c r="I1335" s="202" t="s">
        <v>18</v>
      </c>
      <c r="J1335" s="202">
        <v>1</v>
      </c>
      <c r="K1335" s="156" t="s">
        <v>730</v>
      </c>
      <c r="L1335" s="168" t="s">
        <v>2522</v>
      </c>
      <c r="M1335" s="19"/>
      <c r="N1335" s="168" t="s">
        <v>2597</v>
      </c>
      <c r="O1335" s="150"/>
      <c r="P1335" s="158"/>
      <c r="Q1335" s="158"/>
      <c r="R1335" s="168" t="s">
        <v>2592</v>
      </c>
    </row>
    <row r="1336" spans="1:18" ht="35.25" customHeight="1">
      <c r="A1336" s="15">
        <f t="shared" si="20"/>
        <v>1326</v>
      </c>
      <c r="B1336" s="161" t="s">
        <v>1936</v>
      </c>
      <c r="C1336" s="191" t="s">
        <v>723</v>
      </c>
      <c r="D1336" s="176"/>
      <c r="E1336" s="176"/>
      <c r="F1336" s="176"/>
      <c r="G1336" s="168" t="s">
        <v>2433</v>
      </c>
      <c r="H1336" s="141"/>
      <c r="I1336" s="202" t="s">
        <v>18</v>
      </c>
      <c r="J1336" s="202">
        <v>1</v>
      </c>
      <c r="K1336" s="156" t="s">
        <v>730</v>
      </c>
      <c r="L1336" s="168" t="s">
        <v>2522</v>
      </c>
      <c r="M1336" s="19"/>
      <c r="N1336" s="168" t="s">
        <v>2597</v>
      </c>
      <c r="O1336" s="150"/>
      <c r="P1336" s="158"/>
      <c r="Q1336" s="158"/>
      <c r="R1336" s="168" t="s">
        <v>2592</v>
      </c>
    </row>
    <row r="1337" spans="1:18" ht="35.25" customHeight="1">
      <c r="A1337" s="15">
        <f t="shared" si="20"/>
        <v>1327</v>
      </c>
      <c r="B1337" s="161" t="s">
        <v>1937</v>
      </c>
      <c r="C1337" s="191" t="s">
        <v>723</v>
      </c>
      <c r="D1337" s="176"/>
      <c r="E1337" s="176"/>
      <c r="F1337" s="176"/>
      <c r="G1337" s="168" t="s">
        <v>2433</v>
      </c>
      <c r="H1337" s="141"/>
      <c r="I1337" s="202" t="s">
        <v>18</v>
      </c>
      <c r="J1337" s="202">
        <v>1</v>
      </c>
      <c r="K1337" s="156" t="s">
        <v>730</v>
      </c>
      <c r="L1337" s="168" t="s">
        <v>2522</v>
      </c>
      <c r="M1337" s="19"/>
      <c r="N1337" s="168" t="s">
        <v>2597</v>
      </c>
      <c r="O1337" s="150"/>
      <c r="P1337" s="158"/>
      <c r="Q1337" s="158"/>
      <c r="R1337" s="168" t="s">
        <v>2592</v>
      </c>
    </row>
    <row r="1338" spans="1:18" ht="35.25" customHeight="1">
      <c r="A1338" s="15">
        <f t="shared" si="20"/>
        <v>1328</v>
      </c>
      <c r="B1338" s="161" t="s">
        <v>1938</v>
      </c>
      <c r="C1338" s="191" t="s">
        <v>723</v>
      </c>
      <c r="D1338" s="176"/>
      <c r="E1338" s="176"/>
      <c r="F1338" s="176"/>
      <c r="G1338" s="168" t="s">
        <v>2433</v>
      </c>
      <c r="H1338" s="141"/>
      <c r="I1338" s="202" t="s">
        <v>18</v>
      </c>
      <c r="J1338" s="202">
        <v>1</v>
      </c>
      <c r="K1338" s="156" t="s">
        <v>730</v>
      </c>
      <c r="L1338" s="168" t="s">
        <v>2522</v>
      </c>
      <c r="M1338" s="19"/>
      <c r="N1338" s="168" t="s">
        <v>2597</v>
      </c>
      <c r="O1338" s="150"/>
      <c r="P1338" s="158"/>
      <c r="Q1338" s="158"/>
      <c r="R1338" s="168" t="s">
        <v>2592</v>
      </c>
    </row>
    <row r="1339" spans="1:18" ht="35.25" customHeight="1">
      <c r="A1339" s="15">
        <f t="shared" si="20"/>
        <v>1329</v>
      </c>
      <c r="B1339" s="161" t="s">
        <v>1939</v>
      </c>
      <c r="C1339" s="191" t="s">
        <v>723</v>
      </c>
      <c r="D1339" s="176"/>
      <c r="E1339" s="176"/>
      <c r="F1339" s="176"/>
      <c r="G1339" s="168" t="s">
        <v>2433</v>
      </c>
      <c r="H1339" s="141"/>
      <c r="I1339" s="202" t="s">
        <v>18</v>
      </c>
      <c r="J1339" s="202">
        <v>1</v>
      </c>
      <c r="K1339" s="156" t="s">
        <v>730</v>
      </c>
      <c r="L1339" s="168" t="s">
        <v>2522</v>
      </c>
      <c r="M1339" s="19"/>
      <c r="N1339" s="168" t="s">
        <v>2597</v>
      </c>
      <c r="O1339" s="150"/>
      <c r="P1339" s="158"/>
      <c r="Q1339" s="158"/>
      <c r="R1339" s="168" t="s">
        <v>2592</v>
      </c>
    </row>
    <row r="1340" spans="1:18" ht="35.25" customHeight="1">
      <c r="A1340" s="15">
        <f t="shared" si="20"/>
        <v>1330</v>
      </c>
      <c r="B1340" s="161" t="s">
        <v>1940</v>
      </c>
      <c r="C1340" s="191" t="s">
        <v>723</v>
      </c>
      <c r="D1340" s="176"/>
      <c r="E1340" s="176"/>
      <c r="F1340" s="176"/>
      <c r="G1340" s="168" t="s">
        <v>2433</v>
      </c>
      <c r="H1340" s="141"/>
      <c r="I1340" s="202" t="s">
        <v>18</v>
      </c>
      <c r="J1340" s="202">
        <v>1</v>
      </c>
      <c r="K1340" s="156" t="s">
        <v>730</v>
      </c>
      <c r="L1340" s="168" t="s">
        <v>2522</v>
      </c>
      <c r="M1340" s="19"/>
      <c r="N1340" s="168" t="s">
        <v>2597</v>
      </c>
      <c r="O1340" s="150"/>
      <c r="P1340" s="158"/>
      <c r="Q1340" s="158"/>
      <c r="R1340" s="168" t="s">
        <v>2592</v>
      </c>
    </row>
    <row r="1341" spans="1:18" ht="35.25" customHeight="1">
      <c r="A1341" s="15">
        <f t="shared" si="20"/>
        <v>1331</v>
      </c>
      <c r="B1341" s="161" t="s">
        <v>1941</v>
      </c>
      <c r="C1341" s="191" t="s">
        <v>723</v>
      </c>
      <c r="D1341" s="176"/>
      <c r="E1341" s="176"/>
      <c r="F1341" s="176"/>
      <c r="G1341" s="168" t="s">
        <v>2433</v>
      </c>
      <c r="H1341" s="141"/>
      <c r="I1341" s="202" t="s">
        <v>18</v>
      </c>
      <c r="J1341" s="202">
        <v>1</v>
      </c>
      <c r="K1341" s="156" t="s">
        <v>730</v>
      </c>
      <c r="L1341" s="168" t="s">
        <v>2522</v>
      </c>
      <c r="M1341" s="19"/>
      <c r="N1341" s="168" t="s">
        <v>2597</v>
      </c>
      <c r="O1341" s="150"/>
      <c r="P1341" s="158"/>
      <c r="Q1341" s="158"/>
      <c r="R1341" s="168" t="s">
        <v>2592</v>
      </c>
    </row>
    <row r="1342" spans="1:18" ht="35.25" customHeight="1">
      <c r="A1342" s="15">
        <f t="shared" si="20"/>
        <v>1332</v>
      </c>
      <c r="B1342" s="161" t="s">
        <v>1942</v>
      </c>
      <c r="C1342" s="191" t="s">
        <v>723</v>
      </c>
      <c r="D1342" s="176"/>
      <c r="E1342" s="176"/>
      <c r="F1342" s="176"/>
      <c r="G1342" s="168" t="s">
        <v>2433</v>
      </c>
      <c r="H1342" s="141"/>
      <c r="I1342" s="202" t="s">
        <v>18</v>
      </c>
      <c r="J1342" s="202">
        <v>1</v>
      </c>
      <c r="K1342" s="156" t="s">
        <v>730</v>
      </c>
      <c r="L1342" s="168" t="s">
        <v>2522</v>
      </c>
      <c r="M1342" s="19"/>
      <c r="N1342" s="168" t="s">
        <v>2597</v>
      </c>
      <c r="O1342" s="150"/>
      <c r="P1342" s="158"/>
      <c r="Q1342" s="158"/>
      <c r="R1342" s="168" t="s">
        <v>2592</v>
      </c>
    </row>
    <row r="1343" spans="1:18" ht="35.25" customHeight="1">
      <c r="A1343" s="15">
        <f t="shared" si="20"/>
        <v>1333</v>
      </c>
      <c r="B1343" s="161" t="s">
        <v>1943</v>
      </c>
      <c r="C1343" s="191" t="s">
        <v>723</v>
      </c>
      <c r="D1343" s="156"/>
      <c r="E1343" s="156"/>
      <c r="F1343" s="156"/>
      <c r="G1343" s="168" t="s">
        <v>2433</v>
      </c>
      <c r="H1343" s="141"/>
      <c r="I1343" s="202" t="s">
        <v>18</v>
      </c>
      <c r="J1343" s="202">
        <v>1</v>
      </c>
      <c r="K1343" s="156" t="s">
        <v>730</v>
      </c>
      <c r="L1343" s="168" t="s">
        <v>2522</v>
      </c>
      <c r="M1343" s="19"/>
      <c r="N1343" s="168" t="s">
        <v>2597</v>
      </c>
      <c r="O1343" s="150"/>
      <c r="P1343" s="158"/>
      <c r="Q1343" s="158"/>
      <c r="R1343" s="168" t="s">
        <v>2592</v>
      </c>
    </row>
    <row r="1344" spans="1:18" ht="35.25" customHeight="1">
      <c r="A1344" s="15">
        <f t="shared" si="20"/>
        <v>1334</v>
      </c>
      <c r="B1344" s="161" t="s">
        <v>1944</v>
      </c>
      <c r="C1344" s="191" t="s">
        <v>723</v>
      </c>
      <c r="D1344" s="156"/>
      <c r="E1344" s="156"/>
      <c r="F1344" s="156"/>
      <c r="G1344" s="168" t="s">
        <v>2433</v>
      </c>
      <c r="H1344" s="141"/>
      <c r="I1344" s="202" t="s">
        <v>18</v>
      </c>
      <c r="J1344" s="202">
        <v>1</v>
      </c>
      <c r="K1344" s="156" t="s">
        <v>730</v>
      </c>
      <c r="L1344" s="168" t="s">
        <v>2522</v>
      </c>
      <c r="M1344" s="19"/>
      <c r="N1344" s="168" t="s">
        <v>2597</v>
      </c>
      <c r="O1344" s="150"/>
      <c r="P1344" s="158"/>
      <c r="Q1344" s="158"/>
      <c r="R1344" s="168" t="s">
        <v>2592</v>
      </c>
    </row>
    <row r="1345" spans="1:39" ht="35.25" customHeight="1">
      <c r="A1345" s="15">
        <f t="shared" si="20"/>
        <v>1335</v>
      </c>
      <c r="B1345" s="161" t="s">
        <v>1945</v>
      </c>
      <c r="C1345" s="191" t="s">
        <v>723</v>
      </c>
      <c r="D1345" s="176"/>
      <c r="E1345" s="176"/>
      <c r="F1345" s="176"/>
      <c r="G1345" s="168" t="s">
        <v>2433</v>
      </c>
      <c r="H1345" s="141"/>
      <c r="I1345" s="202" t="s">
        <v>18</v>
      </c>
      <c r="J1345" s="202">
        <v>1</v>
      </c>
      <c r="K1345" s="156" t="s">
        <v>730</v>
      </c>
      <c r="L1345" s="168" t="s">
        <v>2522</v>
      </c>
      <c r="M1345" s="19"/>
      <c r="N1345" s="168" t="s">
        <v>2597</v>
      </c>
      <c r="O1345" s="150"/>
      <c r="P1345" s="158"/>
      <c r="Q1345" s="158"/>
      <c r="R1345" s="168" t="s">
        <v>2592</v>
      </c>
    </row>
    <row r="1346" spans="1:39" ht="35.25" customHeight="1">
      <c r="A1346" s="15">
        <f t="shared" si="20"/>
        <v>1336</v>
      </c>
      <c r="B1346" s="161" t="s">
        <v>1946</v>
      </c>
      <c r="C1346" s="191" t="s">
        <v>723</v>
      </c>
      <c r="D1346" s="176"/>
      <c r="E1346" s="176"/>
      <c r="F1346" s="176"/>
      <c r="G1346" s="168" t="s">
        <v>2433</v>
      </c>
      <c r="H1346" s="141"/>
      <c r="I1346" s="202" t="s">
        <v>18</v>
      </c>
      <c r="J1346" s="202">
        <v>1</v>
      </c>
      <c r="K1346" s="156" t="s">
        <v>730</v>
      </c>
      <c r="L1346" s="168" t="s">
        <v>2522</v>
      </c>
      <c r="M1346" s="19"/>
      <c r="N1346" s="168" t="s">
        <v>2597</v>
      </c>
      <c r="O1346" s="150"/>
      <c r="P1346" s="158"/>
      <c r="Q1346" s="158"/>
      <c r="R1346" s="168" t="s">
        <v>2592</v>
      </c>
    </row>
    <row r="1347" spans="1:39" ht="35.25" customHeight="1">
      <c r="A1347" s="15">
        <f t="shared" si="20"/>
        <v>1337</v>
      </c>
      <c r="B1347" s="161" t="s">
        <v>1947</v>
      </c>
      <c r="C1347" s="191" t="s">
        <v>723</v>
      </c>
      <c r="D1347" s="176"/>
      <c r="E1347" s="176"/>
      <c r="F1347" s="176"/>
      <c r="G1347" s="168" t="s">
        <v>2433</v>
      </c>
      <c r="H1347" s="141"/>
      <c r="I1347" s="202" t="s">
        <v>18</v>
      </c>
      <c r="J1347" s="202">
        <v>1</v>
      </c>
      <c r="K1347" s="156" t="s">
        <v>730</v>
      </c>
      <c r="L1347" s="168" t="s">
        <v>2522</v>
      </c>
      <c r="M1347" s="19"/>
      <c r="N1347" s="168" t="s">
        <v>2597</v>
      </c>
      <c r="O1347" s="150"/>
      <c r="P1347" s="158"/>
      <c r="Q1347" s="158"/>
      <c r="R1347" s="168" t="s">
        <v>2592</v>
      </c>
    </row>
    <row r="1348" spans="1:39" ht="35.25" customHeight="1">
      <c r="A1348" s="15">
        <f t="shared" si="20"/>
        <v>1338</v>
      </c>
      <c r="B1348" s="161" t="s">
        <v>1948</v>
      </c>
      <c r="C1348" s="191" t="s">
        <v>723</v>
      </c>
      <c r="D1348" s="176"/>
      <c r="E1348" s="176"/>
      <c r="F1348" s="176"/>
      <c r="G1348" s="168" t="s">
        <v>2433</v>
      </c>
      <c r="H1348" s="141"/>
      <c r="I1348" s="202" t="s">
        <v>18</v>
      </c>
      <c r="J1348" s="202">
        <v>1</v>
      </c>
      <c r="K1348" s="156" t="s">
        <v>730</v>
      </c>
      <c r="L1348" s="168" t="s">
        <v>2522</v>
      </c>
      <c r="M1348" s="19"/>
      <c r="N1348" s="168" t="s">
        <v>2597</v>
      </c>
      <c r="O1348" s="150"/>
      <c r="P1348" s="158"/>
      <c r="Q1348" s="158"/>
      <c r="R1348" s="168" t="s">
        <v>2592</v>
      </c>
    </row>
    <row r="1349" spans="1:39" ht="35.25" customHeight="1">
      <c r="A1349" s="15">
        <f t="shared" si="20"/>
        <v>1339</v>
      </c>
      <c r="B1349" s="161" t="s">
        <v>1949</v>
      </c>
      <c r="C1349" s="191" t="s">
        <v>723</v>
      </c>
      <c r="D1349" s="176"/>
      <c r="E1349" s="176"/>
      <c r="F1349" s="176"/>
      <c r="G1349" s="168" t="s">
        <v>2433</v>
      </c>
      <c r="H1349" s="141"/>
      <c r="I1349" s="202" t="s">
        <v>18</v>
      </c>
      <c r="J1349" s="202">
        <v>1</v>
      </c>
      <c r="K1349" s="156" t="s">
        <v>730</v>
      </c>
      <c r="L1349" s="168" t="s">
        <v>2522</v>
      </c>
      <c r="M1349" s="19"/>
      <c r="N1349" s="168" t="s">
        <v>2597</v>
      </c>
      <c r="O1349" s="150"/>
      <c r="P1349" s="158"/>
      <c r="Q1349" s="158"/>
      <c r="R1349" s="168" t="s">
        <v>2592</v>
      </c>
    </row>
    <row r="1350" spans="1:39" ht="35.25" customHeight="1">
      <c r="A1350" s="15">
        <f t="shared" si="20"/>
        <v>1340</v>
      </c>
      <c r="B1350" s="161" t="s">
        <v>1950</v>
      </c>
      <c r="C1350" s="191" t="s">
        <v>723</v>
      </c>
      <c r="D1350" s="176"/>
      <c r="E1350" s="176"/>
      <c r="F1350" s="176"/>
      <c r="G1350" s="168" t="s">
        <v>2433</v>
      </c>
      <c r="H1350" s="141"/>
      <c r="I1350" s="202" t="s">
        <v>18</v>
      </c>
      <c r="J1350" s="202">
        <v>1</v>
      </c>
      <c r="K1350" s="156" t="s">
        <v>730</v>
      </c>
      <c r="L1350" s="168" t="s">
        <v>2522</v>
      </c>
      <c r="M1350" s="19"/>
      <c r="N1350" s="168" t="s">
        <v>2597</v>
      </c>
      <c r="O1350" s="150"/>
      <c r="P1350" s="158"/>
      <c r="Q1350" s="158"/>
      <c r="R1350" s="168" t="s">
        <v>2592</v>
      </c>
    </row>
    <row r="1351" spans="1:39" ht="35.25" customHeight="1">
      <c r="A1351" s="15">
        <f t="shared" si="20"/>
        <v>1341</v>
      </c>
      <c r="B1351" s="161" t="s">
        <v>1951</v>
      </c>
      <c r="C1351" s="191" t="s">
        <v>723</v>
      </c>
      <c r="D1351" s="181"/>
      <c r="E1351" s="181"/>
      <c r="F1351" s="181"/>
      <c r="G1351" s="168" t="s">
        <v>2433</v>
      </c>
      <c r="H1351" s="141"/>
      <c r="I1351" s="202" t="s">
        <v>18</v>
      </c>
      <c r="J1351" s="202">
        <v>1</v>
      </c>
      <c r="K1351" s="156" t="s">
        <v>730</v>
      </c>
      <c r="L1351" s="168" t="s">
        <v>2522</v>
      </c>
      <c r="M1351" s="19"/>
      <c r="N1351" s="168" t="s">
        <v>2597</v>
      </c>
      <c r="O1351" s="150"/>
      <c r="P1351" s="158"/>
      <c r="Q1351" s="158"/>
      <c r="R1351" s="168" t="s">
        <v>2592</v>
      </c>
    </row>
    <row r="1352" spans="1:39" s="136" customFormat="1" ht="35.25" customHeight="1">
      <c r="A1352" s="15">
        <f t="shared" si="20"/>
        <v>1342</v>
      </c>
      <c r="B1352" s="161" t="s">
        <v>1952</v>
      </c>
      <c r="C1352" s="191" t="s">
        <v>723</v>
      </c>
      <c r="D1352" s="176"/>
      <c r="E1352" s="176"/>
      <c r="F1352" s="176"/>
      <c r="G1352" s="168" t="s">
        <v>2433</v>
      </c>
      <c r="H1352" s="141"/>
      <c r="I1352" s="202" t="s">
        <v>18</v>
      </c>
      <c r="J1352" s="202">
        <v>1</v>
      </c>
      <c r="K1352" s="156" t="s">
        <v>730</v>
      </c>
      <c r="L1352" s="168" t="s">
        <v>2522</v>
      </c>
      <c r="M1352" s="19"/>
      <c r="N1352" s="168" t="s">
        <v>2597</v>
      </c>
      <c r="O1352" s="150"/>
      <c r="P1352" s="158"/>
      <c r="Q1352" s="158"/>
      <c r="R1352" s="168" t="s">
        <v>2592</v>
      </c>
      <c r="S1352"/>
      <c r="T1352"/>
      <c r="U1352"/>
      <c r="V1352"/>
      <c r="W1352"/>
      <c r="X1352"/>
      <c r="Y1352"/>
      <c r="Z1352"/>
      <c r="AA1352"/>
      <c r="AB1352"/>
      <c r="AC1352"/>
      <c r="AD1352"/>
      <c r="AE1352"/>
      <c r="AF1352"/>
      <c r="AG1352"/>
      <c r="AH1352"/>
      <c r="AI1352"/>
      <c r="AJ1352"/>
      <c r="AK1352"/>
      <c r="AL1352"/>
      <c r="AM1352"/>
    </row>
    <row r="1353" spans="1:39" s="136" customFormat="1" ht="35.25" customHeight="1">
      <c r="A1353" s="15">
        <f t="shared" si="20"/>
        <v>1343</v>
      </c>
      <c r="B1353" s="161" t="s">
        <v>1953</v>
      </c>
      <c r="C1353" s="191" t="s">
        <v>723</v>
      </c>
      <c r="D1353" s="176"/>
      <c r="E1353" s="176"/>
      <c r="F1353" s="176"/>
      <c r="G1353" s="168" t="s">
        <v>2433</v>
      </c>
      <c r="H1353" s="141"/>
      <c r="I1353" s="202" t="s">
        <v>18</v>
      </c>
      <c r="J1353" s="202">
        <v>1</v>
      </c>
      <c r="K1353" s="156" t="s">
        <v>730</v>
      </c>
      <c r="L1353" s="168" t="s">
        <v>2522</v>
      </c>
      <c r="M1353" s="19"/>
      <c r="N1353" s="168" t="s">
        <v>2597</v>
      </c>
      <c r="O1353" s="150"/>
      <c r="P1353" s="158"/>
      <c r="Q1353" s="158"/>
      <c r="R1353" s="168" t="s">
        <v>2592</v>
      </c>
      <c r="S1353"/>
      <c r="T1353"/>
      <c r="U1353"/>
      <c r="V1353"/>
      <c r="W1353"/>
      <c r="X1353"/>
      <c r="Y1353"/>
      <c r="Z1353"/>
      <c r="AA1353"/>
      <c r="AB1353"/>
      <c r="AC1353"/>
      <c r="AD1353"/>
      <c r="AE1353"/>
      <c r="AF1353"/>
      <c r="AG1353"/>
      <c r="AH1353"/>
      <c r="AI1353"/>
      <c r="AJ1353"/>
      <c r="AK1353"/>
      <c r="AL1353"/>
      <c r="AM1353"/>
    </row>
    <row r="1354" spans="1:39" s="136" customFormat="1" ht="35.25" customHeight="1">
      <c r="A1354" s="15">
        <f t="shared" si="20"/>
        <v>1344</v>
      </c>
      <c r="B1354" s="161" t="s">
        <v>1954</v>
      </c>
      <c r="C1354" s="191" t="s">
        <v>723</v>
      </c>
      <c r="D1354" s="176"/>
      <c r="E1354" s="176"/>
      <c r="F1354" s="176"/>
      <c r="G1354" s="168" t="s">
        <v>2433</v>
      </c>
      <c r="H1354" s="141"/>
      <c r="I1354" s="202" t="s">
        <v>18</v>
      </c>
      <c r="J1354" s="202">
        <v>1</v>
      </c>
      <c r="K1354" s="156" t="s">
        <v>730</v>
      </c>
      <c r="L1354" s="168" t="s">
        <v>2522</v>
      </c>
      <c r="M1354" s="19"/>
      <c r="N1354" s="168" t="s">
        <v>2597</v>
      </c>
      <c r="O1354" s="150"/>
      <c r="P1354" s="158"/>
      <c r="Q1354" s="158"/>
      <c r="R1354" s="168" t="s">
        <v>2592</v>
      </c>
      <c r="S1354"/>
      <c r="T1354"/>
      <c r="U1354"/>
      <c r="V1354"/>
      <c r="W1354"/>
      <c r="X1354"/>
      <c r="Y1354"/>
      <c r="Z1354"/>
      <c r="AA1354"/>
      <c r="AB1354"/>
      <c r="AC1354"/>
      <c r="AD1354"/>
      <c r="AE1354"/>
      <c r="AF1354"/>
      <c r="AG1354"/>
      <c r="AH1354"/>
      <c r="AI1354"/>
      <c r="AJ1354"/>
      <c r="AK1354"/>
      <c r="AL1354"/>
      <c r="AM1354"/>
    </row>
    <row r="1355" spans="1:39" s="136" customFormat="1" ht="35.25" customHeight="1">
      <c r="A1355" s="15">
        <f t="shared" si="20"/>
        <v>1345</v>
      </c>
      <c r="B1355" s="161" t="s">
        <v>1955</v>
      </c>
      <c r="C1355" s="191" t="s">
        <v>723</v>
      </c>
      <c r="D1355" s="176"/>
      <c r="E1355" s="176"/>
      <c r="F1355" s="176"/>
      <c r="G1355" s="168" t="s">
        <v>2433</v>
      </c>
      <c r="H1355" s="141"/>
      <c r="I1355" s="202" t="s">
        <v>18</v>
      </c>
      <c r="J1355" s="202">
        <v>1</v>
      </c>
      <c r="K1355" s="156" t="s">
        <v>730</v>
      </c>
      <c r="L1355" s="168" t="s">
        <v>2522</v>
      </c>
      <c r="M1355" s="19"/>
      <c r="N1355" s="168" t="s">
        <v>2597</v>
      </c>
      <c r="O1355" s="150"/>
      <c r="P1355" s="158"/>
      <c r="Q1355" s="158"/>
      <c r="R1355" s="168" t="s">
        <v>2592</v>
      </c>
      <c r="S1355"/>
      <c r="T1355"/>
      <c r="U1355"/>
      <c r="V1355"/>
      <c r="W1355"/>
      <c r="X1355"/>
      <c r="Y1355"/>
      <c r="Z1355"/>
      <c r="AA1355"/>
      <c r="AB1355"/>
      <c r="AC1355"/>
      <c r="AD1355"/>
      <c r="AE1355"/>
      <c r="AF1355"/>
      <c r="AG1355"/>
      <c r="AH1355"/>
      <c r="AI1355"/>
      <c r="AJ1355"/>
      <c r="AK1355"/>
      <c r="AL1355"/>
      <c r="AM1355"/>
    </row>
    <row r="1356" spans="1:39" ht="35.25" customHeight="1">
      <c r="A1356" s="15">
        <f t="shared" si="20"/>
        <v>1346</v>
      </c>
      <c r="B1356" s="161" t="s">
        <v>1956</v>
      </c>
      <c r="C1356" s="191" t="s">
        <v>723</v>
      </c>
      <c r="D1356" s="156"/>
      <c r="E1356" s="156"/>
      <c r="F1356" s="156"/>
      <c r="G1356" s="168" t="s">
        <v>2433</v>
      </c>
      <c r="H1356" s="141"/>
      <c r="I1356" s="202" t="s">
        <v>18</v>
      </c>
      <c r="J1356" s="202">
        <v>1</v>
      </c>
      <c r="K1356" s="156" t="s">
        <v>730</v>
      </c>
      <c r="L1356" s="168" t="s">
        <v>2522</v>
      </c>
      <c r="M1356" s="19"/>
      <c r="N1356" s="168" t="s">
        <v>2597</v>
      </c>
      <c r="O1356" s="150"/>
      <c r="P1356" s="158"/>
      <c r="Q1356" s="158"/>
      <c r="R1356" s="168" t="s">
        <v>2592</v>
      </c>
    </row>
    <row r="1357" spans="1:39" ht="35.25" customHeight="1">
      <c r="A1357" s="15">
        <f t="shared" si="20"/>
        <v>1347</v>
      </c>
      <c r="B1357" s="161" t="s">
        <v>1957</v>
      </c>
      <c r="C1357" s="191" t="s">
        <v>723</v>
      </c>
      <c r="D1357" s="156"/>
      <c r="E1357" s="156"/>
      <c r="F1357" s="156"/>
      <c r="G1357" s="168" t="s">
        <v>2433</v>
      </c>
      <c r="H1357" s="141"/>
      <c r="I1357" s="202" t="s">
        <v>18</v>
      </c>
      <c r="J1357" s="202">
        <v>1</v>
      </c>
      <c r="K1357" s="156" t="s">
        <v>730</v>
      </c>
      <c r="L1357" s="168" t="s">
        <v>2522</v>
      </c>
      <c r="M1357" s="19"/>
      <c r="N1357" s="168" t="s">
        <v>2597</v>
      </c>
      <c r="O1357" s="150"/>
      <c r="P1357" s="158"/>
      <c r="Q1357" s="158"/>
      <c r="R1357" s="168" t="s">
        <v>2592</v>
      </c>
    </row>
    <row r="1358" spans="1:39" s="136" customFormat="1" ht="35.25" customHeight="1">
      <c r="A1358" s="15">
        <f t="shared" si="20"/>
        <v>1348</v>
      </c>
      <c r="B1358" s="161" t="s">
        <v>1958</v>
      </c>
      <c r="C1358" s="191" t="s">
        <v>723</v>
      </c>
      <c r="D1358" s="156"/>
      <c r="E1358" s="156"/>
      <c r="F1358" s="156"/>
      <c r="G1358" s="168" t="s">
        <v>2433</v>
      </c>
      <c r="H1358" s="141"/>
      <c r="I1358" s="202" t="s">
        <v>18</v>
      </c>
      <c r="J1358" s="202">
        <v>1</v>
      </c>
      <c r="K1358" s="156" t="s">
        <v>730</v>
      </c>
      <c r="L1358" s="168" t="s">
        <v>2522</v>
      </c>
      <c r="M1358" s="19"/>
      <c r="N1358" s="168" t="s">
        <v>2597</v>
      </c>
      <c r="O1358" s="150"/>
      <c r="P1358" s="158"/>
      <c r="Q1358" s="158"/>
      <c r="R1358" s="168" t="s">
        <v>2592</v>
      </c>
      <c r="S1358"/>
      <c r="T1358"/>
      <c r="U1358"/>
      <c r="V1358"/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</row>
    <row r="1359" spans="1:39" s="136" customFormat="1" ht="35.25" customHeight="1">
      <c r="A1359" s="15">
        <f t="shared" si="20"/>
        <v>1349</v>
      </c>
      <c r="B1359" s="161" t="s">
        <v>1959</v>
      </c>
      <c r="C1359" s="191" t="s">
        <v>723</v>
      </c>
      <c r="D1359" s="156"/>
      <c r="E1359" s="156"/>
      <c r="F1359" s="156"/>
      <c r="G1359" s="168" t="s">
        <v>2433</v>
      </c>
      <c r="H1359" s="141"/>
      <c r="I1359" s="202" t="s">
        <v>18</v>
      </c>
      <c r="J1359" s="202">
        <v>1</v>
      </c>
      <c r="K1359" s="156" t="s">
        <v>730</v>
      </c>
      <c r="L1359" s="168" t="s">
        <v>2522</v>
      </c>
      <c r="M1359" s="19"/>
      <c r="N1359" s="168" t="s">
        <v>2597</v>
      </c>
      <c r="O1359" s="150"/>
      <c r="P1359" s="158"/>
      <c r="Q1359" s="158"/>
      <c r="R1359" s="168" t="s">
        <v>2592</v>
      </c>
      <c r="S1359"/>
      <c r="T1359"/>
      <c r="U1359"/>
      <c r="V1359"/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</row>
    <row r="1360" spans="1:39" ht="35.25" customHeight="1">
      <c r="A1360" s="15">
        <f t="shared" si="20"/>
        <v>1350</v>
      </c>
      <c r="B1360" s="161" t="s">
        <v>1960</v>
      </c>
      <c r="C1360" s="191" t="s">
        <v>723</v>
      </c>
      <c r="D1360" s="169"/>
      <c r="E1360" s="169"/>
      <c r="F1360" s="169"/>
      <c r="G1360" s="168" t="s">
        <v>2433</v>
      </c>
      <c r="H1360" s="141"/>
      <c r="I1360" s="202" t="s">
        <v>18</v>
      </c>
      <c r="J1360" s="202">
        <v>1</v>
      </c>
      <c r="K1360" s="156" t="s">
        <v>730</v>
      </c>
      <c r="L1360" s="168" t="s">
        <v>2522</v>
      </c>
      <c r="M1360" s="19"/>
      <c r="N1360" s="168" t="s">
        <v>2597</v>
      </c>
      <c r="O1360" s="150"/>
      <c r="P1360" s="176"/>
      <c r="Q1360" s="176"/>
      <c r="R1360" s="168" t="s">
        <v>2592</v>
      </c>
    </row>
    <row r="1361" spans="1:18" ht="35.25" customHeight="1">
      <c r="A1361" s="15">
        <f t="shared" si="20"/>
        <v>1351</v>
      </c>
      <c r="B1361" s="161" t="s">
        <v>1961</v>
      </c>
      <c r="C1361" s="191" t="s">
        <v>723</v>
      </c>
      <c r="D1361" s="169"/>
      <c r="E1361" s="169"/>
      <c r="F1361" s="169"/>
      <c r="G1361" s="168" t="s">
        <v>2433</v>
      </c>
      <c r="H1361" s="141"/>
      <c r="I1361" s="202" t="s">
        <v>18</v>
      </c>
      <c r="J1361" s="202">
        <v>1</v>
      </c>
      <c r="K1361" s="156" t="s">
        <v>730</v>
      </c>
      <c r="L1361" s="168" t="s">
        <v>2522</v>
      </c>
      <c r="M1361" s="19"/>
      <c r="N1361" s="168" t="s">
        <v>2597</v>
      </c>
      <c r="O1361" s="150"/>
      <c r="P1361" s="176"/>
      <c r="Q1361" s="176"/>
      <c r="R1361" s="168" t="s">
        <v>2592</v>
      </c>
    </row>
    <row r="1362" spans="1:18" ht="35.25" customHeight="1">
      <c r="A1362" s="15">
        <f t="shared" si="20"/>
        <v>1352</v>
      </c>
      <c r="B1362" s="161" t="s">
        <v>1962</v>
      </c>
      <c r="C1362" s="191" t="s">
        <v>723</v>
      </c>
      <c r="D1362" s="169"/>
      <c r="E1362" s="169"/>
      <c r="F1362" s="169"/>
      <c r="G1362" s="168" t="s">
        <v>2433</v>
      </c>
      <c r="H1362" s="141"/>
      <c r="I1362" s="202" t="s">
        <v>18</v>
      </c>
      <c r="J1362" s="202">
        <v>1</v>
      </c>
      <c r="K1362" s="156" t="s">
        <v>730</v>
      </c>
      <c r="L1362" s="168" t="s">
        <v>2522</v>
      </c>
      <c r="M1362" s="19"/>
      <c r="N1362" s="168" t="s">
        <v>2597</v>
      </c>
      <c r="O1362" s="150"/>
      <c r="P1362" s="176"/>
      <c r="Q1362" s="176"/>
      <c r="R1362" s="168" t="s">
        <v>2592</v>
      </c>
    </row>
    <row r="1363" spans="1:18" ht="35.25" customHeight="1">
      <c r="A1363" s="15">
        <f t="shared" ref="A1363:A1426" si="21">A1362+1</f>
        <v>1353</v>
      </c>
      <c r="B1363" s="161" t="s">
        <v>1963</v>
      </c>
      <c r="C1363" s="191" t="s">
        <v>723</v>
      </c>
      <c r="D1363" s="169"/>
      <c r="E1363" s="169"/>
      <c r="F1363" s="169"/>
      <c r="G1363" s="168" t="s">
        <v>2433</v>
      </c>
      <c r="H1363" s="141"/>
      <c r="I1363" s="202" t="s">
        <v>18</v>
      </c>
      <c r="J1363" s="202">
        <v>1</v>
      </c>
      <c r="K1363" s="156" t="s">
        <v>730</v>
      </c>
      <c r="L1363" s="168" t="s">
        <v>2522</v>
      </c>
      <c r="M1363" s="19"/>
      <c r="N1363" s="168" t="s">
        <v>2597</v>
      </c>
      <c r="O1363" s="150"/>
      <c r="P1363" s="176"/>
      <c r="Q1363" s="176"/>
      <c r="R1363" s="168" t="s">
        <v>2592</v>
      </c>
    </row>
    <row r="1364" spans="1:18" ht="35.25" customHeight="1">
      <c r="A1364" s="15">
        <f t="shared" si="21"/>
        <v>1354</v>
      </c>
      <c r="B1364" s="161" t="s">
        <v>1964</v>
      </c>
      <c r="C1364" s="191" t="s">
        <v>723</v>
      </c>
      <c r="D1364" s="169"/>
      <c r="E1364" s="169"/>
      <c r="F1364" s="169"/>
      <c r="G1364" s="168" t="s">
        <v>2433</v>
      </c>
      <c r="H1364" s="141"/>
      <c r="I1364" s="202" t="s">
        <v>18</v>
      </c>
      <c r="J1364" s="202">
        <v>1</v>
      </c>
      <c r="K1364" s="156" t="s">
        <v>730</v>
      </c>
      <c r="L1364" s="168" t="s">
        <v>2522</v>
      </c>
      <c r="M1364" s="19"/>
      <c r="N1364" s="168" t="s">
        <v>2597</v>
      </c>
      <c r="O1364" s="150"/>
      <c r="P1364" s="176"/>
      <c r="Q1364" s="176"/>
      <c r="R1364" s="168" t="s">
        <v>2592</v>
      </c>
    </row>
    <row r="1365" spans="1:18" ht="35.25" customHeight="1">
      <c r="A1365" s="15">
        <f t="shared" si="21"/>
        <v>1355</v>
      </c>
      <c r="B1365" s="161" t="s">
        <v>1965</v>
      </c>
      <c r="C1365" s="191" t="s">
        <v>723</v>
      </c>
      <c r="D1365" s="156"/>
      <c r="E1365" s="156"/>
      <c r="F1365" s="156"/>
      <c r="G1365" s="168" t="s">
        <v>2433</v>
      </c>
      <c r="H1365" s="141"/>
      <c r="I1365" s="202" t="s">
        <v>18</v>
      </c>
      <c r="J1365" s="202">
        <v>1</v>
      </c>
      <c r="K1365" s="156" t="s">
        <v>730</v>
      </c>
      <c r="L1365" s="168" t="s">
        <v>2522</v>
      </c>
      <c r="M1365" s="19"/>
      <c r="N1365" s="168" t="s">
        <v>2597</v>
      </c>
      <c r="O1365" s="150"/>
      <c r="P1365" s="158"/>
      <c r="Q1365" s="158"/>
      <c r="R1365" s="168" t="s">
        <v>2592</v>
      </c>
    </row>
    <row r="1366" spans="1:18" ht="35.25" customHeight="1">
      <c r="A1366" s="15">
        <f t="shared" si="21"/>
        <v>1356</v>
      </c>
      <c r="B1366" s="161" t="s">
        <v>1966</v>
      </c>
      <c r="C1366" s="191" t="s">
        <v>723</v>
      </c>
      <c r="D1366" s="156"/>
      <c r="E1366" s="156"/>
      <c r="F1366" s="156"/>
      <c r="G1366" s="168" t="s">
        <v>2433</v>
      </c>
      <c r="H1366" s="141"/>
      <c r="I1366" s="202" t="s">
        <v>18</v>
      </c>
      <c r="J1366" s="202">
        <v>1</v>
      </c>
      <c r="K1366" s="156" t="s">
        <v>730</v>
      </c>
      <c r="L1366" s="168" t="s">
        <v>2522</v>
      </c>
      <c r="M1366" s="19"/>
      <c r="N1366" s="168" t="s">
        <v>2597</v>
      </c>
      <c r="O1366" s="150"/>
      <c r="P1366" s="158"/>
      <c r="Q1366" s="158"/>
      <c r="R1366" s="168" t="s">
        <v>2592</v>
      </c>
    </row>
    <row r="1367" spans="1:18" ht="35.25" customHeight="1">
      <c r="A1367" s="15">
        <f t="shared" si="21"/>
        <v>1357</v>
      </c>
      <c r="B1367" s="161" t="s">
        <v>1967</v>
      </c>
      <c r="C1367" s="191" t="s">
        <v>723</v>
      </c>
      <c r="D1367" s="156"/>
      <c r="E1367" s="156"/>
      <c r="F1367" s="156"/>
      <c r="G1367" s="168" t="s">
        <v>2433</v>
      </c>
      <c r="H1367" s="141"/>
      <c r="I1367" s="202" t="s">
        <v>18</v>
      </c>
      <c r="J1367" s="202">
        <v>1</v>
      </c>
      <c r="K1367" s="156" t="s">
        <v>730</v>
      </c>
      <c r="L1367" s="168" t="s">
        <v>2522</v>
      </c>
      <c r="M1367" s="19"/>
      <c r="N1367" s="168" t="s">
        <v>2597</v>
      </c>
      <c r="O1367" s="150"/>
      <c r="P1367" s="158"/>
      <c r="Q1367" s="158"/>
      <c r="R1367" s="168" t="s">
        <v>2592</v>
      </c>
    </row>
    <row r="1368" spans="1:18" ht="35.25" customHeight="1">
      <c r="A1368" s="15">
        <f t="shared" si="21"/>
        <v>1358</v>
      </c>
      <c r="B1368" s="161" t="s">
        <v>1968</v>
      </c>
      <c r="C1368" s="191" t="s">
        <v>723</v>
      </c>
      <c r="D1368" s="156"/>
      <c r="E1368" s="156"/>
      <c r="F1368" s="156"/>
      <c r="G1368" s="168" t="s">
        <v>2433</v>
      </c>
      <c r="H1368" s="141"/>
      <c r="I1368" s="202" t="s">
        <v>18</v>
      </c>
      <c r="J1368" s="202">
        <v>1</v>
      </c>
      <c r="K1368" s="156" t="s">
        <v>730</v>
      </c>
      <c r="L1368" s="168" t="s">
        <v>2522</v>
      </c>
      <c r="M1368" s="19"/>
      <c r="N1368" s="168" t="s">
        <v>2597</v>
      </c>
      <c r="O1368" s="150"/>
      <c r="P1368" s="158"/>
      <c r="Q1368" s="158"/>
      <c r="R1368" s="168" t="s">
        <v>2592</v>
      </c>
    </row>
    <row r="1369" spans="1:18" ht="35.25" customHeight="1">
      <c r="A1369" s="15">
        <f t="shared" si="21"/>
        <v>1359</v>
      </c>
      <c r="B1369" s="161" t="s">
        <v>1969</v>
      </c>
      <c r="C1369" s="191" t="s">
        <v>723</v>
      </c>
      <c r="D1369" s="156"/>
      <c r="E1369" s="156"/>
      <c r="F1369" s="156"/>
      <c r="G1369" s="168" t="s">
        <v>2433</v>
      </c>
      <c r="H1369" s="141"/>
      <c r="I1369" s="202" t="s">
        <v>18</v>
      </c>
      <c r="J1369" s="202">
        <v>1</v>
      </c>
      <c r="K1369" s="156" t="s">
        <v>730</v>
      </c>
      <c r="L1369" s="168" t="s">
        <v>2522</v>
      </c>
      <c r="M1369" s="19"/>
      <c r="N1369" s="168" t="s">
        <v>2597</v>
      </c>
      <c r="O1369" s="150"/>
      <c r="P1369" s="158"/>
      <c r="Q1369" s="158"/>
      <c r="R1369" s="168" t="s">
        <v>2592</v>
      </c>
    </row>
    <row r="1370" spans="1:18" ht="35.25" customHeight="1">
      <c r="A1370" s="15">
        <f t="shared" si="21"/>
        <v>1360</v>
      </c>
      <c r="B1370" s="161" t="s">
        <v>1970</v>
      </c>
      <c r="C1370" s="191" t="s">
        <v>723</v>
      </c>
      <c r="D1370" s="156"/>
      <c r="E1370" s="156"/>
      <c r="F1370" s="156"/>
      <c r="G1370" s="168" t="s">
        <v>2433</v>
      </c>
      <c r="H1370" s="141"/>
      <c r="I1370" s="202" t="s">
        <v>18</v>
      </c>
      <c r="J1370" s="202">
        <v>1</v>
      </c>
      <c r="K1370" s="156" t="s">
        <v>730</v>
      </c>
      <c r="L1370" s="168" t="s">
        <v>2522</v>
      </c>
      <c r="M1370" s="19"/>
      <c r="N1370" s="168" t="s">
        <v>2597</v>
      </c>
      <c r="O1370" s="150"/>
      <c r="P1370" s="158"/>
      <c r="Q1370" s="158"/>
      <c r="R1370" s="168" t="s">
        <v>2592</v>
      </c>
    </row>
    <row r="1371" spans="1:18" ht="35.25" customHeight="1">
      <c r="A1371" s="15">
        <f t="shared" si="21"/>
        <v>1361</v>
      </c>
      <c r="B1371" s="161" t="s">
        <v>1971</v>
      </c>
      <c r="C1371" s="191" t="s">
        <v>723</v>
      </c>
      <c r="D1371" s="156"/>
      <c r="E1371" s="156"/>
      <c r="F1371" s="156"/>
      <c r="G1371" s="168" t="s">
        <v>2433</v>
      </c>
      <c r="H1371" s="141"/>
      <c r="I1371" s="202" t="s">
        <v>18</v>
      </c>
      <c r="J1371" s="202">
        <v>1</v>
      </c>
      <c r="K1371" s="156" t="s">
        <v>730</v>
      </c>
      <c r="L1371" s="168" t="s">
        <v>2522</v>
      </c>
      <c r="M1371" s="19"/>
      <c r="N1371" s="168" t="s">
        <v>2597</v>
      </c>
      <c r="O1371" s="150"/>
      <c r="P1371" s="158"/>
      <c r="Q1371" s="158"/>
      <c r="R1371" s="168" t="s">
        <v>2592</v>
      </c>
    </row>
    <row r="1372" spans="1:18" ht="35.25" customHeight="1">
      <c r="A1372" s="15">
        <f t="shared" si="21"/>
        <v>1362</v>
      </c>
      <c r="B1372" s="161" t="s">
        <v>1972</v>
      </c>
      <c r="C1372" s="191" t="s">
        <v>723</v>
      </c>
      <c r="D1372" s="156"/>
      <c r="E1372" s="156"/>
      <c r="F1372" s="156"/>
      <c r="G1372" s="168" t="s">
        <v>2433</v>
      </c>
      <c r="H1372" s="141"/>
      <c r="I1372" s="202" t="s">
        <v>18</v>
      </c>
      <c r="J1372" s="202">
        <v>1</v>
      </c>
      <c r="K1372" s="156" t="s">
        <v>730</v>
      </c>
      <c r="L1372" s="168" t="s">
        <v>2522</v>
      </c>
      <c r="M1372" s="19"/>
      <c r="N1372" s="168" t="s">
        <v>2597</v>
      </c>
      <c r="O1372" s="150"/>
      <c r="P1372" s="158"/>
      <c r="Q1372" s="158"/>
      <c r="R1372" s="168" t="s">
        <v>2592</v>
      </c>
    </row>
    <row r="1373" spans="1:18" ht="35.25" customHeight="1">
      <c r="A1373" s="15">
        <f t="shared" si="21"/>
        <v>1363</v>
      </c>
      <c r="B1373" s="161" t="s">
        <v>1973</v>
      </c>
      <c r="C1373" s="191" t="s">
        <v>723</v>
      </c>
      <c r="D1373" s="156"/>
      <c r="E1373" s="156"/>
      <c r="F1373" s="156"/>
      <c r="G1373" s="168" t="s">
        <v>2433</v>
      </c>
      <c r="H1373" s="141"/>
      <c r="I1373" s="202" t="s">
        <v>18</v>
      </c>
      <c r="J1373" s="202">
        <v>1</v>
      </c>
      <c r="K1373" s="156" t="s">
        <v>730</v>
      </c>
      <c r="L1373" s="168" t="s">
        <v>2522</v>
      </c>
      <c r="M1373" s="19"/>
      <c r="N1373" s="168" t="s">
        <v>2597</v>
      </c>
      <c r="O1373" s="150"/>
      <c r="P1373" s="158"/>
      <c r="Q1373" s="158"/>
      <c r="R1373" s="168" t="s">
        <v>2592</v>
      </c>
    </row>
    <row r="1374" spans="1:18" ht="35.25" customHeight="1">
      <c r="A1374" s="15">
        <f t="shared" si="21"/>
        <v>1364</v>
      </c>
      <c r="B1374" s="161" t="s">
        <v>1974</v>
      </c>
      <c r="C1374" s="191" t="s">
        <v>723</v>
      </c>
      <c r="D1374" s="156"/>
      <c r="E1374" s="156"/>
      <c r="F1374" s="156"/>
      <c r="G1374" s="168" t="s">
        <v>2433</v>
      </c>
      <c r="H1374" s="141"/>
      <c r="I1374" s="202" t="s">
        <v>18</v>
      </c>
      <c r="J1374" s="202">
        <v>1</v>
      </c>
      <c r="K1374" s="156" t="s">
        <v>730</v>
      </c>
      <c r="L1374" s="168" t="s">
        <v>2522</v>
      </c>
      <c r="M1374" s="19"/>
      <c r="N1374" s="168" t="s">
        <v>2597</v>
      </c>
      <c r="O1374" s="150"/>
      <c r="P1374" s="158"/>
      <c r="Q1374" s="158"/>
      <c r="R1374" s="168" t="s">
        <v>2592</v>
      </c>
    </row>
    <row r="1375" spans="1:18" ht="35.25" customHeight="1">
      <c r="A1375" s="15">
        <f t="shared" si="21"/>
        <v>1365</v>
      </c>
      <c r="B1375" s="161" t="s">
        <v>1975</v>
      </c>
      <c r="C1375" s="191" t="s">
        <v>723</v>
      </c>
      <c r="D1375" s="156"/>
      <c r="E1375" s="156"/>
      <c r="F1375" s="156"/>
      <c r="G1375" s="168" t="s">
        <v>2433</v>
      </c>
      <c r="H1375" s="141"/>
      <c r="I1375" s="202" t="s">
        <v>18</v>
      </c>
      <c r="J1375" s="202">
        <v>1</v>
      </c>
      <c r="K1375" s="156" t="s">
        <v>730</v>
      </c>
      <c r="L1375" s="168" t="s">
        <v>2522</v>
      </c>
      <c r="M1375" s="19"/>
      <c r="N1375" s="168" t="s">
        <v>2597</v>
      </c>
      <c r="O1375" s="150"/>
      <c r="P1375" s="158"/>
      <c r="Q1375" s="158"/>
      <c r="R1375" s="168" t="s">
        <v>2592</v>
      </c>
    </row>
    <row r="1376" spans="1:18" ht="35.25" customHeight="1">
      <c r="A1376" s="15">
        <f t="shared" si="21"/>
        <v>1366</v>
      </c>
      <c r="B1376" s="161" t="s">
        <v>1976</v>
      </c>
      <c r="C1376" s="191" t="s">
        <v>723</v>
      </c>
      <c r="D1376" s="156"/>
      <c r="E1376" s="156"/>
      <c r="F1376" s="156"/>
      <c r="G1376" s="168" t="s">
        <v>2434</v>
      </c>
      <c r="H1376" s="141"/>
      <c r="I1376" s="202" t="s">
        <v>18</v>
      </c>
      <c r="J1376" s="202">
        <v>1</v>
      </c>
      <c r="K1376" s="156" t="s">
        <v>730</v>
      </c>
      <c r="L1376" s="168" t="s">
        <v>2522</v>
      </c>
      <c r="M1376" s="19"/>
      <c r="N1376" s="168" t="s">
        <v>2597</v>
      </c>
      <c r="O1376" s="150"/>
      <c r="P1376" s="158"/>
      <c r="Q1376" s="158"/>
      <c r="R1376" s="168" t="s">
        <v>2592</v>
      </c>
    </row>
    <row r="1377" spans="1:18" ht="35.25" customHeight="1">
      <c r="A1377" s="15">
        <f t="shared" si="21"/>
        <v>1367</v>
      </c>
      <c r="B1377" s="161" t="s">
        <v>1977</v>
      </c>
      <c r="C1377" s="191" t="s">
        <v>723</v>
      </c>
      <c r="D1377" s="156"/>
      <c r="E1377" s="156"/>
      <c r="F1377" s="156"/>
      <c r="G1377" s="168" t="s">
        <v>2434</v>
      </c>
      <c r="H1377" s="141"/>
      <c r="I1377" s="202" t="s">
        <v>18</v>
      </c>
      <c r="J1377" s="202">
        <v>1</v>
      </c>
      <c r="K1377" s="156" t="s">
        <v>730</v>
      </c>
      <c r="L1377" s="168" t="s">
        <v>2522</v>
      </c>
      <c r="M1377" s="19"/>
      <c r="N1377" s="168" t="s">
        <v>2597</v>
      </c>
      <c r="O1377" s="150"/>
      <c r="P1377" s="158"/>
      <c r="Q1377" s="158"/>
      <c r="R1377" s="168" t="s">
        <v>2592</v>
      </c>
    </row>
    <row r="1378" spans="1:18" ht="35.25" customHeight="1">
      <c r="A1378" s="15">
        <f t="shared" si="21"/>
        <v>1368</v>
      </c>
      <c r="B1378" s="161" t="s">
        <v>1978</v>
      </c>
      <c r="C1378" s="191" t="s">
        <v>723</v>
      </c>
      <c r="D1378" s="156"/>
      <c r="E1378" s="156"/>
      <c r="F1378" s="156"/>
      <c r="G1378" s="168" t="s">
        <v>2434</v>
      </c>
      <c r="H1378" s="141"/>
      <c r="I1378" s="202" t="s">
        <v>18</v>
      </c>
      <c r="J1378" s="202">
        <v>1</v>
      </c>
      <c r="K1378" s="156" t="s">
        <v>730</v>
      </c>
      <c r="L1378" s="168" t="s">
        <v>2522</v>
      </c>
      <c r="M1378" s="19"/>
      <c r="N1378" s="168" t="s">
        <v>2597</v>
      </c>
      <c r="O1378" s="150"/>
      <c r="P1378" s="158"/>
      <c r="Q1378" s="158"/>
      <c r="R1378" s="168" t="s">
        <v>2592</v>
      </c>
    </row>
    <row r="1379" spans="1:18" ht="35.25" customHeight="1">
      <c r="A1379" s="15">
        <f t="shared" si="21"/>
        <v>1369</v>
      </c>
      <c r="B1379" s="161" t="s">
        <v>1979</v>
      </c>
      <c r="C1379" s="191" t="s">
        <v>723</v>
      </c>
      <c r="D1379" s="156"/>
      <c r="E1379" s="156"/>
      <c r="F1379" s="156"/>
      <c r="G1379" s="168" t="s">
        <v>2434</v>
      </c>
      <c r="H1379" s="141"/>
      <c r="I1379" s="202" t="s">
        <v>18</v>
      </c>
      <c r="J1379" s="202">
        <v>1</v>
      </c>
      <c r="K1379" s="156" t="s">
        <v>730</v>
      </c>
      <c r="L1379" s="168" t="s">
        <v>2522</v>
      </c>
      <c r="M1379" s="19"/>
      <c r="N1379" s="168" t="s">
        <v>2597</v>
      </c>
      <c r="O1379" s="150"/>
      <c r="P1379" s="158"/>
      <c r="Q1379" s="158"/>
      <c r="R1379" s="168" t="s">
        <v>2592</v>
      </c>
    </row>
    <row r="1380" spans="1:18" ht="35.25" customHeight="1">
      <c r="A1380" s="15">
        <f t="shared" si="21"/>
        <v>1370</v>
      </c>
      <c r="B1380" s="161" t="s">
        <v>1980</v>
      </c>
      <c r="C1380" s="191" t="s">
        <v>723</v>
      </c>
      <c r="D1380" s="156"/>
      <c r="E1380" s="156"/>
      <c r="F1380" s="156"/>
      <c r="G1380" s="168" t="s">
        <v>2434</v>
      </c>
      <c r="H1380" s="141"/>
      <c r="I1380" s="202" t="s">
        <v>18</v>
      </c>
      <c r="J1380" s="202">
        <v>1</v>
      </c>
      <c r="K1380" s="156" t="s">
        <v>730</v>
      </c>
      <c r="L1380" s="168" t="s">
        <v>2522</v>
      </c>
      <c r="M1380" s="19"/>
      <c r="N1380" s="168" t="s">
        <v>2597</v>
      </c>
      <c r="O1380" s="150"/>
      <c r="P1380" s="158"/>
      <c r="Q1380" s="158"/>
      <c r="R1380" s="168" t="s">
        <v>2592</v>
      </c>
    </row>
    <row r="1381" spans="1:18" ht="35.25" customHeight="1">
      <c r="A1381" s="15">
        <f t="shared" si="21"/>
        <v>1371</v>
      </c>
      <c r="B1381" s="161" t="s">
        <v>1981</v>
      </c>
      <c r="C1381" s="191" t="s">
        <v>723</v>
      </c>
      <c r="D1381" s="156"/>
      <c r="E1381" s="156"/>
      <c r="F1381" s="156"/>
      <c r="G1381" s="168" t="s">
        <v>2434</v>
      </c>
      <c r="H1381" s="141"/>
      <c r="I1381" s="202" t="s">
        <v>18</v>
      </c>
      <c r="J1381" s="202">
        <v>1</v>
      </c>
      <c r="K1381" s="156" t="s">
        <v>730</v>
      </c>
      <c r="L1381" s="168" t="s">
        <v>2522</v>
      </c>
      <c r="M1381" s="19"/>
      <c r="N1381" s="168" t="s">
        <v>2597</v>
      </c>
      <c r="O1381" s="150"/>
      <c r="P1381" s="158"/>
      <c r="Q1381" s="158"/>
      <c r="R1381" s="168" t="s">
        <v>2592</v>
      </c>
    </row>
    <row r="1382" spans="1:18" ht="35.25" customHeight="1">
      <c r="A1382" s="15">
        <f t="shared" si="21"/>
        <v>1372</v>
      </c>
      <c r="B1382" s="161" t="s">
        <v>1982</v>
      </c>
      <c r="C1382" s="191" t="s">
        <v>723</v>
      </c>
      <c r="D1382" s="156"/>
      <c r="E1382" s="156"/>
      <c r="F1382" s="156"/>
      <c r="G1382" s="168" t="s">
        <v>2434</v>
      </c>
      <c r="H1382" s="141"/>
      <c r="I1382" s="202" t="s">
        <v>18</v>
      </c>
      <c r="J1382" s="202">
        <v>1</v>
      </c>
      <c r="K1382" s="156" t="s">
        <v>730</v>
      </c>
      <c r="L1382" s="168" t="s">
        <v>2522</v>
      </c>
      <c r="M1382" s="19"/>
      <c r="N1382" s="168" t="s">
        <v>2597</v>
      </c>
      <c r="O1382" s="150"/>
      <c r="P1382" s="158"/>
      <c r="Q1382" s="158"/>
      <c r="R1382" s="168" t="s">
        <v>2592</v>
      </c>
    </row>
    <row r="1383" spans="1:18" ht="35.25" customHeight="1">
      <c r="A1383" s="15">
        <f t="shared" si="21"/>
        <v>1373</v>
      </c>
      <c r="B1383" s="161" t="s">
        <v>1983</v>
      </c>
      <c r="C1383" s="191" t="s">
        <v>723</v>
      </c>
      <c r="D1383" s="156"/>
      <c r="E1383" s="156"/>
      <c r="F1383" s="156"/>
      <c r="G1383" s="168" t="s">
        <v>2434</v>
      </c>
      <c r="H1383" s="141"/>
      <c r="I1383" s="202" t="s">
        <v>18</v>
      </c>
      <c r="J1383" s="202">
        <v>1</v>
      </c>
      <c r="K1383" s="156" t="s">
        <v>730</v>
      </c>
      <c r="L1383" s="168" t="s">
        <v>2522</v>
      </c>
      <c r="M1383" s="19"/>
      <c r="N1383" s="168" t="s">
        <v>2597</v>
      </c>
      <c r="O1383" s="150"/>
      <c r="P1383" s="158"/>
      <c r="Q1383" s="158"/>
      <c r="R1383" s="168" t="s">
        <v>2592</v>
      </c>
    </row>
    <row r="1384" spans="1:18" ht="35.25" customHeight="1">
      <c r="A1384" s="15">
        <f t="shared" si="21"/>
        <v>1374</v>
      </c>
      <c r="B1384" s="161" t="s">
        <v>1984</v>
      </c>
      <c r="C1384" s="191" t="s">
        <v>723</v>
      </c>
      <c r="D1384" s="156"/>
      <c r="E1384" s="156"/>
      <c r="F1384" s="156"/>
      <c r="G1384" s="168" t="s">
        <v>2434</v>
      </c>
      <c r="H1384" s="141"/>
      <c r="I1384" s="202" t="s">
        <v>18</v>
      </c>
      <c r="J1384" s="202">
        <v>1</v>
      </c>
      <c r="K1384" s="156" t="s">
        <v>730</v>
      </c>
      <c r="L1384" s="168" t="s">
        <v>2522</v>
      </c>
      <c r="M1384" s="19"/>
      <c r="N1384" s="168" t="s">
        <v>2597</v>
      </c>
      <c r="O1384" s="150"/>
      <c r="P1384" s="158"/>
      <c r="Q1384" s="158"/>
      <c r="R1384" s="168" t="s">
        <v>2592</v>
      </c>
    </row>
    <row r="1385" spans="1:18" ht="35.25" customHeight="1">
      <c r="A1385" s="15">
        <f t="shared" si="21"/>
        <v>1375</v>
      </c>
      <c r="B1385" s="161" t="s">
        <v>1985</v>
      </c>
      <c r="C1385" s="191" t="s">
        <v>1986</v>
      </c>
      <c r="D1385" s="156"/>
      <c r="E1385" s="156"/>
      <c r="F1385" s="156"/>
      <c r="G1385" s="168"/>
      <c r="H1385" s="141"/>
      <c r="I1385" s="202" t="s">
        <v>18</v>
      </c>
      <c r="J1385" s="202">
        <v>1</v>
      </c>
      <c r="K1385" s="156" t="s">
        <v>730</v>
      </c>
      <c r="L1385" s="168" t="s">
        <v>2522</v>
      </c>
      <c r="M1385" s="19"/>
      <c r="N1385" s="168" t="s">
        <v>2597</v>
      </c>
      <c r="O1385" s="150"/>
      <c r="P1385" s="158"/>
      <c r="Q1385" s="158"/>
      <c r="R1385" s="168" t="s">
        <v>2592</v>
      </c>
    </row>
    <row r="1386" spans="1:18" ht="35.25" customHeight="1">
      <c r="A1386" s="15">
        <f t="shared" si="21"/>
        <v>1376</v>
      </c>
      <c r="B1386" s="161" t="s">
        <v>1987</v>
      </c>
      <c r="C1386" s="191" t="s">
        <v>1988</v>
      </c>
      <c r="D1386" s="156"/>
      <c r="E1386" s="156"/>
      <c r="F1386" s="156"/>
      <c r="G1386" s="161" t="s">
        <v>2435</v>
      </c>
      <c r="H1386" s="141"/>
      <c r="I1386" s="202" t="s">
        <v>18</v>
      </c>
      <c r="J1386" s="202">
        <v>1</v>
      </c>
      <c r="K1386" s="156" t="s">
        <v>730</v>
      </c>
      <c r="L1386" s="168" t="s">
        <v>2522</v>
      </c>
      <c r="M1386" s="19"/>
      <c r="N1386" s="168" t="s">
        <v>2597</v>
      </c>
      <c r="O1386" s="150"/>
      <c r="P1386" s="158"/>
      <c r="Q1386" s="158"/>
      <c r="R1386" s="168" t="s">
        <v>2592</v>
      </c>
    </row>
    <row r="1387" spans="1:18" ht="35.25" customHeight="1">
      <c r="A1387" s="15">
        <f t="shared" si="21"/>
        <v>1377</v>
      </c>
      <c r="B1387" s="161" t="s">
        <v>1989</v>
      </c>
      <c r="C1387" s="191" t="s">
        <v>1990</v>
      </c>
      <c r="D1387" s="156"/>
      <c r="E1387" s="156"/>
      <c r="F1387" s="156"/>
      <c r="G1387" s="161"/>
      <c r="H1387" s="141"/>
      <c r="I1387" s="202" t="s">
        <v>18</v>
      </c>
      <c r="J1387" s="202">
        <v>1</v>
      </c>
      <c r="K1387" s="156" t="s">
        <v>730</v>
      </c>
      <c r="L1387" s="168" t="s">
        <v>2522</v>
      </c>
      <c r="M1387" s="19"/>
      <c r="N1387" s="168" t="s">
        <v>2597</v>
      </c>
      <c r="O1387" s="150"/>
      <c r="P1387" s="158"/>
      <c r="Q1387" s="158"/>
      <c r="R1387" s="168" t="s">
        <v>2592</v>
      </c>
    </row>
    <row r="1388" spans="1:18" ht="35.25" customHeight="1">
      <c r="A1388" s="15">
        <f t="shared" si="21"/>
        <v>1378</v>
      </c>
      <c r="B1388" s="161" t="s">
        <v>237</v>
      </c>
      <c r="C1388" s="191" t="s">
        <v>570</v>
      </c>
      <c r="D1388" s="156"/>
      <c r="E1388" s="156"/>
      <c r="F1388" s="156"/>
      <c r="G1388" s="161" t="s">
        <v>2436</v>
      </c>
      <c r="H1388" s="141"/>
      <c r="I1388" s="202" t="s">
        <v>18</v>
      </c>
      <c r="J1388" s="202">
        <v>1</v>
      </c>
      <c r="K1388" s="156" t="s">
        <v>730</v>
      </c>
      <c r="L1388" s="168" t="s">
        <v>2522</v>
      </c>
      <c r="M1388" s="19"/>
      <c r="N1388" s="168" t="s">
        <v>2597</v>
      </c>
      <c r="O1388" s="150"/>
      <c r="P1388" s="158"/>
      <c r="Q1388" s="158"/>
      <c r="R1388" s="168" t="s">
        <v>2592</v>
      </c>
    </row>
    <row r="1389" spans="1:18" ht="35.25" customHeight="1">
      <c r="A1389" s="15">
        <f t="shared" si="21"/>
        <v>1379</v>
      </c>
      <c r="B1389" s="161" t="s">
        <v>1991</v>
      </c>
      <c r="C1389" s="191" t="s">
        <v>1992</v>
      </c>
      <c r="D1389" s="156"/>
      <c r="E1389" s="156"/>
      <c r="F1389" s="156"/>
      <c r="G1389" s="161" t="s">
        <v>2437</v>
      </c>
      <c r="H1389" s="141"/>
      <c r="I1389" s="202" t="s">
        <v>18</v>
      </c>
      <c r="J1389" s="202">
        <v>1</v>
      </c>
      <c r="K1389" s="156" t="s">
        <v>730</v>
      </c>
      <c r="L1389" s="168" t="s">
        <v>2522</v>
      </c>
      <c r="M1389" s="19"/>
      <c r="N1389" s="168" t="s">
        <v>2597</v>
      </c>
      <c r="O1389" s="150"/>
      <c r="P1389" s="158"/>
      <c r="Q1389" s="158"/>
      <c r="R1389" s="168" t="s">
        <v>2593</v>
      </c>
    </row>
    <row r="1390" spans="1:18" ht="35.25" customHeight="1">
      <c r="A1390" s="15">
        <f t="shared" si="21"/>
        <v>1380</v>
      </c>
      <c r="B1390" s="161" t="s">
        <v>1993</v>
      </c>
      <c r="C1390" s="191" t="s">
        <v>570</v>
      </c>
      <c r="D1390" s="156"/>
      <c r="E1390" s="156"/>
      <c r="F1390" s="156"/>
      <c r="G1390" s="161" t="s">
        <v>2438</v>
      </c>
      <c r="H1390" s="141"/>
      <c r="I1390" s="202" t="s">
        <v>18</v>
      </c>
      <c r="J1390" s="202">
        <v>1</v>
      </c>
      <c r="K1390" s="156" t="s">
        <v>730</v>
      </c>
      <c r="L1390" s="168" t="s">
        <v>2522</v>
      </c>
      <c r="M1390" s="19"/>
      <c r="N1390" s="168" t="s">
        <v>2597</v>
      </c>
      <c r="O1390" s="150"/>
      <c r="P1390" s="158"/>
      <c r="Q1390" s="158"/>
      <c r="R1390" s="168" t="s">
        <v>2593</v>
      </c>
    </row>
    <row r="1391" spans="1:18" ht="35.25" customHeight="1">
      <c r="A1391" s="15">
        <f t="shared" si="21"/>
        <v>1381</v>
      </c>
      <c r="B1391" s="161" t="s">
        <v>1994</v>
      </c>
      <c r="C1391" s="191" t="s">
        <v>1992</v>
      </c>
      <c r="D1391" s="156"/>
      <c r="E1391" s="156"/>
      <c r="F1391" s="156"/>
      <c r="G1391" s="161" t="s">
        <v>2439</v>
      </c>
      <c r="H1391" s="141"/>
      <c r="I1391" s="202" t="s">
        <v>18</v>
      </c>
      <c r="J1391" s="202">
        <v>1</v>
      </c>
      <c r="K1391" s="156" t="s">
        <v>730</v>
      </c>
      <c r="L1391" s="168" t="s">
        <v>2522</v>
      </c>
      <c r="M1391" s="19"/>
      <c r="N1391" s="168" t="s">
        <v>2597</v>
      </c>
      <c r="O1391" s="150"/>
      <c r="P1391" s="158"/>
      <c r="Q1391" s="158"/>
      <c r="R1391" s="168" t="s">
        <v>2593</v>
      </c>
    </row>
    <row r="1392" spans="1:18" ht="35.25" customHeight="1">
      <c r="A1392" s="15">
        <f t="shared" si="21"/>
        <v>1382</v>
      </c>
      <c r="B1392" s="161" t="s">
        <v>1995</v>
      </c>
      <c r="C1392" s="191" t="s">
        <v>570</v>
      </c>
      <c r="D1392" s="156"/>
      <c r="E1392" s="156"/>
      <c r="F1392" s="156"/>
      <c r="G1392" s="161" t="s">
        <v>2440</v>
      </c>
      <c r="H1392" s="141"/>
      <c r="I1392" s="202" t="s">
        <v>18</v>
      </c>
      <c r="J1392" s="202">
        <v>1</v>
      </c>
      <c r="K1392" s="156" t="s">
        <v>730</v>
      </c>
      <c r="L1392" s="168" t="s">
        <v>2522</v>
      </c>
      <c r="M1392" s="19"/>
      <c r="N1392" s="168" t="s">
        <v>2597</v>
      </c>
      <c r="O1392" s="150"/>
      <c r="P1392" s="158"/>
      <c r="Q1392" s="158"/>
      <c r="R1392" s="168" t="s">
        <v>2593</v>
      </c>
    </row>
    <row r="1393" spans="1:18" ht="35.25" customHeight="1">
      <c r="A1393" s="15">
        <f t="shared" si="21"/>
        <v>1383</v>
      </c>
      <c r="B1393" s="161" t="s">
        <v>1996</v>
      </c>
      <c r="C1393" s="191" t="s">
        <v>1992</v>
      </c>
      <c r="D1393" s="156"/>
      <c r="E1393" s="156"/>
      <c r="F1393" s="156"/>
      <c r="G1393" s="161" t="s">
        <v>2441</v>
      </c>
      <c r="H1393" s="141"/>
      <c r="I1393" s="202" t="s">
        <v>18</v>
      </c>
      <c r="J1393" s="202">
        <v>1</v>
      </c>
      <c r="K1393" s="156" t="s">
        <v>730</v>
      </c>
      <c r="L1393" s="168" t="s">
        <v>2522</v>
      </c>
      <c r="M1393" s="19"/>
      <c r="N1393" s="168" t="s">
        <v>2597</v>
      </c>
      <c r="O1393" s="150"/>
      <c r="P1393" s="158"/>
      <c r="Q1393" s="158"/>
      <c r="R1393" s="168" t="s">
        <v>2593</v>
      </c>
    </row>
    <row r="1394" spans="1:18" ht="35.25" customHeight="1">
      <c r="A1394" s="15">
        <f t="shared" si="21"/>
        <v>1384</v>
      </c>
      <c r="B1394" s="176" t="s">
        <v>1997</v>
      </c>
      <c r="C1394" s="189" t="s">
        <v>570</v>
      </c>
      <c r="D1394" s="156"/>
      <c r="E1394" s="156"/>
      <c r="F1394" s="156"/>
      <c r="G1394" s="176" t="s">
        <v>2442</v>
      </c>
      <c r="H1394" s="141"/>
      <c r="I1394" s="186" t="s">
        <v>18</v>
      </c>
      <c r="J1394" s="186">
        <v>1</v>
      </c>
      <c r="K1394" s="156" t="s">
        <v>730</v>
      </c>
      <c r="L1394" s="181" t="s">
        <v>2522</v>
      </c>
      <c r="M1394" s="19"/>
      <c r="N1394" s="168" t="s">
        <v>2597</v>
      </c>
      <c r="O1394" s="169"/>
      <c r="P1394" s="158"/>
      <c r="Q1394" s="158"/>
      <c r="R1394" s="181" t="s">
        <v>2593</v>
      </c>
    </row>
    <row r="1395" spans="1:18" ht="35.25" customHeight="1">
      <c r="A1395" s="15">
        <f t="shared" si="21"/>
        <v>1385</v>
      </c>
      <c r="B1395" s="161" t="s">
        <v>1998</v>
      </c>
      <c r="C1395" s="191" t="s">
        <v>1992</v>
      </c>
      <c r="D1395" s="156"/>
      <c r="E1395" s="156"/>
      <c r="F1395" s="156"/>
      <c r="G1395" s="161" t="s">
        <v>2443</v>
      </c>
      <c r="H1395" s="141"/>
      <c r="I1395" s="202" t="s">
        <v>18</v>
      </c>
      <c r="J1395" s="202">
        <v>1</v>
      </c>
      <c r="K1395" s="156" t="s">
        <v>730</v>
      </c>
      <c r="L1395" s="168" t="s">
        <v>2522</v>
      </c>
      <c r="M1395" s="19"/>
      <c r="N1395" s="168" t="s">
        <v>2597</v>
      </c>
      <c r="O1395" s="150"/>
      <c r="P1395" s="158"/>
      <c r="Q1395" s="158"/>
      <c r="R1395" s="168" t="s">
        <v>2593</v>
      </c>
    </row>
    <row r="1396" spans="1:18" ht="35.25" customHeight="1">
      <c r="A1396" s="15">
        <f t="shared" si="21"/>
        <v>1386</v>
      </c>
      <c r="B1396" s="161" t="s">
        <v>1999</v>
      </c>
      <c r="C1396" s="191" t="s">
        <v>1110</v>
      </c>
      <c r="D1396" s="156"/>
      <c r="E1396" s="156"/>
      <c r="F1396" s="156"/>
      <c r="G1396" s="64" t="s">
        <v>2444</v>
      </c>
      <c r="H1396" s="141"/>
      <c r="I1396" s="202" t="s">
        <v>18</v>
      </c>
      <c r="J1396" s="202">
        <v>1</v>
      </c>
      <c r="K1396" s="156" t="s">
        <v>730</v>
      </c>
      <c r="L1396" s="168" t="s">
        <v>2522</v>
      </c>
      <c r="M1396" s="19"/>
      <c r="N1396" s="168" t="s">
        <v>2597</v>
      </c>
      <c r="O1396" s="150"/>
      <c r="P1396" s="158"/>
      <c r="Q1396" s="158"/>
      <c r="R1396" s="168" t="s">
        <v>2594</v>
      </c>
    </row>
    <row r="1397" spans="1:18" ht="35.25" customHeight="1">
      <c r="A1397" s="15">
        <f t="shared" si="21"/>
        <v>1387</v>
      </c>
      <c r="B1397" s="141" t="s">
        <v>2000</v>
      </c>
      <c r="C1397" s="191" t="s">
        <v>1110</v>
      </c>
      <c r="D1397" s="156"/>
      <c r="E1397" s="156"/>
      <c r="F1397" s="156"/>
      <c r="G1397" s="168" t="s">
        <v>2445</v>
      </c>
      <c r="H1397" s="141"/>
      <c r="I1397" s="202" t="s">
        <v>18</v>
      </c>
      <c r="J1397" s="202">
        <v>2</v>
      </c>
      <c r="K1397" s="156" t="s">
        <v>730</v>
      </c>
      <c r="L1397" s="168" t="s">
        <v>2522</v>
      </c>
      <c r="M1397" s="19"/>
      <c r="N1397" s="168" t="s">
        <v>2597</v>
      </c>
      <c r="O1397" s="150"/>
      <c r="P1397" s="158"/>
      <c r="Q1397" s="158"/>
      <c r="R1397" s="150" t="s">
        <v>2669</v>
      </c>
    </row>
    <row r="1398" spans="1:18" ht="35.25" customHeight="1">
      <c r="A1398" s="15">
        <f t="shared" si="21"/>
        <v>1388</v>
      </c>
      <c r="B1398" s="144" t="s">
        <v>2001</v>
      </c>
      <c r="C1398" s="191" t="s">
        <v>1110</v>
      </c>
      <c r="D1398" s="156"/>
      <c r="E1398" s="156"/>
      <c r="F1398" s="156"/>
      <c r="G1398" s="168" t="s">
        <v>2446</v>
      </c>
      <c r="H1398" s="141"/>
      <c r="I1398" s="202" t="s">
        <v>18</v>
      </c>
      <c r="J1398" s="202">
        <v>1</v>
      </c>
      <c r="K1398" s="156" t="s">
        <v>730</v>
      </c>
      <c r="L1398" s="168" t="s">
        <v>2522</v>
      </c>
      <c r="M1398" s="19"/>
      <c r="N1398" s="168" t="s">
        <v>2597</v>
      </c>
      <c r="O1398" s="150"/>
      <c r="P1398" s="158"/>
      <c r="Q1398" s="158"/>
      <c r="R1398" s="168" t="s">
        <v>2593</v>
      </c>
    </row>
    <row r="1399" spans="1:18" ht="35.25" customHeight="1">
      <c r="A1399" s="15">
        <f t="shared" si="21"/>
        <v>1389</v>
      </c>
      <c r="B1399" s="144" t="s">
        <v>2002</v>
      </c>
      <c r="C1399" s="191" t="s">
        <v>1110</v>
      </c>
      <c r="D1399" s="156"/>
      <c r="E1399" s="156"/>
      <c r="F1399" s="156"/>
      <c r="G1399" s="168" t="s">
        <v>2446</v>
      </c>
      <c r="H1399" s="141"/>
      <c r="I1399" s="202" t="s">
        <v>18</v>
      </c>
      <c r="J1399" s="202">
        <v>1</v>
      </c>
      <c r="K1399" s="156" t="s">
        <v>730</v>
      </c>
      <c r="L1399" s="168" t="s">
        <v>2522</v>
      </c>
      <c r="M1399" s="19"/>
      <c r="N1399" s="168" t="s">
        <v>2597</v>
      </c>
      <c r="O1399" s="150"/>
      <c r="P1399" s="158"/>
      <c r="Q1399" s="158"/>
      <c r="R1399" s="168" t="s">
        <v>2593</v>
      </c>
    </row>
    <row r="1400" spans="1:18" ht="35.25" customHeight="1">
      <c r="A1400" s="15">
        <f t="shared" si="21"/>
        <v>1390</v>
      </c>
      <c r="B1400" s="144" t="s">
        <v>2003</v>
      </c>
      <c r="C1400" s="191" t="s">
        <v>1110</v>
      </c>
      <c r="D1400" s="156"/>
      <c r="E1400" s="156"/>
      <c r="F1400" s="156"/>
      <c r="G1400" s="168" t="s">
        <v>2447</v>
      </c>
      <c r="H1400" s="141"/>
      <c r="I1400" s="202" t="s">
        <v>18</v>
      </c>
      <c r="J1400" s="202">
        <v>1</v>
      </c>
      <c r="K1400" s="156" t="s">
        <v>730</v>
      </c>
      <c r="L1400" s="168" t="s">
        <v>2522</v>
      </c>
      <c r="M1400" s="19"/>
      <c r="N1400" s="168" t="s">
        <v>2597</v>
      </c>
      <c r="O1400" s="150"/>
      <c r="P1400" s="158"/>
      <c r="Q1400" s="158"/>
      <c r="R1400" s="168" t="s">
        <v>2593</v>
      </c>
    </row>
    <row r="1401" spans="1:18" ht="35.25" customHeight="1">
      <c r="A1401" s="15">
        <f t="shared" si="21"/>
        <v>1391</v>
      </c>
      <c r="B1401" s="144" t="s">
        <v>2004</v>
      </c>
      <c r="C1401" s="191" t="s">
        <v>1110</v>
      </c>
      <c r="D1401" s="156"/>
      <c r="E1401" s="156"/>
      <c r="F1401" s="156"/>
      <c r="G1401" s="168" t="s">
        <v>2447</v>
      </c>
      <c r="H1401" s="141"/>
      <c r="I1401" s="202" t="s">
        <v>18</v>
      </c>
      <c r="J1401" s="202">
        <v>1</v>
      </c>
      <c r="K1401" s="156" t="s">
        <v>730</v>
      </c>
      <c r="L1401" s="168" t="s">
        <v>2522</v>
      </c>
      <c r="M1401" s="19"/>
      <c r="N1401" s="168" t="s">
        <v>2597</v>
      </c>
      <c r="O1401" s="150"/>
      <c r="P1401" s="158"/>
      <c r="Q1401" s="158"/>
      <c r="R1401" s="168" t="s">
        <v>2593</v>
      </c>
    </row>
    <row r="1402" spans="1:18" ht="35.25" customHeight="1">
      <c r="A1402" s="15">
        <f t="shared" si="21"/>
        <v>1392</v>
      </c>
      <c r="B1402" s="11" t="s">
        <v>2005</v>
      </c>
      <c r="C1402" s="64" t="s">
        <v>2006</v>
      </c>
      <c r="D1402" s="156"/>
      <c r="E1402" s="156"/>
      <c r="F1402" s="156"/>
      <c r="G1402" s="64" t="s">
        <v>2006</v>
      </c>
      <c r="H1402" s="141"/>
      <c r="I1402" s="202" t="s">
        <v>18</v>
      </c>
      <c r="J1402" s="202">
        <v>1</v>
      </c>
      <c r="K1402" s="156" t="s">
        <v>730</v>
      </c>
      <c r="L1402" s="168" t="s">
        <v>2522</v>
      </c>
      <c r="M1402" s="19"/>
      <c r="N1402" s="168" t="s">
        <v>2597</v>
      </c>
      <c r="O1402" s="150"/>
      <c r="P1402" s="158"/>
      <c r="Q1402" s="158"/>
      <c r="R1402" s="168" t="s">
        <v>2595</v>
      </c>
    </row>
    <row r="1403" spans="1:18" ht="35.25" customHeight="1">
      <c r="A1403" s="15">
        <f t="shared" si="21"/>
        <v>1393</v>
      </c>
      <c r="B1403" s="11" t="s">
        <v>2007</v>
      </c>
      <c r="C1403" s="64" t="s">
        <v>2008</v>
      </c>
      <c r="D1403" s="156"/>
      <c r="E1403" s="156"/>
      <c r="F1403" s="156"/>
      <c r="G1403" s="64" t="s">
        <v>2008</v>
      </c>
      <c r="H1403" s="141"/>
      <c r="I1403" s="202" t="s">
        <v>18</v>
      </c>
      <c r="J1403" s="202">
        <v>1</v>
      </c>
      <c r="K1403" s="156" t="s">
        <v>730</v>
      </c>
      <c r="L1403" s="168" t="s">
        <v>2522</v>
      </c>
      <c r="M1403" s="19"/>
      <c r="N1403" s="168" t="s">
        <v>2597</v>
      </c>
      <c r="O1403" s="150"/>
      <c r="P1403" s="158"/>
      <c r="Q1403" s="158"/>
      <c r="R1403" s="168"/>
    </row>
    <row r="1404" spans="1:18" ht="35.25" customHeight="1">
      <c r="A1404" s="15">
        <f t="shared" si="21"/>
        <v>1394</v>
      </c>
      <c r="B1404" s="144" t="s">
        <v>2009</v>
      </c>
      <c r="C1404" s="150" t="s">
        <v>633</v>
      </c>
      <c r="D1404" s="156"/>
      <c r="E1404" s="156"/>
      <c r="F1404" s="156"/>
      <c r="G1404" s="172" t="s">
        <v>2448</v>
      </c>
      <c r="H1404" s="141"/>
      <c r="I1404" s="202" t="s">
        <v>18</v>
      </c>
      <c r="J1404" s="202">
        <v>1</v>
      </c>
      <c r="K1404" s="156" t="s">
        <v>730</v>
      </c>
      <c r="L1404" s="168" t="s">
        <v>2522</v>
      </c>
      <c r="M1404" s="19"/>
      <c r="N1404" s="168" t="s">
        <v>2596</v>
      </c>
      <c r="O1404" s="150"/>
      <c r="P1404" s="158"/>
      <c r="Q1404" s="158"/>
      <c r="R1404" s="144"/>
    </row>
    <row r="1405" spans="1:18" ht="35.25" customHeight="1">
      <c r="A1405" s="15">
        <f t="shared" si="21"/>
        <v>1395</v>
      </c>
      <c r="B1405" s="144" t="s">
        <v>2010</v>
      </c>
      <c r="C1405" s="150" t="s">
        <v>2011</v>
      </c>
      <c r="D1405" s="156"/>
      <c r="E1405" s="156"/>
      <c r="F1405" s="156"/>
      <c r="G1405" s="153" t="s">
        <v>2449</v>
      </c>
      <c r="H1405" s="141"/>
      <c r="I1405" s="202" t="s">
        <v>18</v>
      </c>
      <c r="J1405" s="202">
        <v>1</v>
      </c>
      <c r="K1405" s="156" t="s">
        <v>730</v>
      </c>
      <c r="L1405" s="168" t="s">
        <v>2522</v>
      </c>
      <c r="M1405" s="19"/>
      <c r="N1405" s="168" t="s">
        <v>2596</v>
      </c>
      <c r="O1405" s="150"/>
      <c r="P1405" s="158"/>
      <c r="Q1405" s="158"/>
      <c r="R1405" s="144"/>
    </row>
    <row r="1406" spans="1:18" ht="35.25" customHeight="1">
      <c r="A1406" s="15">
        <f t="shared" si="21"/>
        <v>1396</v>
      </c>
      <c r="B1406" s="144" t="s">
        <v>2012</v>
      </c>
      <c r="C1406" s="150" t="s">
        <v>612</v>
      </c>
      <c r="D1406" s="156"/>
      <c r="E1406" s="156"/>
      <c r="F1406" s="156"/>
      <c r="G1406" s="153" t="s">
        <v>2450</v>
      </c>
      <c r="H1406" s="141"/>
      <c r="I1406" s="202" t="s">
        <v>18</v>
      </c>
      <c r="J1406" s="202">
        <v>1</v>
      </c>
      <c r="K1406" s="156" t="s">
        <v>730</v>
      </c>
      <c r="L1406" s="168" t="s">
        <v>2522</v>
      </c>
      <c r="M1406" s="19"/>
      <c r="N1406" s="168" t="s">
        <v>2596</v>
      </c>
      <c r="O1406" s="150"/>
      <c r="P1406" s="158"/>
      <c r="Q1406" s="158"/>
      <c r="R1406" s="144"/>
    </row>
    <row r="1407" spans="1:18" ht="35.25" customHeight="1">
      <c r="A1407" s="15">
        <f t="shared" si="21"/>
        <v>1397</v>
      </c>
      <c r="B1407" s="144" t="s">
        <v>2013</v>
      </c>
      <c r="C1407" s="150" t="s">
        <v>32</v>
      </c>
      <c r="D1407" s="156"/>
      <c r="E1407" s="156"/>
      <c r="F1407" s="156"/>
      <c r="G1407" s="168"/>
      <c r="H1407" s="141"/>
      <c r="I1407" s="202" t="s">
        <v>18</v>
      </c>
      <c r="J1407" s="202">
        <v>1</v>
      </c>
      <c r="K1407" s="156" t="s">
        <v>730</v>
      </c>
      <c r="L1407" s="168" t="s">
        <v>2522</v>
      </c>
      <c r="M1407" s="19"/>
      <c r="N1407" s="168" t="s">
        <v>2596</v>
      </c>
      <c r="O1407" s="150"/>
      <c r="P1407" s="158"/>
      <c r="Q1407" s="158"/>
      <c r="R1407" s="144"/>
    </row>
    <row r="1408" spans="1:18" ht="35.25" customHeight="1">
      <c r="A1408" s="15">
        <f t="shared" si="21"/>
        <v>1398</v>
      </c>
      <c r="B1408" s="144" t="s">
        <v>2014</v>
      </c>
      <c r="C1408" s="150" t="s">
        <v>1306</v>
      </c>
      <c r="D1408" s="156"/>
      <c r="E1408" s="156"/>
      <c r="F1408" s="156"/>
      <c r="G1408" s="142" t="s">
        <v>2451</v>
      </c>
      <c r="H1408" s="141"/>
      <c r="I1408" s="202" t="s">
        <v>18</v>
      </c>
      <c r="J1408" s="202">
        <v>1</v>
      </c>
      <c r="K1408" s="156" t="s">
        <v>730</v>
      </c>
      <c r="L1408" s="168" t="s">
        <v>2522</v>
      </c>
      <c r="M1408" s="19"/>
      <c r="N1408" s="168" t="s">
        <v>2596</v>
      </c>
      <c r="O1408" s="150"/>
      <c r="P1408" s="158"/>
      <c r="Q1408" s="158"/>
      <c r="R1408" s="144"/>
    </row>
    <row r="1409" spans="1:18" ht="35.25" customHeight="1">
      <c r="A1409" s="15">
        <f t="shared" si="21"/>
        <v>1399</v>
      </c>
      <c r="B1409" s="161" t="s">
        <v>2015</v>
      </c>
      <c r="C1409" s="191" t="s">
        <v>612</v>
      </c>
      <c r="D1409" s="156"/>
      <c r="E1409" s="156"/>
      <c r="F1409" s="156"/>
      <c r="G1409" s="168" t="s">
        <v>2452</v>
      </c>
      <c r="H1409" s="141"/>
      <c r="I1409" s="202" t="s">
        <v>18</v>
      </c>
      <c r="J1409" s="202">
        <v>1</v>
      </c>
      <c r="K1409" s="156" t="s">
        <v>730</v>
      </c>
      <c r="L1409" s="168" t="s">
        <v>2522</v>
      </c>
      <c r="M1409" s="19"/>
      <c r="N1409" s="168" t="s">
        <v>2597</v>
      </c>
      <c r="O1409" s="150"/>
      <c r="P1409" s="158"/>
      <c r="Q1409" s="158"/>
      <c r="R1409" s="144"/>
    </row>
    <row r="1410" spans="1:18" ht="35.25" customHeight="1">
      <c r="A1410" s="15">
        <f t="shared" si="21"/>
        <v>1400</v>
      </c>
      <c r="B1410" s="161" t="s">
        <v>2016</v>
      </c>
      <c r="C1410" s="191" t="s">
        <v>570</v>
      </c>
      <c r="D1410" s="156"/>
      <c r="E1410" s="156"/>
      <c r="F1410" s="156"/>
      <c r="G1410" s="168" t="s">
        <v>2453</v>
      </c>
      <c r="H1410" s="141"/>
      <c r="I1410" s="202" t="s">
        <v>18</v>
      </c>
      <c r="J1410" s="202">
        <v>1</v>
      </c>
      <c r="K1410" s="156" t="s">
        <v>730</v>
      </c>
      <c r="L1410" s="168" t="s">
        <v>2522</v>
      </c>
      <c r="M1410" s="19"/>
      <c r="N1410" s="168" t="s">
        <v>2597</v>
      </c>
      <c r="O1410" s="150"/>
      <c r="P1410" s="158"/>
      <c r="Q1410" s="158"/>
      <c r="R1410" s="144"/>
    </row>
    <row r="1411" spans="1:18" ht="35.25" customHeight="1">
      <c r="A1411" s="15">
        <f t="shared" si="21"/>
        <v>1401</v>
      </c>
      <c r="B1411" s="161" t="s">
        <v>2017</v>
      </c>
      <c r="C1411" s="191" t="s">
        <v>32</v>
      </c>
      <c r="D1411" s="156"/>
      <c r="E1411" s="156"/>
      <c r="F1411" s="156"/>
      <c r="G1411" s="168" t="s">
        <v>2451</v>
      </c>
      <c r="H1411" s="141"/>
      <c r="I1411" s="202" t="s">
        <v>18</v>
      </c>
      <c r="J1411" s="202">
        <v>1</v>
      </c>
      <c r="K1411" s="156" t="s">
        <v>730</v>
      </c>
      <c r="L1411" s="168" t="s">
        <v>2522</v>
      </c>
      <c r="M1411" s="19"/>
      <c r="N1411" s="168" t="s">
        <v>2597</v>
      </c>
      <c r="O1411" s="150"/>
      <c r="P1411" s="158"/>
      <c r="Q1411" s="158"/>
      <c r="R1411" s="144"/>
    </row>
    <row r="1412" spans="1:18" ht="35.25" customHeight="1">
      <c r="A1412" s="15">
        <f t="shared" si="21"/>
        <v>1402</v>
      </c>
      <c r="B1412" s="161" t="s">
        <v>2018</v>
      </c>
      <c r="C1412" s="191" t="s">
        <v>2019</v>
      </c>
      <c r="D1412" s="156"/>
      <c r="E1412" s="156"/>
      <c r="F1412" s="156"/>
      <c r="G1412" s="168"/>
      <c r="H1412" s="141"/>
      <c r="I1412" s="202" t="s">
        <v>18</v>
      </c>
      <c r="J1412" s="202">
        <v>1</v>
      </c>
      <c r="K1412" s="156" t="s">
        <v>730</v>
      </c>
      <c r="L1412" s="168" t="s">
        <v>2522</v>
      </c>
      <c r="M1412" s="19"/>
      <c r="N1412" s="168" t="s">
        <v>2597</v>
      </c>
      <c r="O1412" s="150"/>
      <c r="P1412" s="158"/>
      <c r="Q1412" s="158"/>
      <c r="R1412" s="144"/>
    </row>
    <row r="1413" spans="1:18" ht="35.25" customHeight="1">
      <c r="A1413" s="15">
        <f t="shared" si="21"/>
        <v>1403</v>
      </c>
      <c r="B1413" s="161" t="s">
        <v>2020</v>
      </c>
      <c r="C1413" s="150" t="s">
        <v>1306</v>
      </c>
      <c r="D1413" s="156"/>
      <c r="E1413" s="156"/>
      <c r="F1413" s="156"/>
      <c r="G1413" s="144" t="s">
        <v>1306</v>
      </c>
      <c r="H1413" s="141"/>
      <c r="I1413" s="202" t="s">
        <v>18</v>
      </c>
      <c r="J1413" s="202">
        <v>1</v>
      </c>
      <c r="K1413" s="156" t="s">
        <v>730</v>
      </c>
      <c r="L1413" s="168" t="s">
        <v>2522</v>
      </c>
      <c r="M1413" s="19"/>
      <c r="N1413" s="168" t="s">
        <v>2597</v>
      </c>
      <c r="O1413" s="150"/>
      <c r="P1413" s="158"/>
      <c r="Q1413" s="158"/>
      <c r="R1413" s="144"/>
    </row>
    <row r="1414" spans="1:18" ht="35.25" customHeight="1">
      <c r="A1414" s="15">
        <f t="shared" si="21"/>
        <v>1404</v>
      </c>
      <c r="B1414" s="142" t="s">
        <v>2021</v>
      </c>
      <c r="C1414" s="150" t="s">
        <v>445</v>
      </c>
      <c r="D1414" s="156"/>
      <c r="E1414" s="156"/>
      <c r="F1414" s="156"/>
      <c r="G1414" s="168"/>
      <c r="H1414" s="141"/>
      <c r="I1414" s="202" t="s">
        <v>18</v>
      </c>
      <c r="J1414" s="202">
        <v>1</v>
      </c>
      <c r="K1414" s="156" t="s">
        <v>730</v>
      </c>
      <c r="L1414" s="168" t="s">
        <v>2522</v>
      </c>
      <c r="M1414" s="19"/>
      <c r="N1414" s="168" t="s">
        <v>2597</v>
      </c>
      <c r="O1414" s="150"/>
      <c r="P1414" s="158"/>
      <c r="Q1414" s="158"/>
      <c r="R1414" s="144"/>
    </row>
    <row r="1415" spans="1:18" ht="35.25" customHeight="1">
      <c r="A1415" s="15">
        <f t="shared" si="21"/>
        <v>1405</v>
      </c>
      <c r="B1415" s="161" t="s">
        <v>2022</v>
      </c>
      <c r="C1415" s="150" t="s">
        <v>605</v>
      </c>
      <c r="D1415" s="156"/>
      <c r="E1415" s="156"/>
      <c r="F1415" s="156"/>
      <c r="G1415" s="168"/>
      <c r="H1415" s="141"/>
      <c r="I1415" s="202" t="s">
        <v>18</v>
      </c>
      <c r="J1415" s="202">
        <v>1</v>
      </c>
      <c r="K1415" s="156" t="s">
        <v>730</v>
      </c>
      <c r="L1415" s="168" t="s">
        <v>2522</v>
      </c>
      <c r="M1415" s="19"/>
      <c r="N1415" s="168" t="s">
        <v>2597</v>
      </c>
      <c r="O1415" s="150"/>
      <c r="P1415" s="158"/>
      <c r="Q1415" s="158"/>
      <c r="R1415" s="144"/>
    </row>
    <row r="1416" spans="1:18" ht="35.25" customHeight="1">
      <c r="A1416" s="15">
        <f t="shared" si="21"/>
        <v>1406</v>
      </c>
      <c r="B1416" s="11" t="s">
        <v>2023</v>
      </c>
      <c r="C1416" s="64" t="s">
        <v>2024</v>
      </c>
      <c r="D1416" s="156"/>
      <c r="E1416" s="156"/>
      <c r="F1416" s="156"/>
      <c r="G1416" s="168"/>
      <c r="H1416" s="141"/>
      <c r="I1416" s="202" t="s">
        <v>18</v>
      </c>
      <c r="J1416" s="202">
        <v>1</v>
      </c>
      <c r="K1416" s="156" t="s">
        <v>730</v>
      </c>
      <c r="L1416" s="168" t="s">
        <v>2522</v>
      </c>
      <c r="M1416" s="19"/>
      <c r="N1416" s="168" t="s">
        <v>2597</v>
      </c>
      <c r="O1416" s="150"/>
      <c r="P1416" s="158"/>
      <c r="Q1416" s="158"/>
      <c r="R1416" s="144"/>
    </row>
    <row r="1417" spans="1:18" ht="35.25" customHeight="1">
      <c r="A1417" s="15">
        <f t="shared" si="21"/>
        <v>1407</v>
      </c>
      <c r="B1417" s="11" t="s">
        <v>2025</v>
      </c>
      <c r="C1417" s="64" t="s">
        <v>2026</v>
      </c>
      <c r="D1417" s="156"/>
      <c r="E1417" s="156"/>
      <c r="F1417" s="156"/>
      <c r="G1417" s="168"/>
      <c r="H1417" s="141"/>
      <c r="I1417" s="202" t="s">
        <v>18</v>
      </c>
      <c r="J1417" s="202">
        <v>1</v>
      </c>
      <c r="K1417" s="156" t="s">
        <v>730</v>
      </c>
      <c r="L1417" s="168" t="s">
        <v>2522</v>
      </c>
      <c r="M1417" s="19"/>
      <c r="N1417" s="168" t="s">
        <v>2597</v>
      </c>
      <c r="O1417" s="150"/>
      <c r="P1417" s="158"/>
      <c r="Q1417" s="158"/>
      <c r="R1417" s="144"/>
    </row>
    <row r="1418" spans="1:18" ht="35.25" customHeight="1">
      <c r="A1418" s="15">
        <f t="shared" si="21"/>
        <v>1408</v>
      </c>
      <c r="B1418" s="11" t="s">
        <v>2027</v>
      </c>
      <c r="C1418" s="64" t="s">
        <v>2028</v>
      </c>
      <c r="D1418" s="156"/>
      <c r="E1418" s="156"/>
      <c r="F1418" s="156"/>
      <c r="G1418" s="168"/>
      <c r="H1418" s="141"/>
      <c r="I1418" s="202" t="s">
        <v>18</v>
      </c>
      <c r="J1418" s="202">
        <v>1</v>
      </c>
      <c r="K1418" s="156" t="s">
        <v>730</v>
      </c>
      <c r="L1418" s="168" t="s">
        <v>2522</v>
      </c>
      <c r="M1418" s="19"/>
      <c r="N1418" s="168" t="s">
        <v>2597</v>
      </c>
      <c r="O1418" s="150"/>
      <c r="P1418" s="158"/>
      <c r="Q1418" s="158"/>
      <c r="R1418" s="144"/>
    </row>
    <row r="1419" spans="1:18" ht="35.25" customHeight="1">
      <c r="A1419" s="15">
        <f t="shared" si="21"/>
        <v>1409</v>
      </c>
      <c r="B1419" s="11" t="s">
        <v>2029</v>
      </c>
      <c r="C1419" s="64" t="s">
        <v>2030</v>
      </c>
      <c r="D1419" s="156"/>
      <c r="E1419" s="156"/>
      <c r="F1419" s="156"/>
      <c r="G1419" s="168"/>
      <c r="H1419" s="141"/>
      <c r="I1419" s="202" t="s">
        <v>18</v>
      </c>
      <c r="J1419" s="202">
        <v>1</v>
      </c>
      <c r="K1419" s="156" t="s">
        <v>730</v>
      </c>
      <c r="L1419" s="168" t="s">
        <v>2522</v>
      </c>
      <c r="M1419" s="19"/>
      <c r="N1419" s="168" t="s">
        <v>2597</v>
      </c>
      <c r="O1419" s="150"/>
      <c r="P1419" s="158"/>
      <c r="Q1419" s="158"/>
      <c r="R1419" s="144"/>
    </row>
    <row r="1420" spans="1:18" ht="35.25" customHeight="1">
      <c r="A1420" s="15">
        <f t="shared" si="21"/>
        <v>1410</v>
      </c>
      <c r="B1420" s="19" t="s">
        <v>687</v>
      </c>
      <c r="C1420" s="150" t="s">
        <v>685</v>
      </c>
      <c r="D1420" s="156"/>
      <c r="E1420" s="156"/>
      <c r="F1420" s="156"/>
      <c r="G1420" s="168"/>
      <c r="H1420" s="141"/>
      <c r="I1420" s="202" t="s">
        <v>18</v>
      </c>
      <c r="J1420" s="202">
        <v>1</v>
      </c>
      <c r="K1420" s="156" t="s">
        <v>730</v>
      </c>
      <c r="L1420" s="168" t="s">
        <v>2522</v>
      </c>
      <c r="M1420" s="19"/>
      <c r="N1420" s="168" t="s">
        <v>2597</v>
      </c>
      <c r="O1420" s="150"/>
      <c r="P1420" s="158"/>
      <c r="Q1420" s="158"/>
      <c r="R1420" s="144"/>
    </row>
    <row r="1421" spans="1:18" ht="35.25" customHeight="1">
      <c r="A1421" s="15">
        <f t="shared" si="21"/>
        <v>1411</v>
      </c>
      <c r="B1421" s="161" t="s">
        <v>2031</v>
      </c>
      <c r="C1421" s="150" t="s">
        <v>605</v>
      </c>
      <c r="D1421" s="156"/>
      <c r="E1421" s="156"/>
      <c r="F1421" s="156"/>
      <c r="G1421" s="168"/>
      <c r="H1421" s="141"/>
      <c r="I1421" s="202" t="s">
        <v>18</v>
      </c>
      <c r="J1421" s="202">
        <v>1</v>
      </c>
      <c r="K1421" s="156" t="s">
        <v>730</v>
      </c>
      <c r="L1421" s="168" t="s">
        <v>2522</v>
      </c>
      <c r="M1421" s="19"/>
      <c r="N1421" s="168" t="s">
        <v>2597</v>
      </c>
      <c r="O1421" s="150"/>
      <c r="P1421" s="158"/>
      <c r="Q1421" s="158"/>
      <c r="R1421" s="168" t="s">
        <v>2598</v>
      </c>
    </row>
    <row r="1422" spans="1:18" ht="35.25" customHeight="1">
      <c r="A1422" s="15">
        <f t="shared" si="21"/>
        <v>1412</v>
      </c>
      <c r="B1422" s="161" t="s">
        <v>235</v>
      </c>
      <c r="C1422" s="150" t="s">
        <v>601</v>
      </c>
      <c r="D1422" s="156"/>
      <c r="E1422" s="156"/>
      <c r="F1422" s="156"/>
      <c r="G1422" s="168"/>
      <c r="H1422" s="141"/>
      <c r="I1422" s="202" t="s">
        <v>18</v>
      </c>
      <c r="J1422" s="202">
        <v>1</v>
      </c>
      <c r="K1422" s="156" t="s">
        <v>730</v>
      </c>
      <c r="L1422" s="168" t="s">
        <v>2522</v>
      </c>
      <c r="M1422" s="19"/>
      <c r="N1422" s="168" t="s">
        <v>2597</v>
      </c>
      <c r="O1422" s="150"/>
      <c r="P1422" s="158"/>
      <c r="Q1422" s="158"/>
      <c r="R1422" s="144"/>
    </row>
    <row r="1423" spans="1:18" ht="35.25" customHeight="1">
      <c r="A1423" s="15">
        <f t="shared" si="21"/>
        <v>1413</v>
      </c>
      <c r="B1423" s="161" t="s">
        <v>2032</v>
      </c>
      <c r="C1423" s="150" t="s">
        <v>601</v>
      </c>
      <c r="D1423" s="156"/>
      <c r="E1423" s="156"/>
      <c r="F1423" s="156"/>
      <c r="G1423" s="168"/>
      <c r="H1423" s="141"/>
      <c r="I1423" s="202" t="s">
        <v>18</v>
      </c>
      <c r="J1423" s="202">
        <v>1</v>
      </c>
      <c r="K1423" s="156" t="s">
        <v>730</v>
      </c>
      <c r="L1423" s="168" t="s">
        <v>2522</v>
      </c>
      <c r="M1423" s="19"/>
      <c r="N1423" s="168" t="s">
        <v>2597</v>
      </c>
      <c r="O1423" s="150"/>
      <c r="P1423" s="158"/>
      <c r="Q1423" s="158"/>
      <c r="R1423" s="168" t="s">
        <v>2598</v>
      </c>
    </row>
    <row r="1424" spans="1:18" ht="35.25" customHeight="1">
      <c r="A1424" s="15">
        <f t="shared" si="21"/>
        <v>1414</v>
      </c>
      <c r="B1424" s="9" t="s">
        <v>2033</v>
      </c>
      <c r="C1424" s="14" t="s">
        <v>1067</v>
      </c>
      <c r="D1424" s="156"/>
      <c r="E1424" s="156"/>
      <c r="F1424" s="156"/>
      <c r="G1424" s="168"/>
      <c r="H1424" s="141"/>
      <c r="I1424" s="202" t="s">
        <v>18</v>
      </c>
      <c r="J1424" s="202">
        <v>1</v>
      </c>
      <c r="K1424" s="156" t="s">
        <v>730</v>
      </c>
      <c r="L1424" s="168" t="s">
        <v>2522</v>
      </c>
      <c r="M1424" s="19"/>
      <c r="N1424" s="168" t="s">
        <v>2597</v>
      </c>
      <c r="O1424" s="150"/>
      <c r="P1424" s="158"/>
      <c r="Q1424" s="158"/>
      <c r="R1424" s="144"/>
    </row>
    <row r="1425" spans="1:39" ht="35.25" customHeight="1">
      <c r="A1425" s="15">
        <f t="shared" si="21"/>
        <v>1415</v>
      </c>
      <c r="B1425" s="9" t="s">
        <v>2034</v>
      </c>
      <c r="C1425" s="14" t="s">
        <v>1067</v>
      </c>
      <c r="D1425" s="156"/>
      <c r="E1425" s="156"/>
      <c r="F1425" s="156"/>
      <c r="G1425" s="168"/>
      <c r="H1425" s="141"/>
      <c r="I1425" s="202" t="s">
        <v>18</v>
      </c>
      <c r="J1425" s="202">
        <v>1</v>
      </c>
      <c r="K1425" s="156" t="s">
        <v>730</v>
      </c>
      <c r="L1425" s="168" t="s">
        <v>2522</v>
      </c>
      <c r="M1425" s="19"/>
      <c r="N1425" s="168" t="s">
        <v>2597</v>
      </c>
      <c r="O1425" s="150"/>
      <c r="P1425" s="158"/>
      <c r="Q1425" s="158"/>
      <c r="R1425" s="144"/>
    </row>
    <row r="1426" spans="1:39" ht="35.25" customHeight="1">
      <c r="A1426" s="15">
        <f t="shared" si="21"/>
        <v>1416</v>
      </c>
      <c r="B1426" s="161" t="s">
        <v>2035</v>
      </c>
      <c r="C1426" s="191" t="s">
        <v>132</v>
      </c>
      <c r="D1426" s="156"/>
      <c r="E1426" s="156"/>
      <c r="F1426" s="156"/>
      <c r="G1426" s="168"/>
      <c r="H1426" s="141"/>
      <c r="I1426" s="202" t="s">
        <v>18</v>
      </c>
      <c r="J1426" s="202">
        <v>1</v>
      </c>
      <c r="K1426" s="156" t="s">
        <v>730</v>
      </c>
      <c r="L1426" s="168" t="s">
        <v>2522</v>
      </c>
      <c r="M1426" s="19"/>
      <c r="N1426" s="168" t="s">
        <v>2599</v>
      </c>
      <c r="O1426" s="150"/>
      <c r="P1426" s="158"/>
      <c r="Q1426" s="158"/>
      <c r="R1426" s="144"/>
    </row>
    <row r="1427" spans="1:39" ht="35.25" customHeight="1">
      <c r="A1427" s="15">
        <f t="shared" ref="A1427:A1490" si="22">A1426+1</f>
        <v>1417</v>
      </c>
      <c r="B1427" s="144" t="s">
        <v>2036</v>
      </c>
      <c r="C1427" s="191" t="s">
        <v>2011</v>
      </c>
      <c r="D1427" s="156"/>
      <c r="E1427" s="156"/>
      <c r="F1427" s="156"/>
      <c r="G1427" s="161" t="s">
        <v>2454</v>
      </c>
      <c r="H1427" s="141"/>
      <c r="I1427" s="202" t="s">
        <v>18</v>
      </c>
      <c r="J1427" s="202">
        <v>1</v>
      </c>
      <c r="K1427" s="156" t="s">
        <v>730</v>
      </c>
      <c r="L1427" s="168" t="s">
        <v>2522</v>
      </c>
      <c r="M1427" s="19"/>
      <c r="N1427" s="168" t="s">
        <v>2599</v>
      </c>
      <c r="O1427" s="150"/>
      <c r="P1427" s="158"/>
      <c r="Q1427" s="158"/>
      <c r="R1427" s="144"/>
    </row>
    <row r="1428" spans="1:39" ht="35.25" customHeight="1">
      <c r="A1428" s="15">
        <f t="shared" si="22"/>
        <v>1418</v>
      </c>
      <c r="B1428" s="161" t="s">
        <v>2037</v>
      </c>
      <c r="C1428" s="191" t="s">
        <v>698</v>
      </c>
      <c r="D1428" s="156"/>
      <c r="E1428" s="156"/>
      <c r="F1428" s="156"/>
      <c r="G1428" s="168"/>
      <c r="H1428" s="141"/>
      <c r="I1428" s="202" t="s">
        <v>18</v>
      </c>
      <c r="J1428" s="202">
        <v>1</v>
      </c>
      <c r="K1428" s="156" t="s">
        <v>730</v>
      </c>
      <c r="L1428" s="168" t="s">
        <v>2522</v>
      </c>
      <c r="M1428" s="19"/>
      <c r="N1428" s="168" t="s">
        <v>2599</v>
      </c>
      <c r="O1428" s="150"/>
      <c r="P1428" s="158"/>
      <c r="Q1428" s="158"/>
      <c r="R1428" s="144"/>
    </row>
    <row r="1429" spans="1:39" s="137" customFormat="1" ht="35.25" customHeight="1">
      <c r="A1429" s="15">
        <f t="shared" si="22"/>
        <v>1419</v>
      </c>
      <c r="B1429" s="195" t="s">
        <v>2038</v>
      </c>
      <c r="C1429" s="249" t="s">
        <v>641</v>
      </c>
      <c r="D1429" s="151"/>
      <c r="E1429" s="151"/>
      <c r="F1429" s="151"/>
      <c r="G1429" s="203"/>
      <c r="H1429" s="148"/>
      <c r="I1429" s="204" t="s">
        <v>18</v>
      </c>
      <c r="J1429" s="204">
        <v>1</v>
      </c>
      <c r="K1429" s="203" t="s">
        <v>300</v>
      </c>
      <c r="L1429" s="203" t="s">
        <v>2522</v>
      </c>
      <c r="M1429" s="25"/>
      <c r="N1429" s="203" t="s">
        <v>2599</v>
      </c>
      <c r="O1429" s="171"/>
      <c r="P1429" s="166"/>
      <c r="Q1429" s="166"/>
      <c r="R1429" s="171" t="s">
        <v>2670</v>
      </c>
      <c r="S1429"/>
      <c r="T1429"/>
      <c r="U1429"/>
      <c r="V1429"/>
      <c r="W1429"/>
      <c r="X1429"/>
      <c r="Y1429"/>
      <c r="Z1429"/>
      <c r="AA1429"/>
      <c r="AB1429"/>
      <c r="AC1429"/>
      <c r="AD1429"/>
      <c r="AE1429"/>
      <c r="AF1429"/>
      <c r="AG1429"/>
      <c r="AH1429"/>
      <c r="AI1429"/>
      <c r="AJ1429"/>
      <c r="AK1429"/>
      <c r="AL1429"/>
      <c r="AM1429"/>
    </row>
    <row r="1430" spans="1:39" ht="35.25" customHeight="1">
      <c r="A1430" s="15">
        <f t="shared" si="22"/>
        <v>1420</v>
      </c>
      <c r="B1430" s="144" t="s">
        <v>2039</v>
      </c>
      <c r="C1430" s="150" t="s">
        <v>620</v>
      </c>
      <c r="D1430" s="156"/>
      <c r="E1430" s="156"/>
      <c r="F1430" s="156"/>
      <c r="G1430" s="142" t="s">
        <v>2455</v>
      </c>
      <c r="H1430" s="141"/>
      <c r="I1430" s="202" t="s">
        <v>18</v>
      </c>
      <c r="J1430" s="153">
        <v>1</v>
      </c>
      <c r="K1430" s="142" t="s">
        <v>730</v>
      </c>
      <c r="L1430" s="168" t="s">
        <v>2522</v>
      </c>
      <c r="M1430" s="19"/>
      <c r="N1430" s="142" t="s">
        <v>2600</v>
      </c>
      <c r="O1430" s="143"/>
      <c r="P1430" s="158"/>
      <c r="Q1430" s="158"/>
      <c r="R1430" s="153"/>
    </row>
    <row r="1431" spans="1:39" ht="35.25" customHeight="1">
      <c r="A1431" s="15">
        <f t="shared" si="22"/>
        <v>1421</v>
      </c>
      <c r="B1431" s="144" t="s">
        <v>2040</v>
      </c>
      <c r="C1431" s="150" t="s">
        <v>2041</v>
      </c>
      <c r="D1431" s="156"/>
      <c r="E1431" s="156"/>
      <c r="F1431" s="156"/>
      <c r="G1431" s="142" t="s">
        <v>2456</v>
      </c>
      <c r="H1431" s="141"/>
      <c r="I1431" s="202" t="s">
        <v>18</v>
      </c>
      <c r="J1431" s="153">
        <v>1</v>
      </c>
      <c r="K1431" s="142" t="s">
        <v>730</v>
      </c>
      <c r="L1431" s="168" t="s">
        <v>2522</v>
      </c>
      <c r="M1431" s="19"/>
      <c r="N1431" s="142" t="s">
        <v>2600</v>
      </c>
      <c r="O1431" s="143"/>
      <c r="P1431" s="158"/>
      <c r="Q1431" s="158"/>
      <c r="R1431" s="153"/>
    </row>
    <row r="1432" spans="1:39" ht="35.25" customHeight="1">
      <c r="A1432" s="15">
        <f t="shared" si="22"/>
        <v>1422</v>
      </c>
      <c r="B1432" s="144" t="s">
        <v>2042</v>
      </c>
      <c r="C1432" s="150" t="s">
        <v>2043</v>
      </c>
      <c r="D1432" s="156"/>
      <c r="E1432" s="156"/>
      <c r="F1432" s="156"/>
      <c r="G1432" s="142" t="s">
        <v>2457</v>
      </c>
      <c r="H1432" s="141"/>
      <c r="I1432" s="202" t="s">
        <v>18</v>
      </c>
      <c r="J1432" s="153">
        <v>1</v>
      </c>
      <c r="K1432" s="142" t="s">
        <v>730</v>
      </c>
      <c r="L1432" s="168" t="s">
        <v>2522</v>
      </c>
      <c r="M1432" s="19"/>
      <c r="N1432" s="142" t="s">
        <v>2600</v>
      </c>
      <c r="O1432" s="143"/>
      <c r="P1432" s="158"/>
      <c r="Q1432" s="158"/>
      <c r="R1432" s="153"/>
    </row>
    <row r="1433" spans="1:39" ht="35.25" customHeight="1">
      <c r="A1433" s="15">
        <f t="shared" si="22"/>
        <v>1423</v>
      </c>
      <c r="B1433" s="19" t="s">
        <v>2044</v>
      </c>
      <c r="C1433" s="150" t="s">
        <v>2045</v>
      </c>
      <c r="D1433" s="156"/>
      <c r="E1433" s="156"/>
      <c r="F1433" s="156"/>
      <c r="G1433" s="142"/>
      <c r="H1433" s="141"/>
      <c r="I1433" s="202" t="s">
        <v>18</v>
      </c>
      <c r="J1433" s="153">
        <v>1</v>
      </c>
      <c r="K1433" s="142" t="s">
        <v>730</v>
      </c>
      <c r="L1433" s="168" t="s">
        <v>2522</v>
      </c>
      <c r="M1433" s="19"/>
      <c r="N1433" s="142" t="s">
        <v>2601</v>
      </c>
      <c r="O1433" s="143"/>
      <c r="P1433" s="158"/>
      <c r="Q1433" s="158"/>
      <c r="R1433" s="153"/>
    </row>
    <row r="1434" spans="1:39" ht="35.25" customHeight="1">
      <c r="A1434" s="15">
        <f t="shared" si="22"/>
        <v>1424</v>
      </c>
      <c r="B1434" s="19" t="s">
        <v>2046</v>
      </c>
      <c r="C1434" s="150" t="s">
        <v>2047</v>
      </c>
      <c r="D1434" s="156"/>
      <c r="E1434" s="156"/>
      <c r="F1434" s="156"/>
      <c r="G1434" s="142"/>
      <c r="H1434" s="141"/>
      <c r="I1434" s="202" t="s">
        <v>18</v>
      </c>
      <c r="J1434" s="153">
        <v>1</v>
      </c>
      <c r="K1434" s="142" t="s">
        <v>730</v>
      </c>
      <c r="L1434" s="168" t="s">
        <v>2522</v>
      </c>
      <c r="M1434" s="19"/>
      <c r="N1434" s="142" t="s">
        <v>2601</v>
      </c>
      <c r="O1434" s="143"/>
      <c r="P1434" s="158"/>
      <c r="Q1434" s="158"/>
      <c r="R1434" s="153"/>
    </row>
    <row r="1435" spans="1:39" ht="35.25" customHeight="1">
      <c r="A1435" s="15">
        <f t="shared" si="22"/>
        <v>1425</v>
      </c>
      <c r="B1435" s="156" t="s">
        <v>2048</v>
      </c>
      <c r="C1435" s="169" t="s">
        <v>2049</v>
      </c>
      <c r="D1435" s="156"/>
      <c r="E1435" s="156"/>
      <c r="F1435" s="156"/>
      <c r="G1435" s="145" t="s">
        <v>2458</v>
      </c>
      <c r="H1435" s="141"/>
      <c r="I1435" s="186" t="s">
        <v>18</v>
      </c>
      <c r="J1435" s="186">
        <v>1</v>
      </c>
      <c r="K1435" s="142" t="s">
        <v>730</v>
      </c>
      <c r="L1435" s="181" t="s">
        <v>2522</v>
      </c>
      <c r="M1435" s="276" t="s">
        <v>3282</v>
      </c>
      <c r="N1435" s="145" t="s">
        <v>2602</v>
      </c>
      <c r="O1435" s="169"/>
      <c r="P1435" s="158"/>
      <c r="Q1435" s="158"/>
      <c r="R1435" s="156"/>
    </row>
    <row r="1436" spans="1:39" ht="35.25" customHeight="1">
      <c r="A1436" s="15">
        <f t="shared" si="22"/>
        <v>1426</v>
      </c>
      <c r="B1436" s="156" t="s">
        <v>2050</v>
      </c>
      <c r="C1436" s="169" t="s">
        <v>2051</v>
      </c>
      <c r="D1436" s="156"/>
      <c r="E1436" s="156"/>
      <c r="F1436" s="156"/>
      <c r="G1436" s="156" t="s">
        <v>2459</v>
      </c>
      <c r="H1436" s="141"/>
      <c r="I1436" s="186" t="s">
        <v>18</v>
      </c>
      <c r="J1436" s="186">
        <v>1</v>
      </c>
      <c r="K1436" s="142" t="s">
        <v>730</v>
      </c>
      <c r="L1436" s="181" t="s">
        <v>2522</v>
      </c>
      <c r="M1436" s="276" t="s">
        <v>3282</v>
      </c>
      <c r="N1436" s="145" t="s">
        <v>2602</v>
      </c>
      <c r="O1436" s="169"/>
      <c r="P1436" s="158"/>
      <c r="Q1436" s="158"/>
      <c r="R1436" s="156"/>
    </row>
    <row r="1437" spans="1:39" ht="35.25" customHeight="1">
      <c r="A1437" s="15">
        <f t="shared" si="22"/>
        <v>1427</v>
      </c>
      <c r="B1437" s="144" t="s">
        <v>2052</v>
      </c>
      <c r="C1437" s="150" t="s">
        <v>2051</v>
      </c>
      <c r="D1437" s="156"/>
      <c r="E1437" s="156"/>
      <c r="F1437" s="156"/>
      <c r="G1437" s="144" t="s">
        <v>2460</v>
      </c>
      <c r="H1437" s="141"/>
      <c r="I1437" s="202" t="s">
        <v>18</v>
      </c>
      <c r="J1437" s="202">
        <v>1</v>
      </c>
      <c r="K1437" s="142" t="s">
        <v>730</v>
      </c>
      <c r="L1437" s="168" t="s">
        <v>2522</v>
      </c>
      <c r="M1437" s="19"/>
      <c r="N1437" s="142" t="s">
        <v>2603</v>
      </c>
      <c r="O1437" s="143"/>
      <c r="P1437" s="158"/>
      <c r="Q1437" s="158"/>
      <c r="R1437" s="153"/>
    </row>
    <row r="1438" spans="1:39" ht="35.25" customHeight="1">
      <c r="A1438" s="15">
        <f t="shared" si="22"/>
        <v>1428</v>
      </c>
      <c r="B1438" s="144" t="s">
        <v>2053</v>
      </c>
      <c r="C1438" s="150" t="s">
        <v>2054</v>
      </c>
      <c r="D1438" s="156"/>
      <c r="E1438" s="156"/>
      <c r="F1438" s="156"/>
      <c r="G1438" s="142" t="s">
        <v>634</v>
      </c>
      <c r="H1438" s="141"/>
      <c r="I1438" s="202" t="s">
        <v>18</v>
      </c>
      <c r="J1438" s="153">
        <v>1</v>
      </c>
      <c r="K1438" s="142" t="s">
        <v>730</v>
      </c>
      <c r="L1438" s="168" t="s">
        <v>2522</v>
      </c>
      <c r="M1438" s="19"/>
      <c r="N1438" s="142" t="s">
        <v>2603</v>
      </c>
      <c r="O1438" s="150"/>
      <c r="P1438" s="158"/>
      <c r="Q1438" s="158"/>
      <c r="R1438" s="144"/>
    </row>
    <row r="1439" spans="1:39" ht="35.25" customHeight="1">
      <c r="A1439" s="15">
        <f t="shared" si="22"/>
        <v>1429</v>
      </c>
      <c r="B1439" s="144" t="s">
        <v>2055</v>
      </c>
      <c r="C1439" s="150" t="s">
        <v>2056</v>
      </c>
      <c r="D1439" s="156"/>
      <c r="E1439" s="156"/>
      <c r="F1439" s="156"/>
      <c r="G1439" s="144" t="s">
        <v>2461</v>
      </c>
      <c r="H1439" s="141"/>
      <c r="I1439" s="202" t="s">
        <v>18</v>
      </c>
      <c r="J1439" s="153">
        <v>1</v>
      </c>
      <c r="K1439" s="142" t="s">
        <v>730</v>
      </c>
      <c r="L1439" s="168" t="s">
        <v>2522</v>
      </c>
      <c r="M1439" s="19"/>
      <c r="N1439" s="142" t="s">
        <v>2603</v>
      </c>
      <c r="O1439" s="150"/>
      <c r="P1439" s="158"/>
      <c r="Q1439" s="158"/>
      <c r="R1439" s="144"/>
    </row>
    <row r="1440" spans="1:39" ht="35.25" customHeight="1">
      <c r="A1440" s="15">
        <f t="shared" si="22"/>
        <v>1430</v>
      </c>
      <c r="B1440" s="144" t="s">
        <v>2057</v>
      </c>
      <c r="C1440" s="150" t="s">
        <v>605</v>
      </c>
      <c r="D1440" s="156"/>
      <c r="E1440" s="156"/>
      <c r="F1440" s="156"/>
      <c r="G1440" s="144" t="s">
        <v>596</v>
      </c>
      <c r="H1440" s="141"/>
      <c r="I1440" s="202" t="s">
        <v>18</v>
      </c>
      <c r="J1440" s="153">
        <v>1</v>
      </c>
      <c r="K1440" s="142" t="s">
        <v>730</v>
      </c>
      <c r="L1440" s="168" t="s">
        <v>2522</v>
      </c>
      <c r="M1440" s="19"/>
      <c r="N1440" s="142" t="s">
        <v>2603</v>
      </c>
      <c r="O1440" s="150"/>
      <c r="P1440" s="158"/>
      <c r="Q1440" s="158"/>
      <c r="R1440" s="144"/>
    </row>
    <row r="1441" spans="1:18" ht="35.25" customHeight="1">
      <c r="A1441" s="15">
        <f t="shared" si="22"/>
        <v>1431</v>
      </c>
      <c r="B1441" s="144" t="s">
        <v>2058</v>
      </c>
      <c r="C1441" s="150" t="s">
        <v>633</v>
      </c>
      <c r="D1441" s="156"/>
      <c r="E1441" s="156"/>
      <c r="F1441" s="156"/>
      <c r="G1441" s="187" t="s">
        <v>2462</v>
      </c>
      <c r="H1441" s="141"/>
      <c r="I1441" s="202" t="s">
        <v>18</v>
      </c>
      <c r="J1441" s="153">
        <v>1</v>
      </c>
      <c r="K1441" s="142" t="s">
        <v>730</v>
      </c>
      <c r="L1441" s="168" t="s">
        <v>2522</v>
      </c>
      <c r="M1441" s="19"/>
      <c r="N1441" s="183" t="s">
        <v>2604</v>
      </c>
      <c r="O1441" s="150"/>
      <c r="P1441" s="158"/>
      <c r="Q1441" s="158"/>
      <c r="R1441" s="144"/>
    </row>
    <row r="1442" spans="1:18" ht="35.25" customHeight="1">
      <c r="A1442" s="15">
        <f t="shared" si="22"/>
        <v>1432</v>
      </c>
      <c r="B1442" s="156" t="s">
        <v>2059</v>
      </c>
      <c r="C1442" s="169" t="s">
        <v>612</v>
      </c>
      <c r="D1442" s="156"/>
      <c r="E1442" s="156"/>
      <c r="F1442" s="156"/>
      <c r="G1442" s="145" t="s">
        <v>2463</v>
      </c>
      <c r="H1442" s="141"/>
      <c r="I1442" s="186" t="s">
        <v>18</v>
      </c>
      <c r="J1442" s="158">
        <v>1</v>
      </c>
      <c r="K1442" s="142" t="s">
        <v>730</v>
      </c>
      <c r="L1442" s="181" t="s">
        <v>2522</v>
      </c>
      <c r="M1442" s="19"/>
      <c r="N1442" s="182" t="s">
        <v>2597</v>
      </c>
      <c r="O1442" s="169"/>
      <c r="P1442" s="158"/>
      <c r="Q1442" s="158"/>
      <c r="R1442" s="169" t="s">
        <v>3248</v>
      </c>
    </row>
    <row r="1443" spans="1:18" ht="35.25" customHeight="1">
      <c r="A1443" s="15">
        <f t="shared" si="22"/>
        <v>1433</v>
      </c>
      <c r="B1443" s="144" t="s">
        <v>2060</v>
      </c>
      <c r="C1443" s="150" t="s">
        <v>2051</v>
      </c>
      <c r="D1443" s="156"/>
      <c r="E1443" s="156"/>
      <c r="F1443" s="156"/>
      <c r="G1443" s="142"/>
      <c r="H1443" s="141"/>
      <c r="I1443" s="202" t="s">
        <v>18</v>
      </c>
      <c r="J1443" s="153">
        <v>1</v>
      </c>
      <c r="K1443" s="142" t="s">
        <v>730</v>
      </c>
      <c r="L1443" s="168" t="s">
        <v>2522</v>
      </c>
      <c r="M1443" s="19"/>
      <c r="N1443" s="142" t="s">
        <v>2604</v>
      </c>
      <c r="O1443" s="150"/>
      <c r="P1443" s="158"/>
      <c r="Q1443" s="158"/>
      <c r="R1443" s="144"/>
    </row>
    <row r="1444" spans="1:18" ht="35.25" customHeight="1">
      <c r="A1444" s="15">
        <f t="shared" si="22"/>
        <v>1434</v>
      </c>
      <c r="B1444" s="144" t="s">
        <v>2061</v>
      </c>
      <c r="C1444" s="150" t="s">
        <v>620</v>
      </c>
      <c r="D1444" s="156"/>
      <c r="E1444" s="156"/>
      <c r="F1444" s="156"/>
      <c r="G1444" s="142" t="s">
        <v>2464</v>
      </c>
      <c r="H1444" s="141"/>
      <c r="I1444" s="202" t="s">
        <v>18</v>
      </c>
      <c r="J1444" s="153">
        <v>1</v>
      </c>
      <c r="K1444" s="142" t="s">
        <v>730</v>
      </c>
      <c r="L1444" s="168" t="s">
        <v>2522</v>
      </c>
      <c r="M1444" s="276" t="s">
        <v>3262</v>
      </c>
      <c r="N1444" s="142" t="s">
        <v>2605</v>
      </c>
      <c r="O1444" s="150"/>
      <c r="P1444" s="158"/>
      <c r="Q1444" s="158"/>
      <c r="R1444" s="144"/>
    </row>
    <row r="1445" spans="1:18" ht="35.25" customHeight="1">
      <c r="A1445" s="15">
        <f t="shared" si="22"/>
        <v>1435</v>
      </c>
      <c r="B1445" s="144" t="s">
        <v>2062</v>
      </c>
      <c r="C1445" s="150" t="s">
        <v>1339</v>
      </c>
      <c r="D1445" s="156"/>
      <c r="E1445" s="156"/>
      <c r="F1445" s="156"/>
      <c r="G1445" s="142"/>
      <c r="H1445" s="141"/>
      <c r="I1445" s="202" t="s">
        <v>18</v>
      </c>
      <c r="J1445" s="153">
        <v>1</v>
      </c>
      <c r="K1445" s="142" t="s">
        <v>730</v>
      </c>
      <c r="L1445" s="168" t="s">
        <v>2522</v>
      </c>
      <c r="M1445" s="276" t="s">
        <v>3262</v>
      </c>
      <c r="N1445" s="183" t="s">
        <v>2605</v>
      </c>
      <c r="O1445" s="150"/>
      <c r="P1445" s="158"/>
      <c r="Q1445" s="158"/>
      <c r="R1445" s="144"/>
    </row>
    <row r="1446" spans="1:18" ht="35.25" customHeight="1">
      <c r="A1446" s="15">
        <f t="shared" si="22"/>
        <v>1436</v>
      </c>
      <c r="B1446" s="144" t="s">
        <v>2063</v>
      </c>
      <c r="C1446" s="150" t="s">
        <v>2064</v>
      </c>
      <c r="D1446" s="156"/>
      <c r="E1446" s="156"/>
      <c r="F1446" s="156"/>
      <c r="G1446" s="142"/>
      <c r="H1446" s="141"/>
      <c r="I1446" s="202" t="s">
        <v>18</v>
      </c>
      <c r="J1446" s="202">
        <v>1</v>
      </c>
      <c r="K1446" s="142" t="s">
        <v>730</v>
      </c>
      <c r="L1446" s="168" t="s">
        <v>2522</v>
      </c>
      <c r="M1446" s="276" t="s">
        <v>3262</v>
      </c>
      <c r="N1446" s="183" t="s">
        <v>2605</v>
      </c>
      <c r="O1446" s="150"/>
      <c r="P1446" s="158"/>
      <c r="Q1446" s="158"/>
      <c r="R1446" s="144"/>
    </row>
    <row r="1447" spans="1:18" ht="35.25" customHeight="1">
      <c r="A1447" s="15">
        <f t="shared" si="22"/>
        <v>1437</v>
      </c>
      <c r="B1447" s="144" t="s">
        <v>2065</v>
      </c>
      <c r="C1447" s="149">
        <v>965618069</v>
      </c>
      <c r="D1447" s="156"/>
      <c r="E1447" s="156"/>
      <c r="F1447" s="156"/>
      <c r="G1447" s="142"/>
      <c r="H1447" s="141"/>
      <c r="I1447" s="202" t="s">
        <v>18</v>
      </c>
      <c r="J1447" s="202">
        <v>1</v>
      </c>
      <c r="K1447" s="142" t="s">
        <v>730</v>
      </c>
      <c r="L1447" s="168" t="s">
        <v>2522</v>
      </c>
      <c r="M1447" s="276" t="s">
        <v>3262</v>
      </c>
      <c r="N1447" s="183" t="s">
        <v>2605</v>
      </c>
      <c r="O1447" s="150"/>
      <c r="P1447" s="158"/>
      <c r="Q1447" s="158"/>
      <c r="R1447" s="144"/>
    </row>
    <row r="1448" spans="1:18" ht="35.25" customHeight="1">
      <c r="A1448" s="15">
        <f t="shared" si="22"/>
        <v>1438</v>
      </c>
      <c r="B1448" s="144" t="s">
        <v>2066</v>
      </c>
      <c r="C1448" s="149" t="s">
        <v>2067</v>
      </c>
      <c r="D1448" s="156"/>
      <c r="E1448" s="156"/>
      <c r="F1448" s="156"/>
      <c r="G1448" s="142"/>
      <c r="H1448" s="141"/>
      <c r="I1448" s="202" t="s">
        <v>18</v>
      </c>
      <c r="J1448" s="153">
        <v>1</v>
      </c>
      <c r="K1448" s="142" t="s">
        <v>730</v>
      </c>
      <c r="L1448" s="168" t="s">
        <v>2522</v>
      </c>
      <c r="M1448" s="276" t="s">
        <v>3262</v>
      </c>
      <c r="N1448" s="183" t="s">
        <v>2605</v>
      </c>
      <c r="O1448" s="260">
        <v>45005</v>
      </c>
      <c r="P1448" s="158"/>
      <c r="Q1448" s="158"/>
      <c r="R1448" s="144"/>
    </row>
    <row r="1449" spans="1:18" ht="35.25" customHeight="1">
      <c r="A1449" s="15">
        <f t="shared" si="22"/>
        <v>1439</v>
      </c>
      <c r="B1449" s="156" t="s">
        <v>2068</v>
      </c>
      <c r="C1449" s="169" t="s">
        <v>2069</v>
      </c>
      <c r="D1449" s="156"/>
      <c r="E1449" s="156"/>
      <c r="F1449" s="156"/>
      <c r="G1449" s="145" t="s">
        <v>2465</v>
      </c>
      <c r="H1449" s="141"/>
      <c r="I1449" s="186" t="s">
        <v>18</v>
      </c>
      <c r="J1449" s="158">
        <v>1</v>
      </c>
      <c r="K1449" s="142" t="s">
        <v>730</v>
      </c>
      <c r="L1449" s="181" t="s">
        <v>2522</v>
      </c>
      <c r="M1449" s="19"/>
      <c r="N1449" s="145" t="s">
        <v>2606</v>
      </c>
      <c r="O1449" s="169"/>
      <c r="P1449" s="158"/>
      <c r="Q1449" s="158"/>
      <c r="R1449" s="169" t="s">
        <v>2671</v>
      </c>
    </row>
    <row r="1450" spans="1:18" ht="35.25" customHeight="1">
      <c r="A1450" s="15">
        <f t="shared" si="22"/>
        <v>1440</v>
      </c>
      <c r="B1450" s="156" t="s">
        <v>2070</v>
      </c>
      <c r="C1450" s="169" t="s">
        <v>2071</v>
      </c>
      <c r="D1450" s="156"/>
      <c r="E1450" s="156"/>
      <c r="F1450" s="156"/>
      <c r="G1450" s="145" t="s">
        <v>2466</v>
      </c>
      <c r="H1450" s="141"/>
      <c r="I1450" s="186" t="s">
        <v>18</v>
      </c>
      <c r="J1450" s="158">
        <v>1</v>
      </c>
      <c r="K1450" s="142" t="s">
        <v>730</v>
      </c>
      <c r="L1450" s="181" t="s">
        <v>2522</v>
      </c>
      <c r="M1450" s="19"/>
      <c r="N1450" s="145" t="s">
        <v>2606</v>
      </c>
      <c r="O1450" s="169"/>
      <c r="P1450" s="158"/>
      <c r="Q1450" s="158"/>
      <c r="R1450" s="156"/>
    </row>
    <row r="1451" spans="1:18" ht="35.25" customHeight="1">
      <c r="A1451" s="15">
        <f t="shared" si="22"/>
        <v>1441</v>
      </c>
      <c r="B1451" s="156" t="s">
        <v>2072</v>
      </c>
      <c r="C1451" s="169" t="s">
        <v>2073</v>
      </c>
      <c r="D1451" s="156"/>
      <c r="E1451" s="156"/>
      <c r="F1451" s="156"/>
      <c r="G1451" s="145" t="s">
        <v>2400</v>
      </c>
      <c r="H1451" s="141"/>
      <c r="I1451" s="186" t="s">
        <v>18</v>
      </c>
      <c r="J1451" s="158">
        <v>1</v>
      </c>
      <c r="K1451" s="142" t="s">
        <v>730</v>
      </c>
      <c r="L1451" s="181" t="s">
        <v>2522</v>
      </c>
      <c r="M1451" s="19"/>
      <c r="N1451" s="145" t="s">
        <v>2606</v>
      </c>
      <c r="O1451" s="169"/>
      <c r="P1451" s="158"/>
      <c r="Q1451" s="158"/>
      <c r="R1451" s="156"/>
    </row>
    <row r="1452" spans="1:18" ht="35.25" customHeight="1">
      <c r="A1452" s="15">
        <f t="shared" si="22"/>
        <v>1442</v>
      </c>
      <c r="B1452" s="144" t="s">
        <v>2074</v>
      </c>
      <c r="C1452" s="150" t="s">
        <v>620</v>
      </c>
      <c r="D1452" s="156"/>
      <c r="E1452" s="156"/>
      <c r="F1452" s="156"/>
      <c r="G1452" s="142" t="s">
        <v>2465</v>
      </c>
      <c r="H1452" s="141"/>
      <c r="I1452" s="202" t="s">
        <v>18</v>
      </c>
      <c r="J1452" s="153">
        <v>1</v>
      </c>
      <c r="K1452" s="142" t="s">
        <v>730</v>
      </c>
      <c r="L1452" s="168" t="s">
        <v>2522</v>
      </c>
      <c r="M1452" s="276" t="s">
        <v>3270</v>
      </c>
      <c r="N1452" s="142" t="s">
        <v>2607</v>
      </c>
      <c r="O1452" s="150"/>
      <c r="P1452" s="158"/>
      <c r="Q1452" s="158"/>
      <c r="R1452" s="144"/>
    </row>
    <row r="1453" spans="1:18" ht="35.25" customHeight="1">
      <c r="A1453" s="15">
        <f t="shared" si="22"/>
        <v>1443</v>
      </c>
      <c r="B1453" s="144" t="s">
        <v>2075</v>
      </c>
      <c r="C1453" s="150" t="s">
        <v>1339</v>
      </c>
      <c r="D1453" s="156"/>
      <c r="E1453" s="156"/>
      <c r="F1453" s="156"/>
      <c r="G1453" s="142" t="s">
        <v>2466</v>
      </c>
      <c r="H1453" s="141"/>
      <c r="I1453" s="202" t="s">
        <v>18</v>
      </c>
      <c r="J1453" s="153">
        <v>1</v>
      </c>
      <c r="K1453" s="142" t="s">
        <v>730</v>
      </c>
      <c r="L1453" s="168" t="s">
        <v>2522</v>
      </c>
      <c r="M1453" s="276" t="s">
        <v>3270</v>
      </c>
      <c r="N1453" s="142" t="s">
        <v>2607</v>
      </c>
      <c r="O1453" s="150"/>
      <c r="P1453" s="158"/>
      <c r="Q1453" s="158"/>
      <c r="R1453" s="144"/>
    </row>
    <row r="1454" spans="1:18" ht="35.25" customHeight="1">
      <c r="A1454" s="15">
        <f t="shared" si="22"/>
        <v>1444</v>
      </c>
      <c r="B1454" s="144" t="s">
        <v>2076</v>
      </c>
      <c r="C1454" s="150" t="s">
        <v>2077</v>
      </c>
      <c r="D1454" s="156"/>
      <c r="E1454" s="156"/>
      <c r="F1454" s="156"/>
      <c r="G1454" s="142" t="s">
        <v>2400</v>
      </c>
      <c r="H1454" s="141"/>
      <c r="I1454" s="202" t="s">
        <v>18</v>
      </c>
      <c r="J1454" s="153">
        <v>1</v>
      </c>
      <c r="K1454" s="142" t="s">
        <v>730</v>
      </c>
      <c r="L1454" s="168" t="s">
        <v>2522</v>
      </c>
      <c r="M1454" s="276" t="s">
        <v>3270</v>
      </c>
      <c r="N1454" s="142" t="s">
        <v>2607</v>
      </c>
      <c r="O1454" s="150"/>
      <c r="P1454" s="158"/>
      <c r="Q1454" s="158"/>
      <c r="R1454" s="144"/>
    </row>
    <row r="1455" spans="1:18" ht="35.25" customHeight="1">
      <c r="A1455" s="15">
        <f t="shared" si="22"/>
        <v>1445</v>
      </c>
      <c r="B1455" s="144" t="s">
        <v>2078</v>
      </c>
      <c r="C1455" s="150" t="s">
        <v>601</v>
      </c>
      <c r="D1455" s="156"/>
      <c r="E1455" s="156"/>
      <c r="F1455" s="156"/>
      <c r="G1455" s="142"/>
      <c r="H1455" s="141"/>
      <c r="I1455" s="202" t="s">
        <v>18</v>
      </c>
      <c r="J1455" s="153">
        <v>1</v>
      </c>
      <c r="K1455" s="142" t="s">
        <v>730</v>
      </c>
      <c r="L1455" s="168" t="s">
        <v>2522</v>
      </c>
      <c r="M1455" s="276" t="s">
        <v>3270</v>
      </c>
      <c r="N1455" s="142" t="s">
        <v>2607</v>
      </c>
      <c r="O1455" s="150"/>
      <c r="P1455" s="158"/>
      <c r="Q1455" s="158"/>
      <c r="R1455" s="144"/>
    </row>
    <row r="1456" spans="1:18" ht="35.25" customHeight="1">
      <c r="A1456" s="15">
        <f t="shared" si="22"/>
        <v>1446</v>
      </c>
      <c r="B1456" s="144" t="s">
        <v>2079</v>
      </c>
      <c r="C1456" s="150" t="s">
        <v>2080</v>
      </c>
      <c r="D1456" s="156"/>
      <c r="E1456" s="156"/>
      <c r="F1456" s="156"/>
      <c r="G1456" s="142"/>
      <c r="H1456" s="141"/>
      <c r="I1456" s="202" t="s">
        <v>18</v>
      </c>
      <c r="J1456" s="153">
        <v>1</v>
      </c>
      <c r="K1456" s="142" t="s">
        <v>730</v>
      </c>
      <c r="L1456" s="168" t="s">
        <v>2522</v>
      </c>
      <c r="M1456" s="276" t="s">
        <v>3270</v>
      </c>
      <c r="N1456" s="142" t="s">
        <v>2607</v>
      </c>
      <c r="O1456" s="150"/>
      <c r="P1456" s="158"/>
      <c r="Q1456" s="158"/>
      <c r="R1456" s="144"/>
    </row>
    <row r="1457" spans="1:18" ht="35.25" customHeight="1">
      <c r="A1457" s="15">
        <f t="shared" si="22"/>
        <v>1447</v>
      </c>
      <c r="B1457" s="144" t="s">
        <v>2081</v>
      </c>
      <c r="C1457" s="149">
        <v>965233469</v>
      </c>
      <c r="D1457" s="156"/>
      <c r="E1457" s="156"/>
      <c r="F1457" s="156"/>
      <c r="G1457" s="142"/>
      <c r="H1457" s="141"/>
      <c r="I1457" s="202" t="s">
        <v>18</v>
      </c>
      <c r="J1457" s="205">
        <v>1</v>
      </c>
      <c r="K1457" s="142" t="s">
        <v>730</v>
      </c>
      <c r="L1457" s="168" t="s">
        <v>2522</v>
      </c>
      <c r="M1457" s="276" t="s">
        <v>3270</v>
      </c>
      <c r="N1457" s="142" t="s">
        <v>2607</v>
      </c>
      <c r="O1457" s="150"/>
      <c r="P1457" s="158"/>
      <c r="Q1457" s="158"/>
      <c r="R1457" s="144"/>
    </row>
    <row r="1458" spans="1:18" ht="35.25" customHeight="1">
      <c r="A1458" s="15">
        <f t="shared" si="22"/>
        <v>1448</v>
      </c>
      <c r="B1458" s="188" t="s">
        <v>2082</v>
      </c>
      <c r="C1458" s="250" t="s">
        <v>2083</v>
      </c>
      <c r="D1458" s="156"/>
      <c r="E1458" s="156"/>
      <c r="F1458" s="156"/>
      <c r="G1458" s="187" t="s">
        <v>2467</v>
      </c>
      <c r="H1458" s="141"/>
      <c r="I1458" s="202" t="s">
        <v>18</v>
      </c>
      <c r="J1458" s="205">
        <v>1</v>
      </c>
      <c r="K1458" s="142" t="s">
        <v>730</v>
      </c>
      <c r="L1458" s="168" t="s">
        <v>2522</v>
      </c>
      <c r="M1458" s="19"/>
      <c r="N1458" s="183" t="s">
        <v>2608</v>
      </c>
      <c r="O1458" s="267"/>
      <c r="P1458" s="158"/>
      <c r="Q1458" s="158"/>
      <c r="R1458" s="205"/>
    </row>
    <row r="1459" spans="1:18" ht="35.25" customHeight="1">
      <c r="A1459" s="15">
        <f t="shared" si="22"/>
        <v>1449</v>
      </c>
      <c r="B1459" s="188" t="s">
        <v>2084</v>
      </c>
      <c r="C1459" s="250" t="s">
        <v>2085</v>
      </c>
      <c r="D1459" s="156"/>
      <c r="E1459" s="156"/>
      <c r="F1459" s="156"/>
      <c r="G1459" s="183" t="s">
        <v>2468</v>
      </c>
      <c r="H1459" s="141"/>
      <c r="I1459" s="202" t="s">
        <v>18</v>
      </c>
      <c r="J1459" s="205">
        <v>1</v>
      </c>
      <c r="K1459" s="142" t="s">
        <v>730</v>
      </c>
      <c r="L1459" s="168" t="s">
        <v>2522</v>
      </c>
      <c r="M1459" s="19"/>
      <c r="N1459" s="183" t="s">
        <v>2608</v>
      </c>
      <c r="O1459" s="267"/>
      <c r="P1459" s="158"/>
      <c r="Q1459" s="158"/>
      <c r="R1459" s="205"/>
    </row>
    <row r="1460" spans="1:18" ht="35.25" customHeight="1">
      <c r="A1460" s="15">
        <f t="shared" si="22"/>
        <v>1450</v>
      </c>
      <c r="B1460" s="188" t="s">
        <v>2086</v>
      </c>
      <c r="C1460" s="250" t="s">
        <v>2087</v>
      </c>
      <c r="D1460" s="156"/>
      <c r="E1460" s="156"/>
      <c r="F1460" s="156"/>
      <c r="G1460" s="183"/>
      <c r="H1460" s="141"/>
      <c r="I1460" s="202" t="s">
        <v>18</v>
      </c>
      <c r="J1460" s="205">
        <v>1</v>
      </c>
      <c r="K1460" s="142" t="s">
        <v>730</v>
      </c>
      <c r="L1460" s="168" t="s">
        <v>2522</v>
      </c>
      <c r="M1460" s="19"/>
      <c r="N1460" s="183" t="s">
        <v>2608</v>
      </c>
      <c r="O1460" s="267"/>
      <c r="P1460" s="158"/>
      <c r="Q1460" s="158"/>
      <c r="R1460" s="205"/>
    </row>
    <row r="1461" spans="1:18" ht="35.25" customHeight="1">
      <c r="A1461" s="15">
        <f t="shared" si="22"/>
        <v>1451</v>
      </c>
      <c r="B1461" s="188" t="s">
        <v>2088</v>
      </c>
      <c r="C1461" s="250" t="s">
        <v>1533</v>
      </c>
      <c r="D1461" s="156"/>
      <c r="E1461" s="156"/>
      <c r="F1461" s="156"/>
      <c r="G1461" s="183"/>
      <c r="H1461" s="141"/>
      <c r="I1461" s="202" t="s">
        <v>18</v>
      </c>
      <c r="J1461" s="205">
        <v>1</v>
      </c>
      <c r="K1461" s="142" t="s">
        <v>730</v>
      </c>
      <c r="L1461" s="168" t="s">
        <v>2522</v>
      </c>
      <c r="M1461" s="19"/>
      <c r="N1461" s="183" t="s">
        <v>2608</v>
      </c>
      <c r="O1461" s="267"/>
      <c r="P1461" s="158"/>
      <c r="Q1461" s="158"/>
      <c r="R1461" s="205"/>
    </row>
    <row r="1462" spans="1:18" ht="35.25" customHeight="1">
      <c r="A1462" s="15">
        <f t="shared" si="22"/>
        <v>1452</v>
      </c>
      <c r="B1462" s="188" t="s">
        <v>2089</v>
      </c>
      <c r="C1462" s="250" t="s">
        <v>601</v>
      </c>
      <c r="D1462" s="156"/>
      <c r="E1462" s="156"/>
      <c r="F1462" s="156"/>
      <c r="G1462" s="183"/>
      <c r="H1462" s="141"/>
      <c r="I1462" s="202" t="s">
        <v>18</v>
      </c>
      <c r="J1462" s="205">
        <v>1</v>
      </c>
      <c r="K1462" s="142" t="s">
        <v>730</v>
      </c>
      <c r="L1462" s="168" t="s">
        <v>2522</v>
      </c>
      <c r="M1462" s="19"/>
      <c r="N1462" s="183" t="s">
        <v>2608</v>
      </c>
      <c r="O1462" s="267"/>
      <c r="P1462" s="158"/>
      <c r="Q1462" s="158"/>
      <c r="R1462" s="205"/>
    </row>
    <row r="1463" spans="1:18" ht="35.25" customHeight="1">
      <c r="A1463" s="15">
        <f t="shared" si="22"/>
        <v>1453</v>
      </c>
      <c r="B1463" s="188" t="s">
        <v>2090</v>
      </c>
      <c r="C1463" s="250" t="s">
        <v>120</v>
      </c>
      <c r="D1463" s="156"/>
      <c r="E1463" s="156"/>
      <c r="F1463" s="156"/>
      <c r="G1463" s="183"/>
      <c r="H1463" s="141"/>
      <c r="I1463" s="202" t="s">
        <v>18</v>
      </c>
      <c r="J1463" s="205">
        <v>1</v>
      </c>
      <c r="K1463" s="142" t="s">
        <v>730</v>
      </c>
      <c r="L1463" s="168" t="s">
        <v>2522</v>
      </c>
      <c r="M1463" s="19"/>
      <c r="N1463" s="183" t="s">
        <v>2608</v>
      </c>
      <c r="O1463" s="267"/>
      <c r="P1463" s="158"/>
      <c r="Q1463" s="158"/>
      <c r="R1463" s="205"/>
    </row>
    <row r="1464" spans="1:18" ht="35.25" customHeight="1">
      <c r="A1464" s="15">
        <f t="shared" si="22"/>
        <v>1454</v>
      </c>
      <c r="B1464" s="188" t="s">
        <v>2091</v>
      </c>
      <c r="C1464" s="250" t="s">
        <v>445</v>
      </c>
      <c r="D1464" s="156"/>
      <c r="E1464" s="156"/>
      <c r="F1464" s="156"/>
      <c r="G1464" s="183"/>
      <c r="H1464" s="141"/>
      <c r="I1464" s="202" t="s">
        <v>18</v>
      </c>
      <c r="J1464" s="205">
        <v>1</v>
      </c>
      <c r="K1464" s="142" t="s">
        <v>730</v>
      </c>
      <c r="L1464" s="168" t="s">
        <v>2522</v>
      </c>
      <c r="M1464" s="19"/>
      <c r="N1464" s="183" t="s">
        <v>2608</v>
      </c>
      <c r="O1464" s="267"/>
      <c r="P1464" s="158"/>
      <c r="Q1464" s="158"/>
      <c r="R1464" s="205"/>
    </row>
    <row r="1465" spans="1:18" ht="35.25" customHeight="1">
      <c r="A1465" s="15">
        <f t="shared" si="22"/>
        <v>1455</v>
      </c>
      <c r="B1465" s="188" t="s">
        <v>2092</v>
      </c>
      <c r="C1465" s="250" t="s">
        <v>1306</v>
      </c>
      <c r="D1465" s="156"/>
      <c r="E1465" s="156"/>
      <c r="F1465" s="156"/>
      <c r="G1465" s="183" t="s">
        <v>2451</v>
      </c>
      <c r="H1465" s="141"/>
      <c r="I1465" s="202" t="s">
        <v>18</v>
      </c>
      <c r="J1465" s="205">
        <v>1</v>
      </c>
      <c r="K1465" s="142" t="s">
        <v>730</v>
      </c>
      <c r="L1465" s="168" t="s">
        <v>2522</v>
      </c>
      <c r="M1465" s="19"/>
      <c r="N1465" s="183" t="s">
        <v>2608</v>
      </c>
      <c r="O1465" s="267"/>
      <c r="P1465" s="158"/>
      <c r="Q1465" s="158"/>
      <c r="R1465" s="205"/>
    </row>
    <row r="1466" spans="1:18" ht="35.25" customHeight="1">
      <c r="A1466" s="15">
        <f t="shared" si="22"/>
        <v>1456</v>
      </c>
      <c r="B1466" s="188" t="s">
        <v>2093</v>
      </c>
      <c r="C1466" s="250" t="s">
        <v>2094</v>
      </c>
      <c r="D1466" s="156"/>
      <c r="E1466" s="156"/>
      <c r="F1466" s="156"/>
      <c r="G1466" s="187" t="s">
        <v>2469</v>
      </c>
      <c r="H1466" s="141"/>
      <c r="I1466" s="202" t="s">
        <v>18</v>
      </c>
      <c r="J1466" s="205">
        <v>1</v>
      </c>
      <c r="K1466" s="142" t="s">
        <v>730</v>
      </c>
      <c r="L1466" s="168" t="s">
        <v>2522</v>
      </c>
      <c r="M1466" s="19"/>
      <c r="N1466" s="183" t="s">
        <v>2610</v>
      </c>
      <c r="O1466" s="265"/>
      <c r="P1466" s="158"/>
      <c r="Q1466" s="158"/>
      <c r="R1466" s="185"/>
    </row>
    <row r="1467" spans="1:18" ht="35.25" customHeight="1">
      <c r="A1467" s="15">
        <f t="shared" si="22"/>
        <v>1457</v>
      </c>
      <c r="B1467" s="188" t="s">
        <v>2095</v>
      </c>
      <c r="C1467" s="250" t="s">
        <v>2051</v>
      </c>
      <c r="D1467" s="156"/>
      <c r="E1467" s="156"/>
      <c r="F1467" s="156"/>
      <c r="G1467" s="183"/>
      <c r="H1467" s="141"/>
      <c r="I1467" s="202" t="s">
        <v>18</v>
      </c>
      <c r="J1467" s="205">
        <v>1</v>
      </c>
      <c r="K1467" s="142" t="s">
        <v>730</v>
      </c>
      <c r="L1467" s="168" t="s">
        <v>2522</v>
      </c>
      <c r="M1467" s="19"/>
      <c r="N1467" s="183" t="s">
        <v>2610</v>
      </c>
      <c r="O1467" s="265"/>
      <c r="P1467" s="158"/>
      <c r="Q1467" s="158"/>
      <c r="R1467" s="185"/>
    </row>
    <row r="1468" spans="1:18" ht="35.25" customHeight="1">
      <c r="A1468" s="15">
        <f t="shared" si="22"/>
        <v>1458</v>
      </c>
      <c r="B1468" s="189" t="s">
        <v>2096</v>
      </c>
      <c r="C1468" s="189" t="s">
        <v>2097</v>
      </c>
      <c r="D1468" s="156"/>
      <c r="E1468" s="156"/>
      <c r="F1468" s="156"/>
      <c r="G1468" s="182"/>
      <c r="H1468" s="141"/>
      <c r="I1468" s="186" t="s">
        <v>18</v>
      </c>
      <c r="J1468" s="190">
        <v>1</v>
      </c>
      <c r="K1468" s="142" t="s">
        <v>730</v>
      </c>
      <c r="L1468" s="181" t="s">
        <v>2522</v>
      </c>
      <c r="M1468" s="19"/>
      <c r="N1468" s="182" t="s">
        <v>2611</v>
      </c>
      <c r="O1468" s="190"/>
      <c r="P1468" s="158"/>
      <c r="Q1468" s="158"/>
      <c r="R1468" s="190"/>
    </row>
    <row r="1469" spans="1:18" ht="35.25" customHeight="1">
      <c r="A1469" s="15">
        <f t="shared" si="22"/>
        <v>1459</v>
      </c>
      <c r="B1469" s="189" t="s">
        <v>2098</v>
      </c>
      <c r="C1469" s="189" t="s">
        <v>2099</v>
      </c>
      <c r="D1469" s="156"/>
      <c r="E1469" s="156"/>
      <c r="F1469" s="156"/>
      <c r="G1469" s="182"/>
      <c r="H1469" s="141"/>
      <c r="I1469" s="186" t="s">
        <v>18</v>
      </c>
      <c r="J1469" s="190">
        <v>1</v>
      </c>
      <c r="K1469" s="142" t="s">
        <v>730</v>
      </c>
      <c r="L1469" s="181" t="s">
        <v>2522</v>
      </c>
      <c r="M1469" s="19"/>
      <c r="N1469" s="182" t="s">
        <v>2611</v>
      </c>
      <c r="O1469" s="190"/>
      <c r="P1469" s="158"/>
      <c r="Q1469" s="158"/>
      <c r="R1469" s="190"/>
    </row>
    <row r="1470" spans="1:18" ht="35.25" customHeight="1">
      <c r="A1470" s="15">
        <f t="shared" si="22"/>
        <v>1460</v>
      </c>
      <c r="B1470" s="191" t="s">
        <v>2100</v>
      </c>
      <c r="C1470" s="191" t="s">
        <v>2101</v>
      </c>
      <c r="D1470" s="156"/>
      <c r="E1470" s="156"/>
      <c r="F1470" s="156"/>
      <c r="G1470" s="172"/>
      <c r="H1470" s="141"/>
      <c r="I1470" s="202" t="s">
        <v>18</v>
      </c>
      <c r="J1470" s="192">
        <v>1</v>
      </c>
      <c r="K1470" s="142" t="s">
        <v>730</v>
      </c>
      <c r="L1470" s="168" t="s">
        <v>2522</v>
      </c>
      <c r="M1470" s="19"/>
      <c r="N1470" s="182" t="s">
        <v>2597</v>
      </c>
      <c r="O1470" s="192"/>
      <c r="P1470" s="158"/>
      <c r="Q1470" s="158"/>
      <c r="R1470" s="169" t="s">
        <v>3248</v>
      </c>
    </row>
    <row r="1471" spans="1:18" ht="35.25" customHeight="1">
      <c r="A1471" s="15">
        <f t="shared" si="22"/>
        <v>1461</v>
      </c>
      <c r="B1471" s="11" t="s">
        <v>2102</v>
      </c>
      <c r="C1471" s="64" t="s">
        <v>2103</v>
      </c>
      <c r="D1471" s="156"/>
      <c r="E1471" s="156"/>
      <c r="F1471" s="156"/>
      <c r="G1471" s="172"/>
      <c r="H1471" s="141"/>
      <c r="I1471" s="202" t="s">
        <v>18</v>
      </c>
      <c r="J1471" s="192">
        <v>1</v>
      </c>
      <c r="K1471" s="142" t="s">
        <v>730</v>
      </c>
      <c r="L1471" s="168" t="s">
        <v>2522</v>
      </c>
      <c r="M1471" s="19"/>
      <c r="N1471" s="172" t="s">
        <v>2611</v>
      </c>
      <c r="O1471" s="192"/>
      <c r="P1471" s="158"/>
      <c r="Q1471" s="158"/>
      <c r="R1471" s="192"/>
    </row>
    <row r="1472" spans="1:18" ht="35.25" customHeight="1">
      <c r="A1472" s="15">
        <f t="shared" si="22"/>
        <v>1462</v>
      </c>
      <c r="B1472" s="176" t="s">
        <v>2104</v>
      </c>
      <c r="C1472" s="189" t="s">
        <v>454</v>
      </c>
      <c r="D1472" s="156"/>
      <c r="E1472" s="156"/>
      <c r="F1472" s="156"/>
      <c r="G1472" s="182"/>
      <c r="H1472" s="141"/>
      <c r="I1472" s="186" t="s">
        <v>18</v>
      </c>
      <c r="J1472" s="190">
        <v>1</v>
      </c>
      <c r="K1472" s="142" t="s">
        <v>730</v>
      </c>
      <c r="L1472" s="181" t="s">
        <v>2522</v>
      </c>
      <c r="M1472" s="19"/>
      <c r="N1472" s="182" t="s">
        <v>2597</v>
      </c>
      <c r="O1472" s="190"/>
      <c r="P1472" s="158"/>
      <c r="Q1472" s="158"/>
      <c r="R1472" s="169" t="s">
        <v>3248</v>
      </c>
    </row>
    <row r="1473" spans="1:18" ht="35.25" customHeight="1">
      <c r="A1473" s="15">
        <f t="shared" si="22"/>
        <v>1463</v>
      </c>
      <c r="B1473" s="189" t="s">
        <v>2105</v>
      </c>
      <c r="C1473" s="189" t="s">
        <v>115</v>
      </c>
      <c r="D1473" s="156"/>
      <c r="E1473" s="156"/>
      <c r="F1473" s="156"/>
      <c r="G1473" s="182"/>
      <c r="H1473" s="141"/>
      <c r="I1473" s="186" t="s">
        <v>18</v>
      </c>
      <c r="J1473" s="190">
        <v>1</v>
      </c>
      <c r="K1473" s="142" t="s">
        <v>730</v>
      </c>
      <c r="L1473" s="181" t="s">
        <v>2522</v>
      </c>
      <c r="M1473" s="19"/>
      <c r="N1473" s="182" t="s">
        <v>2597</v>
      </c>
      <c r="O1473" s="190"/>
      <c r="P1473" s="158"/>
      <c r="Q1473" s="158"/>
      <c r="R1473" s="169" t="s">
        <v>3248</v>
      </c>
    </row>
    <row r="1474" spans="1:18" ht="35.25" customHeight="1">
      <c r="A1474" s="15">
        <f t="shared" si="22"/>
        <v>1464</v>
      </c>
      <c r="B1474" s="144" t="s">
        <v>2106</v>
      </c>
      <c r="C1474" s="150" t="s">
        <v>2107</v>
      </c>
      <c r="D1474" s="156"/>
      <c r="E1474" s="156"/>
      <c r="F1474" s="156"/>
      <c r="G1474" s="142"/>
      <c r="H1474" s="141"/>
      <c r="I1474" s="202" t="s">
        <v>18</v>
      </c>
      <c r="J1474" s="153">
        <v>1</v>
      </c>
      <c r="K1474" s="142" t="s">
        <v>730</v>
      </c>
      <c r="L1474" s="168" t="s">
        <v>2522</v>
      </c>
      <c r="M1474" s="276" t="s">
        <v>3274</v>
      </c>
      <c r="N1474" s="142" t="s">
        <v>2612</v>
      </c>
      <c r="O1474" s="143"/>
      <c r="P1474" s="158"/>
      <c r="Q1474" s="158"/>
      <c r="R1474" s="153"/>
    </row>
    <row r="1475" spans="1:18" ht="35.25" customHeight="1">
      <c r="A1475" s="15">
        <f t="shared" si="22"/>
        <v>1465</v>
      </c>
      <c r="B1475" s="144" t="s">
        <v>2108</v>
      </c>
      <c r="C1475" s="150" t="s">
        <v>2109</v>
      </c>
      <c r="D1475" s="156"/>
      <c r="E1475" s="156"/>
      <c r="F1475" s="156"/>
      <c r="G1475" s="142"/>
      <c r="H1475" s="141"/>
      <c r="I1475" s="202" t="s">
        <v>18</v>
      </c>
      <c r="J1475" s="153">
        <v>1</v>
      </c>
      <c r="K1475" s="142" t="s">
        <v>730</v>
      </c>
      <c r="L1475" s="168" t="s">
        <v>2522</v>
      </c>
      <c r="M1475" s="276" t="s">
        <v>3274</v>
      </c>
      <c r="N1475" s="142" t="s">
        <v>2612</v>
      </c>
      <c r="O1475" s="143"/>
      <c r="P1475" s="158"/>
      <c r="Q1475" s="158"/>
      <c r="R1475" s="153"/>
    </row>
    <row r="1476" spans="1:18" ht="35.25" customHeight="1">
      <c r="A1476" s="15">
        <f t="shared" si="22"/>
        <v>1466</v>
      </c>
      <c r="B1476" s="144" t="s">
        <v>2110</v>
      </c>
      <c r="C1476" s="150" t="s">
        <v>1176</v>
      </c>
      <c r="D1476" s="156"/>
      <c r="E1476" s="156"/>
      <c r="F1476" s="156"/>
      <c r="G1476" s="142"/>
      <c r="H1476" s="141"/>
      <c r="I1476" s="202" t="s">
        <v>18</v>
      </c>
      <c r="J1476" s="153">
        <v>1</v>
      </c>
      <c r="K1476" s="142" t="s">
        <v>730</v>
      </c>
      <c r="L1476" s="168" t="s">
        <v>2522</v>
      </c>
      <c r="M1476" s="276" t="s">
        <v>3274</v>
      </c>
      <c r="N1476" s="142" t="s">
        <v>2612</v>
      </c>
      <c r="O1476" s="143"/>
      <c r="P1476" s="158"/>
      <c r="Q1476" s="158"/>
      <c r="R1476" s="153"/>
    </row>
    <row r="1477" spans="1:18" ht="35.25" customHeight="1">
      <c r="A1477" s="15">
        <f t="shared" si="22"/>
        <v>1467</v>
      </c>
      <c r="B1477" s="144" t="s">
        <v>2111</v>
      </c>
      <c r="C1477" s="150" t="s">
        <v>601</v>
      </c>
      <c r="D1477" s="156"/>
      <c r="E1477" s="156"/>
      <c r="F1477" s="156"/>
      <c r="G1477" s="142"/>
      <c r="H1477" s="141"/>
      <c r="I1477" s="202" t="s">
        <v>18</v>
      </c>
      <c r="J1477" s="153">
        <v>1</v>
      </c>
      <c r="K1477" s="142" t="s">
        <v>730</v>
      </c>
      <c r="L1477" s="168" t="s">
        <v>2522</v>
      </c>
      <c r="M1477" s="276" t="s">
        <v>3274</v>
      </c>
      <c r="N1477" s="142" t="s">
        <v>2612</v>
      </c>
      <c r="O1477" s="143"/>
      <c r="P1477" s="158"/>
      <c r="Q1477" s="158"/>
      <c r="R1477" s="153"/>
    </row>
    <row r="1478" spans="1:18" ht="35.25" customHeight="1">
      <c r="A1478" s="15">
        <f t="shared" si="22"/>
        <v>1468</v>
      </c>
      <c r="B1478" s="144" t="s">
        <v>2112</v>
      </c>
      <c r="C1478" s="150" t="s">
        <v>605</v>
      </c>
      <c r="D1478" s="156"/>
      <c r="E1478" s="156"/>
      <c r="F1478" s="156"/>
      <c r="G1478" s="142"/>
      <c r="H1478" s="141"/>
      <c r="I1478" s="202" t="s">
        <v>18</v>
      </c>
      <c r="J1478" s="153">
        <v>1</v>
      </c>
      <c r="K1478" s="142" t="s">
        <v>730</v>
      </c>
      <c r="L1478" s="168" t="s">
        <v>2522</v>
      </c>
      <c r="M1478" s="276" t="s">
        <v>3274</v>
      </c>
      <c r="N1478" s="142" t="s">
        <v>2612</v>
      </c>
      <c r="O1478" s="143"/>
      <c r="P1478" s="158"/>
      <c r="Q1478" s="158"/>
      <c r="R1478" s="153"/>
    </row>
    <row r="1479" spans="1:18" ht="35.25" customHeight="1">
      <c r="A1479" s="15">
        <f t="shared" si="22"/>
        <v>1469</v>
      </c>
      <c r="B1479" s="11" t="s">
        <v>2113</v>
      </c>
      <c r="C1479" s="64" t="s">
        <v>445</v>
      </c>
      <c r="D1479" s="156"/>
      <c r="E1479" s="156"/>
      <c r="F1479" s="156"/>
      <c r="G1479" s="142"/>
      <c r="H1479" s="141"/>
      <c r="I1479" s="202" t="s">
        <v>18</v>
      </c>
      <c r="J1479" s="192">
        <v>1</v>
      </c>
      <c r="K1479" s="142" t="s">
        <v>730</v>
      </c>
      <c r="L1479" s="168" t="s">
        <v>2522</v>
      </c>
      <c r="M1479" s="276" t="s">
        <v>3274</v>
      </c>
      <c r="N1479" s="142" t="s">
        <v>2612</v>
      </c>
      <c r="O1479" s="143"/>
      <c r="P1479" s="158"/>
      <c r="Q1479" s="158"/>
      <c r="R1479" s="397" t="s">
        <v>2672</v>
      </c>
    </row>
    <row r="1480" spans="1:18" ht="35.25" customHeight="1">
      <c r="A1480" s="15">
        <f t="shared" si="22"/>
        <v>1470</v>
      </c>
      <c r="B1480" s="176" t="s">
        <v>2114</v>
      </c>
      <c r="C1480" s="189" t="s">
        <v>570</v>
      </c>
      <c r="D1480" s="156"/>
      <c r="E1480" s="156"/>
      <c r="F1480" s="156"/>
      <c r="G1480" s="176" t="s">
        <v>2470</v>
      </c>
      <c r="H1480" s="141"/>
      <c r="I1480" s="186" t="s">
        <v>18</v>
      </c>
      <c r="J1480" s="186">
        <v>1</v>
      </c>
      <c r="K1480" s="142" t="s">
        <v>730</v>
      </c>
      <c r="L1480" s="181" t="s">
        <v>2522</v>
      </c>
      <c r="M1480" s="276" t="s">
        <v>3274</v>
      </c>
      <c r="N1480" s="142" t="s">
        <v>2612</v>
      </c>
      <c r="O1480" s="169"/>
      <c r="P1480" s="158"/>
      <c r="Q1480" s="158"/>
      <c r="R1480" s="397"/>
    </row>
    <row r="1481" spans="1:18" ht="35.25" customHeight="1">
      <c r="A1481" s="15">
        <f t="shared" si="22"/>
        <v>1471</v>
      </c>
      <c r="B1481" s="176" t="s">
        <v>2115</v>
      </c>
      <c r="C1481" s="189" t="s">
        <v>2116</v>
      </c>
      <c r="D1481" s="156"/>
      <c r="E1481" s="156"/>
      <c r="F1481" s="156"/>
      <c r="G1481" s="176"/>
      <c r="H1481" s="141"/>
      <c r="I1481" s="186" t="s">
        <v>18</v>
      </c>
      <c r="J1481" s="186">
        <v>1</v>
      </c>
      <c r="K1481" s="142" t="s">
        <v>730</v>
      </c>
      <c r="L1481" s="181" t="s">
        <v>2522</v>
      </c>
      <c r="M1481" s="276" t="s">
        <v>3274</v>
      </c>
      <c r="N1481" s="142" t="s">
        <v>2612</v>
      </c>
      <c r="O1481" s="266">
        <v>44985</v>
      </c>
      <c r="P1481" s="158"/>
      <c r="Q1481" s="158"/>
      <c r="R1481" s="143"/>
    </row>
    <row r="1482" spans="1:18" ht="35.25" customHeight="1">
      <c r="A1482" s="15">
        <f t="shared" si="22"/>
        <v>1472</v>
      </c>
      <c r="B1482" s="156" t="s">
        <v>2117</v>
      </c>
      <c r="C1482" s="169" t="s">
        <v>2118</v>
      </c>
      <c r="D1482" s="156"/>
      <c r="E1482" s="156"/>
      <c r="F1482" s="156"/>
      <c r="G1482" s="145" t="s">
        <v>2471</v>
      </c>
      <c r="H1482" s="141"/>
      <c r="I1482" s="186" t="s">
        <v>18</v>
      </c>
      <c r="J1482" s="158">
        <v>1</v>
      </c>
      <c r="K1482" s="142" t="s">
        <v>730</v>
      </c>
      <c r="L1482" s="181" t="s">
        <v>2522</v>
      </c>
      <c r="M1482" s="19"/>
      <c r="N1482" s="145" t="s">
        <v>2613</v>
      </c>
      <c r="O1482" s="177"/>
      <c r="P1482" s="158"/>
      <c r="Q1482" s="158"/>
      <c r="R1482" s="177" t="s">
        <v>2673</v>
      </c>
    </row>
    <row r="1483" spans="1:18" ht="35.25" customHeight="1">
      <c r="A1483" s="15">
        <f t="shared" si="22"/>
        <v>1473</v>
      </c>
      <c r="B1483" s="156" t="s">
        <v>2119</v>
      </c>
      <c r="C1483" s="169" t="s">
        <v>1176</v>
      </c>
      <c r="D1483" s="156"/>
      <c r="E1483" s="156"/>
      <c r="F1483" s="156"/>
      <c r="G1483" s="145"/>
      <c r="H1483" s="141"/>
      <c r="I1483" s="186" t="s">
        <v>18</v>
      </c>
      <c r="J1483" s="158">
        <v>1</v>
      </c>
      <c r="K1483" s="142" t="s">
        <v>730</v>
      </c>
      <c r="L1483" s="181" t="s">
        <v>2522</v>
      </c>
      <c r="M1483" s="19"/>
      <c r="N1483" s="145" t="s">
        <v>2613</v>
      </c>
      <c r="O1483" s="177"/>
      <c r="P1483" s="158"/>
      <c r="Q1483" s="158"/>
      <c r="R1483" s="158"/>
    </row>
    <row r="1484" spans="1:18" ht="35.25" customHeight="1">
      <c r="A1484" s="15">
        <f t="shared" si="22"/>
        <v>1474</v>
      </c>
      <c r="B1484" s="144" t="s">
        <v>2120</v>
      </c>
      <c r="C1484" s="150" t="s">
        <v>2109</v>
      </c>
      <c r="D1484" s="19"/>
      <c r="E1484" s="19"/>
      <c r="F1484" s="19"/>
      <c r="G1484" s="142" t="s">
        <v>2472</v>
      </c>
      <c r="H1484" s="141"/>
      <c r="I1484" s="202" t="s">
        <v>18</v>
      </c>
      <c r="J1484" s="153">
        <v>1</v>
      </c>
      <c r="K1484" s="142" t="s">
        <v>730</v>
      </c>
      <c r="L1484" s="168" t="s">
        <v>2522</v>
      </c>
      <c r="M1484" s="19"/>
      <c r="N1484" s="142" t="s">
        <v>2614</v>
      </c>
      <c r="O1484" s="143"/>
      <c r="P1484" s="158"/>
      <c r="Q1484" s="158"/>
      <c r="R1484" s="143"/>
    </row>
    <row r="1485" spans="1:18" ht="35.25" customHeight="1">
      <c r="A1485" s="15">
        <f t="shared" si="22"/>
        <v>1475</v>
      </c>
      <c r="B1485" s="144" t="s">
        <v>2121</v>
      </c>
      <c r="C1485" s="150" t="s">
        <v>1176</v>
      </c>
      <c r="D1485" s="19"/>
      <c r="E1485" s="19"/>
      <c r="F1485" s="19"/>
      <c r="G1485" s="142"/>
      <c r="H1485" s="141"/>
      <c r="I1485" s="202" t="s">
        <v>18</v>
      </c>
      <c r="J1485" s="153">
        <v>1</v>
      </c>
      <c r="K1485" s="142" t="s">
        <v>730</v>
      </c>
      <c r="L1485" s="168" t="s">
        <v>2522</v>
      </c>
      <c r="M1485" s="19"/>
      <c r="N1485" s="142" t="s">
        <v>2614</v>
      </c>
      <c r="O1485" s="143"/>
      <c r="P1485" s="43"/>
      <c r="Q1485" s="43"/>
      <c r="R1485" s="153"/>
    </row>
    <row r="1486" spans="1:18" ht="35.25" customHeight="1">
      <c r="A1486" s="15">
        <f t="shared" si="22"/>
        <v>1476</v>
      </c>
      <c r="B1486" s="144" t="s">
        <v>2122</v>
      </c>
      <c r="C1486" s="150" t="s">
        <v>601</v>
      </c>
      <c r="D1486" s="19"/>
      <c r="E1486" s="19"/>
      <c r="F1486" s="19"/>
      <c r="G1486" s="142"/>
      <c r="H1486" s="141"/>
      <c r="I1486" s="202" t="s">
        <v>18</v>
      </c>
      <c r="J1486" s="153">
        <v>1</v>
      </c>
      <c r="K1486" s="142" t="s">
        <v>730</v>
      </c>
      <c r="L1486" s="168" t="s">
        <v>2522</v>
      </c>
      <c r="M1486" s="19"/>
      <c r="N1486" s="142" t="s">
        <v>2614</v>
      </c>
      <c r="O1486" s="143"/>
      <c r="P1486" s="43"/>
      <c r="Q1486" s="43"/>
      <c r="R1486" s="153"/>
    </row>
    <row r="1487" spans="1:18" ht="35.25" customHeight="1">
      <c r="A1487" s="15">
        <f t="shared" si="22"/>
        <v>1477</v>
      </c>
      <c r="B1487" s="144" t="s">
        <v>2123</v>
      </c>
      <c r="C1487" s="150" t="s">
        <v>2109</v>
      </c>
      <c r="D1487" s="19"/>
      <c r="E1487" s="19"/>
      <c r="F1487" s="19"/>
      <c r="G1487" s="142" t="s">
        <v>2473</v>
      </c>
      <c r="H1487" s="141"/>
      <c r="I1487" s="202" t="s">
        <v>18</v>
      </c>
      <c r="J1487" s="153">
        <v>1</v>
      </c>
      <c r="K1487" s="142" t="s">
        <v>730</v>
      </c>
      <c r="L1487" s="168" t="s">
        <v>2522</v>
      </c>
      <c r="M1487" s="19"/>
      <c r="N1487" s="142" t="s">
        <v>2615</v>
      </c>
      <c r="O1487" s="143"/>
      <c r="P1487" s="43"/>
      <c r="Q1487" s="43"/>
      <c r="R1487" s="153"/>
    </row>
    <row r="1488" spans="1:18" ht="35.25" customHeight="1">
      <c r="A1488" s="15">
        <f t="shared" si="22"/>
        <v>1478</v>
      </c>
      <c r="B1488" s="144" t="s">
        <v>2124</v>
      </c>
      <c r="C1488" s="150" t="s">
        <v>1176</v>
      </c>
      <c r="D1488" s="19"/>
      <c r="E1488" s="19"/>
      <c r="F1488" s="19"/>
      <c r="G1488" s="142" t="s">
        <v>2474</v>
      </c>
      <c r="H1488" s="141"/>
      <c r="I1488" s="202" t="s">
        <v>18</v>
      </c>
      <c r="J1488" s="153">
        <v>1</v>
      </c>
      <c r="K1488" s="142" t="s">
        <v>730</v>
      </c>
      <c r="L1488" s="168" t="s">
        <v>2522</v>
      </c>
      <c r="M1488" s="19"/>
      <c r="N1488" s="142" t="s">
        <v>2615</v>
      </c>
      <c r="O1488" s="143"/>
      <c r="P1488" s="43"/>
      <c r="Q1488" s="43"/>
      <c r="R1488" s="153"/>
    </row>
    <row r="1489" spans="1:18" ht="35.25" customHeight="1">
      <c r="A1489" s="15">
        <f t="shared" si="22"/>
        <v>1479</v>
      </c>
      <c r="B1489" s="144" t="s">
        <v>2125</v>
      </c>
      <c r="C1489" s="150" t="s">
        <v>2126</v>
      </c>
      <c r="D1489" s="19"/>
      <c r="E1489" s="19"/>
      <c r="F1489" s="19"/>
      <c r="G1489" s="142"/>
      <c r="H1489" s="141"/>
      <c r="I1489" s="202" t="s">
        <v>18</v>
      </c>
      <c r="J1489" s="153">
        <v>1</v>
      </c>
      <c r="K1489" s="142" t="s">
        <v>730</v>
      </c>
      <c r="L1489" s="168" t="s">
        <v>2522</v>
      </c>
      <c r="M1489" s="276" t="s">
        <v>3269</v>
      </c>
      <c r="N1489" s="142" t="s">
        <v>2616</v>
      </c>
      <c r="O1489" s="143"/>
      <c r="P1489" s="43"/>
      <c r="Q1489" s="43"/>
      <c r="R1489" s="153"/>
    </row>
    <row r="1490" spans="1:18" ht="35.25" customHeight="1">
      <c r="A1490" s="15">
        <f t="shared" si="22"/>
        <v>1480</v>
      </c>
      <c r="B1490" s="144" t="s">
        <v>2127</v>
      </c>
      <c r="C1490" s="154" t="s">
        <v>2128</v>
      </c>
      <c r="D1490" s="19"/>
      <c r="E1490" s="19"/>
      <c r="F1490" s="19"/>
      <c r="G1490" s="142"/>
      <c r="H1490" s="141"/>
      <c r="I1490" s="202" t="s">
        <v>18</v>
      </c>
      <c r="J1490" s="153">
        <v>1</v>
      </c>
      <c r="K1490" s="142" t="s">
        <v>730</v>
      </c>
      <c r="L1490" s="168" t="s">
        <v>2522</v>
      </c>
      <c r="M1490" s="276" t="s">
        <v>3269</v>
      </c>
      <c r="N1490" s="142" t="s">
        <v>2616</v>
      </c>
      <c r="O1490" s="143"/>
      <c r="P1490" s="43"/>
      <c r="Q1490" s="43"/>
      <c r="R1490" s="153"/>
    </row>
    <row r="1491" spans="1:18" ht="35.25" customHeight="1">
      <c r="A1491" s="15">
        <f t="shared" ref="A1491:A1554" si="23">A1490+1</f>
        <v>1481</v>
      </c>
      <c r="B1491" s="144" t="s">
        <v>2129</v>
      </c>
      <c r="C1491" s="154" t="s">
        <v>2130</v>
      </c>
      <c r="D1491" s="19"/>
      <c r="E1491" s="19"/>
      <c r="F1491" s="19"/>
      <c r="G1491" s="142"/>
      <c r="H1491" s="141"/>
      <c r="I1491" s="202" t="s">
        <v>18</v>
      </c>
      <c r="J1491" s="153">
        <v>1</v>
      </c>
      <c r="K1491" s="142" t="s">
        <v>730</v>
      </c>
      <c r="L1491" s="168" t="s">
        <v>2522</v>
      </c>
      <c r="M1491" s="276" t="s">
        <v>3269</v>
      </c>
      <c r="N1491" s="142" t="s">
        <v>2616</v>
      </c>
      <c r="O1491" s="268">
        <v>44972</v>
      </c>
      <c r="P1491" s="43"/>
      <c r="Q1491" s="43"/>
      <c r="R1491" s="153"/>
    </row>
    <row r="1492" spans="1:18" ht="35.25" customHeight="1">
      <c r="A1492" s="15">
        <f t="shared" si="23"/>
        <v>1482</v>
      </c>
      <c r="B1492" s="144" t="s">
        <v>2131</v>
      </c>
      <c r="C1492" s="154" t="s">
        <v>2132</v>
      </c>
      <c r="D1492" s="19"/>
      <c r="E1492" s="19"/>
      <c r="F1492" s="19"/>
      <c r="G1492" s="142"/>
      <c r="H1492" s="141"/>
      <c r="I1492" s="202" t="s">
        <v>181</v>
      </c>
      <c r="J1492" s="153">
        <v>1</v>
      </c>
      <c r="K1492" s="142" t="s">
        <v>730</v>
      </c>
      <c r="L1492" s="168" t="s">
        <v>2522</v>
      </c>
      <c r="M1492" s="276" t="s">
        <v>3269</v>
      </c>
      <c r="N1492" s="142" t="s">
        <v>2616</v>
      </c>
      <c r="O1492" s="268">
        <v>44972</v>
      </c>
      <c r="P1492" s="43"/>
      <c r="Q1492" s="43"/>
      <c r="R1492" s="153"/>
    </row>
    <row r="1493" spans="1:18" ht="35.25" customHeight="1">
      <c r="A1493" s="15">
        <f t="shared" si="23"/>
        <v>1483</v>
      </c>
      <c r="B1493" s="141" t="s">
        <v>2133</v>
      </c>
      <c r="C1493" s="154" t="s">
        <v>1403</v>
      </c>
      <c r="D1493" s="19"/>
      <c r="E1493" s="19"/>
      <c r="F1493" s="19"/>
      <c r="G1493" s="142"/>
      <c r="H1493" s="141"/>
      <c r="I1493" s="202" t="s">
        <v>18</v>
      </c>
      <c r="J1493" s="153">
        <v>1</v>
      </c>
      <c r="K1493" s="142" t="s">
        <v>730</v>
      </c>
      <c r="L1493" s="168" t="s">
        <v>2522</v>
      </c>
      <c r="M1493" s="276" t="s">
        <v>3269</v>
      </c>
      <c r="N1493" s="142" t="s">
        <v>2616</v>
      </c>
      <c r="O1493" s="268">
        <v>44972</v>
      </c>
      <c r="P1493" s="43"/>
      <c r="Q1493" s="43"/>
      <c r="R1493" s="153"/>
    </row>
    <row r="1494" spans="1:18" ht="35.25" customHeight="1">
      <c r="A1494" s="15">
        <f t="shared" si="23"/>
        <v>1484</v>
      </c>
      <c r="B1494" s="144" t="s">
        <v>2134</v>
      </c>
      <c r="C1494" s="150" t="s">
        <v>1110</v>
      </c>
      <c r="D1494" s="19"/>
      <c r="E1494" s="19"/>
      <c r="F1494" s="19"/>
      <c r="G1494" s="142" t="s">
        <v>2475</v>
      </c>
      <c r="H1494" s="141"/>
      <c r="I1494" s="202" t="s">
        <v>18</v>
      </c>
      <c r="J1494" s="153">
        <v>1</v>
      </c>
      <c r="K1494" s="142" t="s">
        <v>730</v>
      </c>
      <c r="L1494" s="168" t="s">
        <v>2522</v>
      </c>
      <c r="M1494" s="276" t="s">
        <v>3256</v>
      </c>
      <c r="N1494" s="142" t="s">
        <v>2617</v>
      </c>
      <c r="O1494" s="143"/>
      <c r="P1494" s="43"/>
      <c r="Q1494" s="43"/>
      <c r="R1494" s="153"/>
    </row>
    <row r="1495" spans="1:18" ht="35.25" customHeight="1">
      <c r="A1495" s="15">
        <f t="shared" si="23"/>
        <v>1485</v>
      </c>
      <c r="B1495" s="150" t="s">
        <v>2135</v>
      </c>
      <c r="C1495" s="150" t="s">
        <v>2136</v>
      </c>
      <c r="D1495" s="19"/>
      <c r="E1495" s="19"/>
      <c r="F1495" s="19"/>
      <c r="G1495" s="149"/>
      <c r="H1495" s="141"/>
      <c r="I1495" s="202" t="s">
        <v>18</v>
      </c>
      <c r="J1495" s="153">
        <v>1</v>
      </c>
      <c r="K1495" s="142" t="s">
        <v>730</v>
      </c>
      <c r="L1495" s="168" t="s">
        <v>2522</v>
      </c>
      <c r="M1495" s="276" t="s">
        <v>3256</v>
      </c>
      <c r="N1495" s="142" t="s">
        <v>2617</v>
      </c>
      <c r="O1495" s="143"/>
      <c r="P1495" s="43"/>
      <c r="Q1495" s="43"/>
      <c r="R1495" s="153"/>
    </row>
    <row r="1496" spans="1:18" ht="35.25" customHeight="1">
      <c r="A1496" s="15">
        <f t="shared" si="23"/>
        <v>1486</v>
      </c>
      <c r="B1496" s="144" t="s">
        <v>2137</v>
      </c>
      <c r="C1496" s="150" t="s">
        <v>2138</v>
      </c>
      <c r="D1496" s="19"/>
      <c r="E1496" s="19"/>
      <c r="F1496" s="19"/>
      <c r="G1496" s="142" t="s">
        <v>2476</v>
      </c>
      <c r="H1496" s="141"/>
      <c r="I1496" s="202" t="s">
        <v>18</v>
      </c>
      <c r="J1496" s="153">
        <v>1</v>
      </c>
      <c r="K1496" s="142" t="s">
        <v>730</v>
      </c>
      <c r="L1496" s="168" t="s">
        <v>2522</v>
      </c>
      <c r="M1496" s="276" t="s">
        <v>3256</v>
      </c>
      <c r="N1496" s="142" t="s">
        <v>2617</v>
      </c>
      <c r="O1496" s="143"/>
      <c r="P1496" s="43"/>
      <c r="Q1496" s="43"/>
      <c r="R1496" s="153"/>
    </row>
    <row r="1497" spans="1:18" ht="35.25" customHeight="1">
      <c r="A1497" s="15">
        <f t="shared" si="23"/>
        <v>1487</v>
      </c>
      <c r="B1497" s="144" t="s">
        <v>2139</v>
      </c>
      <c r="C1497" s="150" t="s">
        <v>2140</v>
      </c>
      <c r="D1497" s="19"/>
      <c r="E1497" s="19"/>
      <c r="F1497" s="19"/>
      <c r="G1497" s="149" t="s">
        <v>2477</v>
      </c>
      <c r="H1497" s="141"/>
      <c r="I1497" s="202" t="s">
        <v>18</v>
      </c>
      <c r="J1497" s="153">
        <v>1</v>
      </c>
      <c r="K1497" s="142" t="s">
        <v>730</v>
      </c>
      <c r="L1497" s="168" t="s">
        <v>2522</v>
      </c>
      <c r="M1497" s="276" t="s">
        <v>3256</v>
      </c>
      <c r="N1497" s="142" t="s">
        <v>2617</v>
      </c>
      <c r="O1497" s="143"/>
      <c r="P1497" s="43"/>
      <c r="Q1497" s="43"/>
      <c r="R1497" s="153"/>
    </row>
    <row r="1498" spans="1:18" ht="35.25" customHeight="1">
      <c r="A1498" s="15">
        <f t="shared" si="23"/>
        <v>1488</v>
      </c>
      <c r="B1498" s="191" t="s">
        <v>2141</v>
      </c>
      <c r="C1498" s="191" t="s">
        <v>575</v>
      </c>
      <c r="D1498" s="19"/>
      <c r="E1498" s="19"/>
      <c r="F1498" s="19"/>
      <c r="G1498" s="172"/>
      <c r="H1498" s="141"/>
      <c r="I1498" s="202" t="s">
        <v>18</v>
      </c>
      <c r="J1498" s="192">
        <v>1</v>
      </c>
      <c r="K1498" s="142" t="s">
        <v>730</v>
      </c>
      <c r="L1498" s="168" t="s">
        <v>2522</v>
      </c>
      <c r="M1498" s="276" t="s">
        <v>3256</v>
      </c>
      <c r="N1498" s="142" t="s">
        <v>2617</v>
      </c>
      <c r="O1498" s="192"/>
      <c r="P1498" s="43"/>
      <c r="Q1498" s="43"/>
      <c r="R1498" s="192"/>
    </row>
    <row r="1499" spans="1:18" ht="35.25" customHeight="1">
      <c r="A1499" s="15">
        <f t="shared" si="23"/>
        <v>1489</v>
      </c>
      <c r="B1499" s="191" t="s">
        <v>2142</v>
      </c>
      <c r="C1499" s="191" t="s">
        <v>115</v>
      </c>
      <c r="D1499" s="19"/>
      <c r="E1499" s="19"/>
      <c r="F1499" s="19"/>
      <c r="G1499" s="172"/>
      <c r="H1499" s="141"/>
      <c r="I1499" s="202" t="s">
        <v>18</v>
      </c>
      <c r="J1499" s="192">
        <v>1</v>
      </c>
      <c r="K1499" s="142" t="s">
        <v>730</v>
      </c>
      <c r="L1499" s="168" t="s">
        <v>2522</v>
      </c>
      <c r="M1499" s="276" t="s">
        <v>3256</v>
      </c>
      <c r="N1499" s="142" t="s">
        <v>2617</v>
      </c>
      <c r="O1499" s="192"/>
      <c r="P1499" s="43"/>
      <c r="Q1499" s="43"/>
      <c r="R1499" s="192"/>
    </row>
    <row r="1500" spans="1:18" ht="35.25" customHeight="1">
      <c r="A1500" s="15">
        <f t="shared" si="23"/>
        <v>1490</v>
      </c>
      <c r="B1500" s="191" t="s">
        <v>2143</v>
      </c>
      <c r="C1500" s="191" t="s">
        <v>2101</v>
      </c>
      <c r="D1500" s="19"/>
      <c r="E1500" s="19"/>
      <c r="F1500" s="19"/>
      <c r="G1500" s="172"/>
      <c r="H1500" s="141"/>
      <c r="I1500" s="202" t="s">
        <v>18</v>
      </c>
      <c r="J1500" s="192">
        <v>1</v>
      </c>
      <c r="K1500" s="142" t="s">
        <v>730</v>
      </c>
      <c r="L1500" s="168" t="s">
        <v>2522</v>
      </c>
      <c r="M1500" s="276" t="s">
        <v>3256</v>
      </c>
      <c r="N1500" s="142" t="s">
        <v>2617</v>
      </c>
      <c r="O1500" s="143"/>
      <c r="P1500" s="43"/>
      <c r="Q1500" s="43"/>
      <c r="R1500" s="153"/>
    </row>
    <row r="1501" spans="1:18" ht="35.25" customHeight="1">
      <c r="A1501" s="15">
        <f t="shared" si="23"/>
        <v>1491</v>
      </c>
      <c r="B1501" s="144" t="s">
        <v>2144</v>
      </c>
      <c r="C1501" s="250" t="s">
        <v>1176</v>
      </c>
      <c r="D1501" s="19"/>
      <c r="E1501" s="19"/>
      <c r="F1501" s="19"/>
      <c r="G1501" s="142"/>
      <c r="H1501" s="141"/>
      <c r="I1501" s="202" t="s">
        <v>18</v>
      </c>
      <c r="J1501" s="192">
        <v>1</v>
      </c>
      <c r="K1501" s="142" t="s">
        <v>730</v>
      </c>
      <c r="L1501" s="168" t="s">
        <v>2522</v>
      </c>
      <c r="M1501" s="276" t="s">
        <v>3256</v>
      </c>
      <c r="N1501" s="142" t="s">
        <v>2617</v>
      </c>
      <c r="O1501" s="143"/>
      <c r="P1501" s="43"/>
      <c r="Q1501" s="43"/>
      <c r="R1501" s="153"/>
    </row>
    <row r="1502" spans="1:18" ht="35.25" customHeight="1">
      <c r="A1502" s="15">
        <f t="shared" si="23"/>
        <v>1492</v>
      </c>
      <c r="B1502" s="176" t="s">
        <v>2145</v>
      </c>
      <c r="C1502" s="189" t="s">
        <v>1646</v>
      </c>
      <c r="D1502" s="19"/>
      <c r="E1502" s="19"/>
      <c r="F1502" s="19"/>
      <c r="G1502" s="145" t="s">
        <v>2472</v>
      </c>
      <c r="H1502" s="141"/>
      <c r="I1502" s="186" t="s">
        <v>18</v>
      </c>
      <c r="J1502" s="186">
        <v>1</v>
      </c>
      <c r="K1502" s="142" t="s">
        <v>730</v>
      </c>
      <c r="L1502" s="181" t="s">
        <v>2522</v>
      </c>
      <c r="M1502" s="276" t="s">
        <v>3266</v>
      </c>
      <c r="N1502" s="181" t="s">
        <v>2618</v>
      </c>
      <c r="O1502" s="177"/>
      <c r="P1502" s="43"/>
      <c r="Q1502" s="43"/>
      <c r="R1502" s="158"/>
    </row>
    <row r="1503" spans="1:18" ht="35.25" customHeight="1">
      <c r="A1503" s="15">
        <f t="shared" si="23"/>
        <v>1493</v>
      </c>
      <c r="B1503" s="176" t="s">
        <v>2146</v>
      </c>
      <c r="C1503" s="189" t="s">
        <v>1339</v>
      </c>
      <c r="D1503" s="19"/>
      <c r="E1503" s="19"/>
      <c r="F1503" s="19"/>
      <c r="G1503" s="181"/>
      <c r="H1503" s="141"/>
      <c r="I1503" s="186" t="s">
        <v>18</v>
      </c>
      <c r="J1503" s="186">
        <v>1</v>
      </c>
      <c r="K1503" s="142" t="s">
        <v>730</v>
      </c>
      <c r="L1503" s="181" t="s">
        <v>2522</v>
      </c>
      <c r="M1503" s="276" t="s">
        <v>3266</v>
      </c>
      <c r="N1503" s="181" t="s">
        <v>2618</v>
      </c>
      <c r="O1503" s="177"/>
      <c r="P1503" s="43"/>
      <c r="Q1503" s="43"/>
      <c r="R1503" s="158"/>
    </row>
    <row r="1504" spans="1:18" ht="35.25" customHeight="1">
      <c r="A1504" s="15">
        <f t="shared" si="23"/>
        <v>1494</v>
      </c>
      <c r="B1504" s="156" t="s">
        <v>2147</v>
      </c>
      <c r="C1504" s="169" t="s">
        <v>633</v>
      </c>
      <c r="D1504" s="19"/>
      <c r="E1504" s="19"/>
      <c r="F1504" s="19"/>
      <c r="G1504" s="145" t="s">
        <v>2478</v>
      </c>
      <c r="H1504" s="141"/>
      <c r="I1504" s="186" t="s">
        <v>18</v>
      </c>
      <c r="J1504" s="158">
        <v>1</v>
      </c>
      <c r="K1504" s="142" t="s">
        <v>730</v>
      </c>
      <c r="L1504" s="181" t="s">
        <v>2522</v>
      </c>
      <c r="M1504" s="19"/>
      <c r="N1504" s="145" t="s">
        <v>2619</v>
      </c>
      <c r="O1504" s="177"/>
      <c r="P1504" s="43"/>
      <c r="Q1504" s="43"/>
      <c r="R1504" s="158"/>
    </row>
    <row r="1505" spans="1:18" ht="35.25" customHeight="1">
      <c r="A1505" s="15">
        <f t="shared" si="23"/>
        <v>1495</v>
      </c>
      <c r="B1505" s="156" t="s">
        <v>2148</v>
      </c>
      <c r="C1505" s="169" t="s">
        <v>1339</v>
      </c>
      <c r="D1505" s="19"/>
      <c r="E1505" s="19"/>
      <c r="F1505" s="19"/>
      <c r="G1505" s="145"/>
      <c r="H1505" s="141"/>
      <c r="I1505" s="186" t="s">
        <v>18</v>
      </c>
      <c r="J1505" s="158">
        <v>1</v>
      </c>
      <c r="K1505" s="142" t="s">
        <v>730</v>
      </c>
      <c r="L1505" s="181" t="s">
        <v>2522</v>
      </c>
      <c r="M1505" s="19"/>
      <c r="N1505" s="145" t="s">
        <v>2619</v>
      </c>
      <c r="O1505" s="177"/>
      <c r="P1505" s="43"/>
      <c r="Q1505" s="43"/>
      <c r="R1505" s="158"/>
    </row>
    <row r="1506" spans="1:18" ht="35.25" customHeight="1">
      <c r="A1506" s="15">
        <f t="shared" si="23"/>
        <v>1496</v>
      </c>
      <c r="B1506" s="156" t="s">
        <v>2149</v>
      </c>
      <c r="C1506" s="169" t="s">
        <v>620</v>
      </c>
      <c r="D1506" s="19"/>
      <c r="E1506" s="19"/>
      <c r="F1506" s="19"/>
      <c r="G1506" s="145" t="s">
        <v>2479</v>
      </c>
      <c r="H1506" s="141"/>
      <c r="I1506" s="186" t="s">
        <v>18</v>
      </c>
      <c r="J1506" s="158">
        <v>1</v>
      </c>
      <c r="K1506" s="142" t="s">
        <v>730</v>
      </c>
      <c r="L1506" s="181" t="s">
        <v>2522</v>
      </c>
      <c r="M1506" s="19"/>
      <c r="N1506" s="145" t="s">
        <v>2620</v>
      </c>
      <c r="O1506" s="177"/>
      <c r="P1506" s="43"/>
      <c r="Q1506" s="43"/>
      <c r="R1506" s="158"/>
    </row>
    <row r="1507" spans="1:18" ht="35.25" customHeight="1">
      <c r="A1507" s="15">
        <f t="shared" si="23"/>
        <v>1497</v>
      </c>
      <c r="B1507" s="156" t="s">
        <v>2150</v>
      </c>
      <c r="C1507" s="169" t="s">
        <v>1339</v>
      </c>
      <c r="D1507" s="19"/>
      <c r="E1507" s="19"/>
      <c r="F1507" s="19"/>
      <c r="G1507" s="145" t="s">
        <v>2480</v>
      </c>
      <c r="H1507" s="141"/>
      <c r="I1507" s="186" t="s">
        <v>18</v>
      </c>
      <c r="J1507" s="158">
        <v>1</v>
      </c>
      <c r="K1507" s="142" t="s">
        <v>730</v>
      </c>
      <c r="L1507" s="181" t="s">
        <v>2522</v>
      </c>
      <c r="M1507" s="19"/>
      <c r="N1507" s="145" t="s">
        <v>2620</v>
      </c>
      <c r="O1507" s="177"/>
      <c r="P1507" s="43"/>
      <c r="Q1507" s="43"/>
      <c r="R1507" s="158"/>
    </row>
    <row r="1508" spans="1:18" ht="35.25" customHeight="1">
      <c r="A1508" s="15">
        <f t="shared" si="23"/>
        <v>1498</v>
      </c>
      <c r="B1508" s="156" t="s">
        <v>2151</v>
      </c>
      <c r="C1508" s="169" t="s">
        <v>2077</v>
      </c>
      <c r="D1508" s="19"/>
      <c r="E1508" s="19"/>
      <c r="F1508" s="19"/>
      <c r="G1508" s="145" t="s">
        <v>2400</v>
      </c>
      <c r="H1508" s="141"/>
      <c r="I1508" s="186" t="s">
        <v>18</v>
      </c>
      <c r="J1508" s="158">
        <v>1</v>
      </c>
      <c r="K1508" s="142" t="s">
        <v>730</v>
      </c>
      <c r="L1508" s="181" t="s">
        <v>2522</v>
      </c>
      <c r="M1508" s="19"/>
      <c r="N1508" s="145" t="s">
        <v>2620</v>
      </c>
      <c r="O1508" s="177"/>
      <c r="P1508" s="43"/>
      <c r="Q1508" s="43"/>
      <c r="R1508" s="158"/>
    </row>
    <row r="1509" spans="1:18" ht="35.25" customHeight="1">
      <c r="A1509" s="15">
        <f t="shared" si="23"/>
        <v>1499</v>
      </c>
      <c r="B1509" s="156" t="s">
        <v>2152</v>
      </c>
      <c r="C1509" s="189" t="s">
        <v>2153</v>
      </c>
      <c r="D1509" s="19"/>
      <c r="E1509" s="19"/>
      <c r="F1509" s="19"/>
      <c r="G1509" s="145" t="s">
        <v>2481</v>
      </c>
      <c r="H1509" s="141"/>
      <c r="I1509" s="186" t="s">
        <v>18</v>
      </c>
      <c r="J1509" s="186">
        <v>1</v>
      </c>
      <c r="K1509" s="142" t="s">
        <v>730</v>
      </c>
      <c r="L1509" s="181" t="s">
        <v>2522</v>
      </c>
      <c r="M1509" s="19"/>
      <c r="N1509" s="145" t="s">
        <v>2620</v>
      </c>
      <c r="O1509" s="177"/>
      <c r="P1509" s="43"/>
      <c r="Q1509" s="43"/>
      <c r="R1509" s="158"/>
    </row>
    <row r="1510" spans="1:18" ht="35.25" customHeight="1">
      <c r="A1510" s="15">
        <f t="shared" si="23"/>
        <v>1500</v>
      </c>
      <c r="B1510" s="156" t="s">
        <v>2154</v>
      </c>
      <c r="C1510" s="189" t="s">
        <v>641</v>
      </c>
      <c r="D1510" s="19"/>
      <c r="E1510" s="19"/>
      <c r="F1510" s="19"/>
      <c r="G1510" s="145">
        <v>965780169</v>
      </c>
      <c r="H1510" s="141"/>
      <c r="I1510" s="186" t="s">
        <v>18</v>
      </c>
      <c r="J1510" s="186">
        <v>1</v>
      </c>
      <c r="K1510" s="142" t="s">
        <v>730</v>
      </c>
      <c r="L1510" s="181" t="s">
        <v>2522</v>
      </c>
      <c r="M1510" s="19"/>
      <c r="N1510" s="145" t="s">
        <v>2620</v>
      </c>
      <c r="O1510" s="177"/>
      <c r="P1510" s="43"/>
      <c r="Q1510" s="43"/>
      <c r="R1510" s="158"/>
    </row>
    <row r="1511" spans="1:18" ht="35.25" customHeight="1">
      <c r="A1511" s="15">
        <f t="shared" si="23"/>
        <v>1501</v>
      </c>
      <c r="B1511" s="144" t="s">
        <v>2155</v>
      </c>
      <c r="C1511" s="150" t="s">
        <v>2156</v>
      </c>
      <c r="D1511" s="19"/>
      <c r="E1511" s="19"/>
      <c r="F1511" s="19"/>
      <c r="G1511" s="183" t="s">
        <v>2455</v>
      </c>
      <c r="H1511" s="141"/>
      <c r="I1511" s="202" t="s">
        <v>18</v>
      </c>
      <c r="J1511" s="153">
        <v>1</v>
      </c>
      <c r="K1511" s="142" t="s">
        <v>730</v>
      </c>
      <c r="L1511" s="168" t="s">
        <v>2522</v>
      </c>
      <c r="M1511" s="19"/>
      <c r="N1511" s="142" t="s">
        <v>2621</v>
      </c>
      <c r="O1511" s="143"/>
      <c r="P1511" s="43"/>
      <c r="Q1511" s="43"/>
      <c r="R1511" s="153"/>
    </row>
    <row r="1512" spans="1:18" ht="35.25" customHeight="1">
      <c r="A1512" s="15">
        <f t="shared" si="23"/>
        <v>1502</v>
      </c>
      <c r="B1512" s="144" t="s">
        <v>2157</v>
      </c>
      <c r="C1512" s="150" t="s">
        <v>1339</v>
      </c>
      <c r="D1512" s="19"/>
      <c r="E1512" s="19"/>
      <c r="F1512" s="19"/>
      <c r="G1512" s="142"/>
      <c r="H1512" s="141"/>
      <c r="I1512" s="202" t="s">
        <v>18</v>
      </c>
      <c r="J1512" s="153">
        <v>1</v>
      </c>
      <c r="K1512" s="142" t="s">
        <v>730</v>
      </c>
      <c r="L1512" s="168" t="s">
        <v>2522</v>
      </c>
      <c r="M1512" s="19"/>
      <c r="N1512" s="142" t="s">
        <v>2621</v>
      </c>
      <c r="O1512" s="143"/>
      <c r="P1512" s="43"/>
      <c r="Q1512" s="43"/>
      <c r="R1512" s="153"/>
    </row>
    <row r="1513" spans="1:18" ht="35.25" customHeight="1">
      <c r="A1513" s="15">
        <f t="shared" si="23"/>
        <v>1503</v>
      </c>
      <c r="B1513" s="144" t="s">
        <v>2158</v>
      </c>
      <c r="C1513" s="150" t="s">
        <v>2077</v>
      </c>
      <c r="D1513" s="19"/>
      <c r="E1513" s="19"/>
      <c r="F1513" s="19"/>
      <c r="G1513" s="142" t="s">
        <v>2371</v>
      </c>
      <c r="H1513" s="141"/>
      <c r="I1513" s="202" t="s">
        <v>18</v>
      </c>
      <c r="J1513" s="153">
        <v>1</v>
      </c>
      <c r="K1513" s="142" t="s">
        <v>730</v>
      </c>
      <c r="L1513" s="168" t="s">
        <v>2522</v>
      </c>
      <c r="M1513" s="19"/>
      <c r="N1513" s="142" t="s">
        <v>2621</v>
      </c>
      <c r="O1513" s="143"/>
      <c r="P1513" s="43"/>
      <c r="Q1513" s="43"/>
      <c r="R1513" s="153"/>
    </row>
    <row r="1514" spans="1:18" ht="35.25" customHeight="1">
      <c r="A1514" s="15">
        <f t="shared" si="23"/>
        <v>1504</v>
      </c>
      <c r="B1514" s="144" t="s">
        <v>2159</v>
      </c>
      <c r="C1514" s="150" t="s">
        <v>605</v>
      </c>
      <c r="D1514" s="19"/>
      <c r="E1514" s="19"/>
      <c r="F1514" s="19"/>
      <c r="G1514" s="142"/>
      <c r="H1514" s="141"/>
      <c r="I1514" s="202" t="s">
        <v>18</v>
      </c>
      <c r="J1514" s="153">
        <v>1</v>
      </c>
      <c r="K1514" s="142" t="s">
        <v>730</v>
      </c>
      <c r="L1514" s="168" t="s">
        <v>2522</v>
      </c>
      <c r="M1514" s="19"/>
      <c r="N1514" s="142" t="s">
        <v>2621</v>
      </c>
      <c r="O1514" s="143"/>
      <c r="P1514" s="43"/>
      <c r="Q1514" s="43"/>
      <c r="R1514" s="153"/>
    </row>
    <row r="1515" spans="1:18" ht="35.25" customHeight="1">
      <c r="A1515" s="15">
        <f t="shared" si="23"/>
        <v>1505</v>
      </c>
      <c r="B1515" s="144" t="s">
        <v>2160</v>
      </c>
      <c r="C1515" s="150" t="s">
        <v>601</v>
      </c>
      <c r="D1515" s="19"/>
      <c r="E1515" s="19"/>
      <c r="F1515" s="19"/>
      <c r="G1515" s="142"/>
      <c r="H1515" s="141"/>
      <c r="I1515" s="202" t="s">
        <v>18</v>
      </c>
      <c r="J1515" s="153">
        <v>1</v>
      </c>
      <c r="K1515" s="142" t="s">
        <v>730</v>
      </c>
      <c r="L1515" s="168" t="s">
        <v>2522</v>
      </c>
      <c r="M1515" s="19"/>
      <c r="N1515" s="142" t="s">
        <v>2621</v>
      </c>
      <c r="O1515" s="143"/>
      <c r="P1515" s="43"/>
      <c r="Q1515" s="43"/>
      <c r="R1515" s="153"/>
    </row>
    <row r="1516" spans="1:18" ht="35.25" customHeight="1">
      <c r="A1516" s="15">
        <f t="shared" si="23"/>
        <v>1506</v>
      </c>
      <c r="B1516" s="150" t="s">
        <v>2161</v>
      </c>
      <c r="C1516" s="150" t="s">
        <v>2162</v>
      </c>
      <c r="D1516" s="19"/>
      <c r="E1516" s="19"/>
      <c r="F1516" s="19"/>
      <c r="G1516" s="142"/>
      <c r="H1516" s="141"/>
      <c r="I1516" s="202" t="s">
        <v>18</v>
      </c>
      <c r="J1516" s="153">
        <v>1</v>
      </c>
      <c r="K1516" s="142" t="s">
        <v>730</v>
      </c>
      <c r="L1516" s="168" t="s">
        <v>2522</v>
      </c>
      <c r="M1516" s="19"/>
      <c r="N1516" s="142" t="s">
        <v>2621</v>
      </c>
      <c r="O1516" s="143"/>
      <c r="P1516" s="43"/>
      <c r="Q1516" s="43"/>
      <c r="R1516" s="153"/>
    </row>
    <row r="1517" spans="1:18" ht="35.25" customHeight="1">
      <c r="A1517" s="15">
        <f t="shared" si="23"/>
        <v>1507</v>
      </c>
      <c r="B1517" s="144" t="s">
        <v>2163</v>
      </c>
      <c r="C1517" s="150" t="s">
        <v>633</v>
      </c>
      <c r="D1517" s="19"/>
      <c r="E1517" s="19"/>
      <c r="F1517" s="19"/>
      <c r="G1517" s="142" t="s">
        <v>2334</v>
      </c>
      <c r="H1517" s="141"/>
      <c r="I1517" s="202" t="s">
        <v>18</v>
      </c>
      <c r="J1517" s="153">
        <v>1</v>
      </c>
      <c r="K1517" s="142" t="s">
        <v>730</v>
      </c>
      <c r="L1517" s="168" t="s">
        <v>2522</v>
      </c>
      <c r="M1517" s="19"/>
      <c r="N1517" s="142" t="s">
        <v>2622</v>
      </c>
      <c r="O1517" s="143"/>
      <c r="P1517" s="43"/>
      <c r="Q1517" s="43"/>
      <c r="R1517" s="153"/>
    </row>
    <row r="1518" spans="1:18" ht="35.25" customHeight="1">
      <c r="A1518" s="15">
        <f t="shared" si="23"/>
        <v>1508</v>
      </c>
      <c r="B1518" s="144" t="s">
        <v>2164</v>
      </c>
      <c r="C1518" s="150" t="s">
        <v>1339</v>
      </c>
      <c r="D1518" s="19"/>
      <c r="E1518" s="19"/>
      <c r="F1518" s="19"/>
      <c r="G1518" s="142" t="s">
        <v>2482</v>
      </c>
      <c r="H1518" s="141"/>
      <c r="I1518" s="202" t="s">
        <v>18</v>
      </c>
      <c r="J1518" s="153">
        <v>1</v>
      </c>
      <c r="K1518" s="142" t="s">
        <v>730</v>
      </c>
      <c r="L1518" s="168" t="s">
        <v>2522</v>
      </c>
      <c r="M1518" s="19"/>
      <c r="N1518" s="142" t="s">
        <v>2622</v>
      </c>
      <c r="O1518" s="143"/>
      <c r="P1518" s="43"/>
      <c r="Q1518" s="43"/>
      <c r="R1518" s="153"/>
    </row>
    <row r="1519" spans="1:18" ht="35.25" customHeight="1">
      <c r="A1519" s="15">
        <f t="shared" si="23"/>
        <v>1509</v>
      </c>
      <c r="B1519" s="144" t="s">
        <v>2165</v>
      </c>
      <c r="C1519" s="150" t="s">
        <v>2077</v>
      </c>
      <c r="D1519" s="19"/>
      <c r="E1519" s="19"/>
      <c r="F1519" s="19"/>
      <c r="G1519" s="142"/>
      <c r="H1519" s="141"/>
      <c r="I1519" s="202" t="s">
        <v>18</v>
      </c>
      <c r="J1519" s="153">
        <v>1</v>
      </c>
      <c r="K1519" s="142" t="s">
        <v>730</v>
      </c>
      <c r="L1519" s="168" t="s">
        <v>2522</v>
      </c>
      <c r="M1519" s="19"/>
      <c r="N1519" s="142" t="s">
        <v>2622</v>
      </c>
      <c r="O1519" s="143"/>
      <c r="P1519" s="43"/>
      <c r="Q1519" s="43"/>
      <c r="R1519" s="153"/>
    </row>
    <row r="1520" spans="1:18" ht="35.25" customHeight="1">
      <c r="A1520" s="15">
        <f t="shared" si="23"/>
        <v>1510</v>
      </c>
      <c r="B1520" s="161" t="s">
        <v>2166</v>
      </c>
      <c r="C1520" s="191" t="s">
        <v>620</v>
      </c>
      <c r="D1520" s="19"/>
      <c r="E1520" s="19"/>
      <c r="F1520" s="19"/>
      <c r="G1520" s="168" t="s">
        <v>2483</v>
      </c>
      <c r="H1520" s="141"/>
      <c r="I1520" s="202" t="s">
        <v>18</v>
      </c>
      <c r="J1520" s="202">
        <v>1</v>
      </c>
      <c r="K1520" s="142" t="s">
        <v>730</v>
      </c>
      <c r="L1520" s="168" t="s">
        <v>2522</v>
      </c>
      <c r="M1520" s="19"/>
      <c r="N1520" s="142" t="s">
        <v>2623</v>
      </c>
      <c r="O1520" s="143"/>
      <c r="P1520" s="43"/>
      <c r="Q1520" s="43"/>
      <c r="R1520" s="153"/>
    </row>
    <row r="1521" spans="1:18" ht="35.25" customHeight="1">
      <c r="A1521" s="15">
        <f t="shared" si="23"/>
        <v>1511</v>
      </c>
      <c r="B1521" s="161" t="s">
        <v>2167</v>
      </c>
      <c r="C1521" s="191" t="s">
        <v>1339</v>
      </c>
      <c r="D1521" s="19"/>
      <c r="E1521" s="19"/>
      <c r="F1521" s="19"/>
      <c r="G1521" s="168" t="s">
        <v>2484</v>
      </c>
      <c r="H1521" s="141"/>
      <c r="I1521" s="202" t="s">
        <v>18</v>
      </c>
      <c r="J1521" s="202">
        <v>1</v>
      </c>
      <c r="K1521" s="142" t="s">
        <v>730</v>
      </c>
      <c r="L1521" s="168" t="s">
        <v>2522</v>
      </c>
      <c r="M1521" s="19"/>
      <c r="N1521" s="142" t="s">
        <v>2623</v>
      </c>
      <c r="O1521" s="143"/>
      <c r="P1521" s="43"/>
      <c r="Q1521" s="43"/>
      <c r="R1521" s="153"/>
    </row>
    <row r="1522" spans="1:18" ht="35.25" customHeight="1">
      <c r="A1522" s="15">
        <f t="shared" si="23"/>
        <v>1512</v>
      </c>
      <c r="B1522" s="161" t="s">
        <v>2168</v>
      </c>
      <c r="C1522" s="191" t="s">
        <v>1537</v>
      </c>
      <c r="D1522" s="19"/>
      <c r="E1522" s="19"/>
      <c r="F1522" s="19"/>
      <c r="G1522" s="168" t="s">
        <v>2485</v>
      </c>
      <c r="H1522" s="141"/>
      <c r="I1522" s="202" t="s">
        <v>18</v>
      </c>
      <c r="J1522" s="202">
        <v>1</v>
      </c>
      <c r="K1522" s="142" t="s">
        <v>730</v>
      </c>
      <c r="L1522" s="168" t="s">
        <v>2522</v>
      </c>
      <c r="M1522" s="19"/>
      <c r="N1522" s="142" t="s">
        <v>2623</v>
      </c>
      <c r="O1522" s="143"/>
      <c r="P1522" s="43"/>
      <c r="Q1522" s="43"/>
      <c r="R1522" s="153"/>
    </row>
    <row r="1523" spans="1:18" ht="35.25" customHeight="1">
      <c r="A1523" s="15">
        <f t="shared" si="23"/>
        <v>1513</v>
      </c>
      <c r="B1523" s="161" t="s">
        <v>2169</v>
      </c>
      <c r="C1523" s="191" t="s">
        <v>601</v>
      </c>
      <c r="D1523" s="19"/>
      <c r="E1523" s="19"/>
      <c r="F1523" s="19"/>
      <c r="G1523" s="168"/>
      <c r="H1523" s="141"/>
      <c r="I1523" s="202" t="s">
        <v>18</v>
      </c>
      <c r="J1523" s="202">
        <v>1</v>
      </c>
      <c r="K1523" s="142" t="s">
        <v>730</v>
      </c>
      <c r="L1523" s="168" t="s">
        <v>2522</v>
      </c>
      <c r="M1523" s="19"/>
      <c r="N1523" s="142" t="s">
        <v>2623</v>
      </c>
      <c r="O1523" s="143"/>
      <c r="P1523" s="43"/>
      <c r="Q1523" s="43"/>
      <c r="R1523" s="153"/>
    </row>
    <row r="1524" spans="1:18" ht="35.25" customHeight="1">
      <c r="A1524" s="15">
        <f t="shared" si="23"/>
        <v>1514</v>
      </c>
      <c r="B1524" s="144" t="s">
        <v>2170</v>
      </c>
      <c r="C1524" s="191" t="s">
        <v>2171</v>
      </c>
      <c r="D1524" s="19"/>
      <c r="E1524" s="19"/>
      <c r="F1524" s="19"/>
      <c r="G1524" s="142"/>
      <c r="H1524" s="141"/>
      <c r="I1524" s="202" t="s">
        <v>18</v>
      </c>
      <c r="J1524" s="202">
        <v>1</v>
      </c>
      <c r="K1524" s="142" t="s">
        <v>730</v>
      </c>
      <c r="L1524" s="168" t="s">
        <v>2522</v>
      </c>
      <c r="M1524" s="19"/>
      <c r="N1524" s="142" t="s">
        <v>2623</v>
      </c>
      <c r="O1524" s="143"/>
      <c r="P1524" s="43"/>
      <c r="Q1524" s="43"/>
      <c r="R1524" s="153"/>
    </row>
    <row r="1525" spans="1:18" ht="35.25" customHeight="1">
      <c r="A1525" s="15">
        <f t="shared" si="23"/>
        <v>1515</v>
      </c>
      <c r="B1525" s="144" t="s">
        <v>2172</v>
      </c>
      <c r="C1525" s="191" t="s">
        <v>620</v>
      </c>
      <c r="D1525" s="19"/>
      <c r="E1525" s="19"/>
      <c r="F1525" s="19"/>
      <c r="G1525" s="142" t="s">
        <v>2486</v>
      </c>
      <c r="H1525" s="141"/>
      <c r="I1525" s="202" t="s">
        <v>18</v>
      </c>
      <c r="J1525" s="202">
        <v>1</v>
      </c>
      <c r="K1525" s="142" t="s">
        <v>730</v>
      </c>
      <c r="L1525" s="168" t="s">
        <v>2522</v>
      </c>
      <c r="M1525" s="19"/>
      <c r="N1525" s="142" t="s">
        <v>2624</v>
      </c>
      <c r="O1525" s="143"/>
      <c r="P1525" s="43"/>
      <c r="Q1525" s="43"/>
      <c r="R1525" s="153"/>
    </row>
    <row r="1526" spans="1:18" ht="35.25" customHeight="1">
      <c r="A1526" s="15">
        <f t="shared" si="23"/>
        <v>1516</v>
      </c>
      <c r="B1526" s="144" t="s">
        <v>2173</v>
      </c>
      <c r="C1526" s="191" t="s">
        <v>1339</v>
      </c>
      <c r="D1526" s="19"/>
      <c r="E1526" s="19"/>
      <c r="F1526" s="19"/>
      <c r="G1526" s="142"/>
      <c r="H1526" s="141"/>
      <c r="I1526" s="202" t="s">
        <v>18</v>
      </c>
      <c r="J1526" s="202">
        <v>1</v>
      </c>
      <c r="K1526" s="142" t="s">
        <v>730</v>
      </c>
      <c r="L1526" s="168" t="s">
        <v>2522</v>
      </c>
      <c r="M1526" s="19"/>
      <c r="N1526" s="142" t="s">
        <v>2624</v>
      </c>
      <c r="O1526" s="143"/>
      <c r="P1526" s="43"/>
      <c r="Q1526" s="43"/>
      <c r="R1526" s="153"/>
    </row>
    <row r="1527" spans="1:18" ht="35.25" customHeight="1">
      <c r="A1527" s="15">
        <f t="shared" si="23"/>
        <v>1517</v>
      </c>
      <c r="B1527" s="144" t="s">
        <v>2174</v>
      </c>
      <c r="C1527" s="191" t="s">
        <v>601</v>
      </c>
      <c r="D1527" s="19"/>
      <c r="E1527" s="19"/>
      <c r="F1527" s="19"/>
      <c r="G1527" s="142"/>
      <c r="H1527" s="141"/>
      <c r="I1527" s="202" t="s">
        <v>18</v>
      </c>
      <c r="J1527" s="202"/>
      <c r="K1527" s="142" t="s">
        <v>730</v>
      </c>
      <c r="L1527" s="168" t="s">
        <v>2522</v>
      </c>
      <c r="M1527" s="19"/>
      <c r="N1527" s="142" t="s">
        <v>2624</v>
      </c>
      <c r="O1527" s="143"/>
      <c r="P1527" s="43"/>
      <c r="Q1527" s="43"/>
      <c r="R1527" s="153"/>
    </row>
    <row r="1528" spans="1:18" ht="35.25" customHeight="1">
      <c r="A1528" s="15">
        <f t="shared" si="23"/>
        <v>1518</v>
      </c>
      <c r="B1528" s="144" t="s">
        <v>2175</v>
      </c>
      <c r="C1528" s="150" t="s">
        <v>633</v>
      </c>
      <c r="D1528" s="19"/>
      <c r="E1528" s="19"/>
      <c r="F1528" s="19"/>
      <c r="G1528" s="142" t="s">
        <v>2487</v>
      </c>
      <c r="H1528" s="141"/>
      <c r="I1528" s="202" t="s">
        <v>18</v>
      </c>
      <c r="J1528" s="153">
        <v>1</v>
      </c>
      <c r="K1528" s="142" t="s">
        <v>730</v>
      </c>
      <c r="L1528" s="168" t="s">
        <v>2522</v>
      </c>
      <c r="M1528" s="276" t="s">
        <v>3287</v>
      </c>
      <c r="N1528" s="142" t="s">
        <v>2625</v>
      </c>
      <c r="O1528" s="143"/>
      <c r="P1528" s="43"/>
      <c r="Q1528" s="43"/>
      <c r="R1528" s="153"/>
    </row>
    <row r="1529" spans="1:18" ht="35.25" customHeight="1">
      <c r="A1529" s="15">
        <f t="shared" si="23"/>
        <v>1519</v>
      </c>
      <c r="B1529" s="144" t="s">
        <v>2176</v>
      </c>
      <c r="C1529" s="150" t="s">
        <v>1339</v>
      </c>
      <c r="D1529" s="19"/>
      <c r="E1529" s="19"/>
      <c r="F1529" s="19"/>
      <c r="G1529" s="142" t="s">
        <v>2488</v>
      </c>
      <c r="H1529" s="141"/>
      <c r="I1529" s="202" t="s">
        <v>18</v>
      </c>
      <c r="J1529" s="153">
        <v>1</v>
      </c>
      <c r="K1529" s="142" t="s">
        <v>730</v>
      </c>
      <c r="L1529" s="168" t="s">
        <v>2522</v>
      </c>
      <c r="M1529" s="276" t="s">
        <v>3287</v>
      </c>
      <c r="N1529" s="142" t="s">
        <v>2625</v>
      </c>
      <c r="O1529" s="143"/>
      <c r="P1529" s="43"/>
      <c r="Q1529" s="43"/>
      <c r="R1529" s="153"/>
    </row>
    <row r="1530" spans="1:18" ht="35.25" customHeight="1">
      <c r="A1530" s="15">
        <f t="shared" si="23"/>
        <v>1520</v>
      </c>
      <c r="B1530" s="144" t="s">
        <v>2177</v>
      </c>
      <c r="C1530" s="191" t="s">
        <v>612</v>
      </c>
      <c r="D1530" s="19"/>
      <c r="E1530" s="19"/>
      <c r="F1530" s="19"/>
      <c r="G1530" s="183" t="s">
        <v>2489</v>
      </c>
      <c r="H1530" s="141"/>
      <c r="I1530" s="202" t="s">
        <v>18</v>
      </c>
      <c r="J1530" s="153">
        <v>1</v>
      </c>
      <c r="K1530" s="142" t="s">
        <v>730</v>
      </c>
      <c r="L1530" s="168" t="s">
        <v>2522</v>
      </c>
      <c r="M1530" s="276" t="s">
        <v>3287</v>
      </c>
      <c r="N1530" s="142" t="s">
        <v>2625</v>
      </c>
      <c r="O1530" s="143"/>
      <c r="P1530" s="43"/>
      <c r="Q1530" s="43"/>
      <c r="R1530" s="153"/>
    </row>
    <row r="1531" spans="1:18" ht="35.25" customHeight="1">
      <c r="A1531" s="15">
        <f t="shared" si="23"/>
        <v>1521</v>
      </c>
      <c r="B1531" s="144" t="s">
        <v>2178</v>
      </c>
      <c r="C1531" s="191" t="s">
        <v>2171</v>
      </c>
      <c r="D1531" s="19"/>
      <c r="E1531" s="19"/>
      <c r="F1531" s="19"/>
      <c r="G1531" s="183"/>
      <c r="H1531" s="141"/>
      <c r="I1531" s="202" t="s">
        <v>18</v>
      </c>
      <c r="J1531" s="205">
        <v>1</v>
      </c>
      <c r="K1531" s="142" t="s">
        <v>730</v>
      </c>
      <c r="L1531" s="168" t="s">
        <v>2522</v>
      </c>
      <c r="M1531" s="276" t="s">
        <v>3287</v>
      </c>
      <c r="N1531" s="142" t="s">
        <v>2625</v>
      </c>
      <c r="O1531" s="143"/>
      <c r="P1531" s="43"/>
      <c r="Q1531" s="43"/>
      <c r="R1531" s="153"/>
    </row>
    <row r="1532" spans="1:18" ht="35.25" customHeight="1">
      <c r="A1532" s="15">
        <f t="shared" si="23"/>
        <v>1522</v>
      </c>
      <c r="B1532" s="144" t="s">
        <v>2179</v>
      </c>
      <c r="C1532" s="191" t="s">
        <v>601</v>
      </c>
      <c r="D1532" s="19"/>
      <c r="E1532" s="19"/>
      <c r="F1532" s="19"/>
      <c r="G1532" s="183"/>
      <c r="H1532" s="141"/>
      <c r="I1532" s="202" t="s">
        <v>18</v>
      </c>
      <c r="J1532" s="205">
        <v>1</v>
      </c>
      <c r="K1532" s="142" t="s">
        <v>730</v>
      </c>
      <c r="L1532" s="168" t="s">
        <v>2522</v>
      </c>
      <c r="M1532" s="276" t="s">
        <v>3287</v>
      </c>
      <c r="N1532" s="142" t="s">
        <v>2625</v>
      </c>
      <c r="O1532" s="143"/>
      <c r="P1532" s="43"/>
      <c r="Q1532" s="43"/>
      <c r="R1532" s="153"/>
    </row>
    <row r="1533" spans="1:18" ht="35.25" customHeight="1">
      <c r="A1533" s="15">
        <f t="shared" si="23"/>
        <v>1523</v>
      </c>
      <c r="B1533" s="161" t="s">
        <v>2180</v>
      </c>
      <c r="C1533" s="191" t="s">
        <v>2181</v>
      </c>
      <c r="D1533" s="19"/>
      <c r="E1533" s="19"/>
      <c r="F1533" s="19"/>
      <c r="G1533" s="202" t="s">
        <v>2490</v>
      </c>
      <c r="H1533" s="141"/>
      <c r="I1533" s="202" t="s">
        <v>18</v>
      </c>
      <c r="J1533" s="202">
        <v>1</v>
      </c>
      <c r="K1533" s="142" t="s">
        <v>730</v>
      </c>
      <c r="L1533" s="168" t="s">
        <v>2522</v>
      </c>
      <c r="M1533" s="276" t="s">
        <v>3257</v>
      </c>
      <c r="N1533" s="142" t="s">
        <v>2626</v>
      </c>
      <c r="O1533" s="143"/>
      <c r="P1533" s="43"/>
      <c r="Q1533" s="43"/>
      <c r="R1533" s="153"/>
    </row>
    <row r="1534" spans="1:18" ht="35.25" customHeight="1">
      <c r="A1534" s="15">
        <f t="shared" si="23"/>
        <v>1524</v>
      </c>
      <c r="B1534" s="161" t="s">
        <v>2182</v>
      </c>
      <c r="C1534" s="191" t="s">
        <v>2183</v>
      </c>
      <c r="D1534" s="19"/>
      <c r="E1534" s="19"/>
      <c r="F1534" s="19"/>
      <c r="G1534" s="202" t="s">
        <v>2491</v>
      </c>
      <c r="H1534" s="141"/>
      <c r="I1534" s="202" t="s">
        <v>18</v>
      </c>
      <c r="J1534" s="202">
        <v>1</v>
      </c>
      <c r="K1534" s="142" t="s">
        <v>730</v>
      </c>
      <c r="L1534" s="168" t="s">
        <v>2522</v>
      </c>
      <c r="M1534" s="276" t="s">
        <v>3257</v>
      </c>
      <c r="N1534" s="183" t="s">
        <v>2626</v>
      </c>
      <c r="O1534" s="143"/>
      <c r="P1534" s="43"/>
      <c r="Q1534" s="43"/>
      <c r="R1534" s="153"/>
    </row>
    <row r="1535" spans="1:18" ht="35.25" customHeight="1">
      <c r="A1535" s="15">
        <f t="shared" si="23"/>
        <v>1525</v>
      </c>
      <c r="B1535" s="161" t="s">
        <v>2184</v>
      </c>
      <c r="C1535" s="191" t="s">
        <v>2185</v>
      </c>
      <c r="D1535" s="19"/>
      <c r="E1535" s="19"/>
      <c r="F1535" s="19"/>
      <c r="G1535" s="202" t="s">
        <v>385</v>
      </c>
      <c r="H1535" s="141"/>
      <c r="I1535" s="202" t="s">
        <v>18</v>
      </c>
      <c r="J1535" s="202">
        <v>1</v>
      </c>
      <c r="K1535" s="142" t="s">
        <v>730</v>
      </c>
      <c r="L1535" s="168" t="s">
        <v>2522</v>
      </c>
      <c r="M1535" s="276" t="s">
        <v>3257</v>
      </c>
      <c r="N1535" s="183" t="s">
        <v>2626</v>
      </c>
      <c r="O1535" s="143"/>
      <c r="P1535" s="43"/>
      <c r="Q1535" s="43"/>
      <c r="R1535" s="153"/>
    </row>
    <row r="1536" spans="1:18" ht="35.25" customHeight="1">
      <c r="A1536" s="15">
        <f t="shared" si="23"/>
        <v>1526</v>
      </c>
      <c r="B1536" s="161" t="s">
        <v>2186</v>
      </c>
      <c r="C1536" s="172">
        <v>966549269</v>
      </c>
      <c r="D1536" s="19"/>
      <c r="E1536" s="19"/>
      <c r="F1536" s="19"/>
      <c r="G1536" s="202"/>
      <c r="H1536" s="141"/>
      <c r="I1536" s="202" t="s">
        <v>18</v>
      </c>
      <c r="J1536" s="202">
        <v>1</v>
      </c>
      <c r="K1536" s="142" t="s">
        <v>730</v>
      </c>
      <c r="L1536" s="168" t="s">
        <v>2522</v>
      </c>
      <c r="M1536" s="276" t="s">
        <v>3257</v>
      </c>
      <c r="N1536" s="183" t="s">
        <v>2626</v>
      </c>
      <c r="O1536" s="143"/>
      <c r="P1536" s="43"/>
      <c r="Q1536" s="43"/>
      <c r="R1536" s="153"/>
    </row>
    <row r="1537" spans="1:18" ht="35.25" customHeight="1">
      <c r="A1537" s="15">
        <f t="shared" si="23"/>
        <v>1527</v>
      </c>
      <c r="B1537" s="156" t="s">
        <v>2187</v>
      </c>
      <c r="C1537" s="189" t="s">
        <v>620</v>
      </c>
      <c r="D1537" s="19"/>
      <c r="E1537" s="19"/>
      <c r="F1537" s="19"/>
      <c r="G1537" s="145" t="s">
        <v>2486</v>
      </c>
      <c r="H1537" s="141"/>
      <c r="I1537" s="186" t="s">
        <v>18</v>
      </c>
      <c r="J1537" s="186">
        <v>1</v>
      </c>
      <c r="K1537" s="142" t="s">
        <v>730</v>
      </c>
      <c r="L1537" s="181" t="s">
        <v>2522</v>
      </c>
      <c r="M1537" s="19"/>
      <c r="N1537" s="145" t="s">
        <v>2627</v>
      </c>
      <c r="O1537" s="177"/>
      <c r="P1537" s="43"/>
      <c r="Q1537" s="43"/>
      <c r="R1537" s="158"/>
    </row>
    <row r="1538" spans="1:18" ht="35.25" customHeight="1">
      <c r="A1538" s="15">
        <f t="shared" si="23"/>
        <v>1528</v>
      </c>
      <c r="B1538" s="156" t="s">
        <v>2188</v>
      </c>
      <c r="C1538" s="189" t="s">
        <v>1339</v>
      </c>
      <c r="D1538" s="19"/>
      <c r="E1538" s="19"/>
      <c r="F1538" s="19"/>
      <c r="G1538" s="145"/>
      <c r="H1538" s="141"/>
      <c r="I1538" s="186" t="s">
        <v>18</v>
      </c>
      <c r="J1538" s="186">
        <v>1</v>
      </c>
      <c r="K1538" s="142" t="s">
        <v>730</v>
      </c>
      <c r="L1538" s="181" t="s">
        <v>2522</v>
      </c>
      <c r="M1538" s="19"/>
      <c r="N1538" s="145" t="s">
        <v>2627</v>
      </c>
      <c r="O1538" s="177"/>
      <c r="P1538" s="43"/>
      <c r="Q1538" s="43"/>
      <c r="R1538" s="158"/>
    </row>
    <row r="1539" spans="1:18" ht="35.25" customHeight="1">
      <c r="A1539" s="15">
        <f t="shared" si="23"/>
        <v>1529</v>
      </c>
      <c r="B1539" s="156" t="s">
        <v>2189</v>
      </c>
      <c r="C1539" s="189" t="s">
        <v>698</v>
      </c>
      <c r="D1539" s="19"/>
      <c r="E1539" s="19"/>
      <c r="F1539" s="19"/>
      <c r="G1539" s="145"/>
      <c r="H1539" s="141"/>
      <c r="I1539" s="186" t="s">
        <v>18</v>
      </c>
      <c r="J1539" s="186">
        <v>1</v>
      </c>
      <c r="K1539" s="142" t="s">
        <v>730</v>
      </c>
      <c r="L1539" s="181" t="s">
        <v>2522</v>
      </c>
      <c r="M1539" s="19"/>
      <c r="N1539" s="145" t="s">
        <v>2627</v>
      </c>
      <c r="O1539" s="177"/>
      <c r="P1539" s="43"/>
      <c r="Q1539" s="43"/>
      <c r="R1539" s="158"/>
    </row>
    <row r="1540" spans="1:18" ht="35.25" customHeight="1">
      <c r="A1540" s="15">
        <f t="shared" si="23"/>
        <v>1530</v>
      </c>
      <c r="B1540" s="156" t="s">
        <v>2190</v>
      </c>
      <c r="C1540" s="189" t="s">
        <v>2191</v>
      </c>
      <c r="D1540" s="19"/>
      <c r="E1540" s="19"/>
      <c r="F1540" s="19"/>
      <c r="G1540" s="145">
        <v>969625798</v>
      </c>
      <c r="H1540" s="141"/>
      <c r="I1540" s="186" t="s">
        <v>18</v>
      </c>
      <c r="J1540" s="186">
        <v>1</v>
      </c>
      <c r="K1540" s="142" t="s">
        <v>730</v>
      </c>
      <c r="L1540" s="181" t="s">
        <v>2522</v>
      </c>
      <c r="M1540" s="19"/>
      <c r="N1540" s="145" t="s">
        <v>2627</v>
      </c>
      <c r="O1540" s="177"/>
      <c r="P1540" s="43"/>
      <c r="Q1540" s="43"/>
      <c r="R1540" s="158"/>
    </row>
    <row r="1541" spans="1:18" ht="35.25" customHeight="1">
      <c r="A1541" s="15">
        <f t="shared" si="23"/>
        <v>1531</v>
      </c>
      <c r="B1541" s="156" t="s">
        <v>2192</v>
      </c>
      <c r="C1541" s="169" t="s">
        <v>620</v>
      </c>
      <c r="D1541" s="19"/>
      <c r="E1541" s="19"/>
      <c r="F1541" s="19"/>
      <c r="G1541" s="145" t="s">
        <v>2465</v>
      </c>
      <c r="H1541" s="141"/>
      <c r="I1541" s="186" t="s">
        <v>18</v>
      </c>
      <c r="J1541" s="158">
        <v>1</v>
      </c>
      <c r="K1541" s="142" t="s">
        <v>730</v>
      </c>
      <c r="L1541" s="181" t="s">
        <v>2522</v>
      </c>
      <c r="M1541" s="19"/>
      <c r="N1541" s="145" t="s">
        <v>2628</v>
      </c>
      <c r="O1541" s="177"/>
      <c r="P1541" s="43"/>
      <c r="Q1541" s="43"/>
      <c r="R1541" s="158"/>
    </row>
    <row r="1542" spans="1:18" ht="35.25" customHeight="1">
      <c r="A1542" s="15">
        <f t="shared" si="23"/>
        <v>1532</v>
      </c>
      <c r="B1542" s="156" t="s">
        <v>2193</v>
      </c>
      <c r="C1542" s="169" t="s">
        <v>1339</v>
      </c>
      <c r="D1542" s="19"/>
      <c r="E1542" s="19"/>
      <c r="F1542" s="19"/>
      <c r="G1542" s="145" t="s">
        <v>2466</v>
      </c>
      <c r="H1542" s="141"/>
      <c r="I1542" s="186" t="s">
        <v>18</v>
      </c>
      <c r="J1542" s="158">
        <v>1</v>
      </c>
      <c r="K1542" s="142" t="s">
        <v>730</v>
      </c>
      <c r="L1542" s="181" t="s">
        <v>2522</v>
      </c>
      <c r="M1542" s="19"/>
      <c r="N1542" s="145" t="s">
        <v>2628</v>
      </c>
      <c r="O1542" s="177"/>
      <c r="P1542" s="43"/>
      <c r="Q1542" s="43"/>
      <c r="R1542" s="158"/>
    </row>
    <row r="1543" spans="1:18" ht="35.25" customHeight="1">
      <c r="A1543" s="15">
        <f t="shared" si="23"/>
        <v>1533</v>
      </c>
      <c r="B1543" s="156" t="s">
        <v>2194</v>
      </c>
      <c r="C1543" s="169" t="s">
        <v>620</v>
      </c>
      <c r="D1543" s="19"/>
      <c r="E1543" s="19"/>
      <c r="F1543" s="19"/>
      <c r="G1543" s="145"/>
      <c r="H1543" s="141"/>
      <c r="I1543" s="186" t="s">
        <v>18</v>
      </c>
      <c r="J1543" s="158">
        <v>1</v>
      </c>
      <c r="K1543" s="142" t="s">
        <v>730</v>
      </c>
      <c r="L1543" s="181" t="s">
        <v>2522</v>
      </c>
      <c r="M1543" s="19"/>
      <c r="N1543" s="145" t="s">
        <v>2629</v>
      </c>
      <c r="O1543" s="177"/>
      <c r="P1543" s="43"/>
      <c r="Q1543" s="43"/>
      <c r="R1543" s="158"/>
    </row>
    <row r="1544" spans="1:18" ht="35.25" customHeight="1">
      <c r="A1544" s="15">
        <f t="shared" si="23"/>
        <v>1534</v>
      </c>
      <c r="B1544" s="156" t="s">
        <v>2195</v>
      </c>
      <c r="C1544" s="169" t="s">
        <v>120</v>
      </c>
      <c r="D1544" s="19"/>
      <c r="E1544" s="19"/>
      <c r="F1544" s="19"/>
      <c r="G1544" s="145"/>
      <c r="H1544" s="141"/>
      <c r="I1544" s="186" t="s">
        <v>18</v>
      </c>
      <c r="J1544" s="158">
        <v>1</v>
      </c>
      <c r="K1544" s="142" t="s">
        <v>730</v>
      </c>
      <c r="L1544" s="181" t="s">
        <v>2522</v>
      </c>
      <c r="M1544" s="19"/>
      <c r="N1544" s="145" t="s">
        <v>2629</v>
      </c>
      <c r="O1544" s="177"/>
      <c r="P1544" s="43"/>
      <c r="Q1544" s="43"/>
      <c r="R1544" s="158"/>
    </row>
    <row r="1545" spans="1:18" ht="35.25" customHeight="1">
      <c r="A1545" s="15">
        <f t="shared" si="23"/>
        <v>1535</v>
      </c>
      <c r="B1545" s="19" t="s">
        <v>2196</v>
      </c>
      <c r="C1545" s="150" t="s">
        <v>2045</v>
      </c>
      <c r="D1545" s="19"/>
      <c r="E1545" s="19"/>
      <c r="F1545" s="19"/>
      <c r="G1545" s="176"/>
      <c r="H1545" s="141"/>
      <c r="I1545" s="202" t="s">
        <v>18</v>
      </c>
      <c r="J1545" s="202">
        <v>1</v>
      </c>
      <c r="K1545" s="142" t="s">
        <v>730</v>
      </c>
      <c r="L1545" s="168" t="s">
        <v>2522</v>
      </c>
      <c r="M1545" s="19"/>
      <c r="N1545" s="144" t="s">
        <v>2630</v>
      </c>
      <c r="O1545" s="189"/>
      <c r="P1545" s="43"/>
      <c r="Q1545" s="43"/>
      <c r="R1545" s="176"/>
    </row>
    <row r="1546" spans="1:18" ht="35.25" customHeight="1">
      <c r="A1546" s="15">
        <f t="shared" si="23"/>
        <v>1536</v>
      </c>
      <c r="B1546" s="19" t="s">
        <v>2197</v>
      </c>
      <c r="C1546" s="150" t="s">
        <v>2047</v>
      </c>
      <c r="D1546" s="19"/>
      <c r="E1546" s="19"/>
      <c r="F1546" s="19"/>
      <c r="G1546" s="176"/>
      <c r="H1546" s="141"/>
      <c r="I1546" s="202" t="s">
        <v>18</v>
      </c>
      <c r="J1546" s="202">
        <v>1</v>
      </c>
      <c r="K1546" s="142" t="s">
        <v>730</v>
      </c>
      <c r="L1546" s="168" t="s">
        <v>2522</v>
      </c>
      <c r="M1546" s="19"/>
      <c r="N1546" s="144" t="s">
        <v>2630</v>
      </c>
      <c r="O1546" s="189"/>
      <c r="P1546" s="43"/>
      <c r="Q1546" s="43"/>
      <c r="R1546" s="176"/>
    </row>
    <row r="1547" spans="1:18" ht="35.25" customHeight="1">
      <c r="A1547" s="15">
        <f t="shared" si="23"/>
        <v>1537</v>
      </c>
      <c r="B1547" s="19" t="s">
        <v>2198</v>
      </c>
      <c r="C1547" s="150" t="s">
        <v>2199</v>
      </c>
      <c r="D1547" s="19"/>
      <c r="E1547" s="19"/>
      <c r="F1547" s="19"/>
      <c r="G1547" s="176"/>
      <c r="H1547" s="141"/>
      <c r="I1547" s="202" t="s">
        <v>18</v>
      </c>
      <c r="J1547" s="202">
        <v>1</v>
      </c>
      <c r="K1547" s="142" t="s">
        <v>730</v>
      </c>
      <c r="L1547" s="168" t="s">
        <v>2522</v>
      </c>
      <c r="M1547" s="19"/>
      <c r="N1547" s="144" t="s">
        <v>2631</v>
      </c>
      <c r="O1547" s="189"/>
      <c r="P1547" s="43"/>
      <c r="Q1547" s="43"/>
      <c r="R1547" s="176"/>
    </row>
    <row r="1548" spans="1:18" ht="35.25" customHeight="1">
      <c r="A1548" s="15">
        <f t="shared" si="23"/>
        <v>1538</v>
      </c>
      <c r="B1548" s="19" t="s">
        <v>2200</v>
      </c>
      <c r="C1548" s="150" t="s">
        <v>2201</v>
      </c>
      <c r="D1548" s="19"/>
      <c r="E1548" s="19"/>
      <c r="F1548" s="19"/>
      <c r="G1548" s="176"/>
      <c r="H1548" s="141"/>
      <c r="I1548" s="202" t="s">
        <v>18</v>
      </c>
      <c r="J1548" s="202">
        <v>1</v>
      </c>
      <c r="K1548" s="142" t="s">
        <v>730</v>
      </c>
      <c r="L1548" s="168" t="s">
        <v>2522</v>
      </c>
      <c r="M1548" s="19"/>
      <c r="N1548" s="144" t="s">
        <v>2631</v>
      </c>
      <c r="O1548" s="189"/>
      <c r="P1548" s="43"/>
      <c r="Q1548" s="43"/>
      <c r="R1548" s="176"/>
    </row>
    <row r="1549" spans="1:18" ht="35.25" customHeight="1">
      <c r="A1549" s="15">
        <f t="shared" si="23"/>
        <v>1539</v>
      </c>
      <c r="B1549" s="19" t="s">
        <v>2202</v>
      </c>
      <c r="C1549" s="150" t="s">
        <v>858</v>
      </c>
      <c r="D1549" s="19"/>
      <c r="E1549" s="19"/>
      <c r="F1549" s="19"/>
      <c r="G1549" s="176"/>
      <c r="H1549" s="141"/>
      <c r="I1549" s="202" t="s">
        <v>18</v>
      </c>
      <c r="J1549" s="202">
        <v>1</v>
      </c>
      <c r="K1549" s="142" t="s">
        <v>730</v>
      </c>
      <c r="L1549" s="168" t="s">
        <v>2522</v>
      </c>
      <c r="M1549" s="19"/>
      <c r="N1549" s="144" t="s">
        <v>2631</v>
      </c>
      <c r="O1549" s="189"/>
      <c r="P1549" s="43"/>
      <c r="Q1549" s="43"/>
      <c r="R1549" s="176"/>
    </row>
    <row r="1550" spans="1:18" ht="35.25" customHeight="1">
      <c r="A1550" s="15">
        <f t="shared" si="23"/>
        <v>1540</v>
      </c>
      <c r="B1550" s="19" t="s">
        <v>2203</v>
      </c>
      <c r="C1550" s="150" t="s">
        <v>2204</v>
      </c>
      <c r="D1550" s="19"/>
      <c r="E1550" s="19"/>
      <c r="F1550" s="19"/>
      <c r="G1550" s="176"/>
      <c r="H1550" s="141"/>
      <c r="I1550" s="202" t="s">
        <v>18</v>
      </c>
      <c r="J1550" s="202">
        <v>1</v>
      </c>
      <c r="K1550" s="142" t="s">
        <v>730</v>
      </c>
      <c r="L1550" s="168" t="s">
        <v>2522</v>
      </c>
      <c r="M1550" s="19"/>
      <c r="N1550" s="144" t="s">
        <v>2632</v>
      </c>
      <c r="O1550" s="189"/>
      <c r="P1550" s="43"/>
      <c r="Q1550" s="43"/>
      <c r="R1550" s="176"/>
    </row>
    <row r="1551" spans="1:18" ht="35.25" customHeight="1">
      <c r="A1551" s="15">
        <f t="shared" si="23"/>
        <v>1541</v>
      </c>
      <c r="B1551" s="19" t="s">
        <v>2205</v>
      </c>
      <c r="C1551" s="150" t="s">
        <v>2206</v>
      </c>
      <c r="D1551" s="19"/>
      <c r="E1551" s="19"/>
      <c r="F1551" s="19"/>
      <c r="G1551" s="176"/>
      <c r="H1551" s="141"/>
      <c r="I1551" s="202" t="s">
        <v>181</v>
      </c>
      <c r="J1551" s="202">
        <v>1</v>
      </c>
      <c r="K1551" s="142" t="s">
        <v>730</v>
      </c>
      <c r="L1551" s="168" t="s">
        <v>2522</v>
      </c>
      <c r="M1551" s="19"/>
      <c r="N1551" s="144" t="s">
        <v>2632</v>
      </c>
      <c r="O1551" s="189"/>
      <c r="P1551" s="43"/>
      <c r="Q1551" s="43"/>
      <c r="R1551" s="176"/>
    </row>
    <row r="1552" spans="1:18" ht="35.25" customHeight="1">
      <c r="A1552" s="15">
        <f t="shared" si="23"/>
        <v>1542</v>
      </c>
      <c r="B1552" s="144" t="s">
        <v>2207</v>
      </c>
      <c r="C1552" s="150" t="s">
        <v>1786</v>
      </c>
      <c r="D1552" s="19"/>
      <c r="E1552" s="19"/>
      <c r="F1552" s="19"/>
      <c r="G1552" s="142" t="s">
        <v>2492</v>
      </c>
      <c r="H1552" s="141"/>
      <c r="I1552" s="202" t="s">
        <v>18</v>
      </c>
      <c r="J1552" s="153">
        <v>1</v>
      </c>
      <c r="K1552" s="142" t="s">
        <v>730</v>
      </c>
      <c r="L1552" s="168" t="s">
        <v>2522</v>
      </c>
      <c r="M1552" s="19"/>
      <c r="N1552" s="142" t="s">
        <v>2597</v>
      </c>
      <c r="O1552" s="143"/>
      <c r="P1552" s="43"/>
      <c r="Q1552" s="43"/>
      <c r="R1552" s="142" t="s">
        <v>272</v>
      </c>
    </row>
    <row r="1553" spans="1:18" ht="35.25" customHeight="1">
      <c r="A1553" s="15">
        <f t="shared" si="23"/>
        <v>1543</v>
      </c>
      <c r="B1553" s="144" t="s">
        <v>2208</v>
      </c>
      <c r="C1553" s="150" t="s">
        <v>1786</v>
      </c>
      <c r="D1553" s="19"/>
      <c r="E1553" s="19"/>
      <c r="F1553" s="19"/>
      <c r="G1553" s="142" t="s">
        <v>2492</v>
      </c>
      <c r="H1553" s="141"/>
      <c r="I1553" s="202" t="s">
        <v>18</v>
      </c>
      <c r="J1553" s="153">
        <v>1</v>
      </c>
      <c r="K1553" s="142" t="s">
        <v>730</v>
      </c>
      <c r="L1553" s="168" t="s">
        <v>2522</v>
      </c>
      <c r="M1553" s="19"/>
      <c r="N1553" s="142" t="s">
        <v>2597</v>
      </c>
      <c r="O1553" s="143"/>
      <c r="P1553" s="43"/>
      <c r="Q1553" s="43"/>
      <c r="R1553" s="142" t="s">
        <v>272</v>
      </c>
    </row>
    <row r="1554" spans="1:18" ht="35.25" customHeight="1">
      <c r="A1554" s="15">
        <f t="shared" si="23"/>
        <v>1544</v>
      </c>
      <c r="B1554" s="144" t="s">
        <v>2209</v>
      </c>
      <c r="C1554" s="150" t="s">
        <v>1786</v>
      </c>
      <c r="D1554" s="19"/>
      <c r="E1554" s="19"/>
      <c r="F1554" s="19"/>
      <c r="G1554" s="142" t="s">
        <v>2492</v>
      </c>
      <c r="H1554" s="141"/>
      <c r="I1554" s="202" t="s">
        <v>18</v>
      </c>
      <c r="J1554" s="153">
        <v>1</v>
      </c>
      <c r="K1554" s="142" t="s">
        <v>730</v>
      </c>
      <c r="L1554" s="168" t="s">
        <v>2522</v>
      </c>
      <c r="M1554" s="19"/>
      <c r="N1554" s="142" t="s">
        <v>2597</v>
      </c>
      <c r="O1554" s="143"/>
      <c r="P1554" s="43"/>
      <c r="Q1554" s="43"/>
      <c r="R1554" s="142" t="s">
        <v>272</v>
      </c>
    </row>
    <row r="1555" spans="1:18" ht="35.25" customHeight="1">
      <c r="A1555" s="15">
        <f t="shared" ref="A1555:A1618" si="24">A1554+1</f>
        <v>1545</v>
      </c>
      <c r="B1555" s="144" t="s">
        <v>2210</v>
      </c>
      <c r="C1555" s="150" t="s">
        <v>1786</v>
      </c>
      <c r="D1555" s="19"/>
      <c r="E1555" s="19"/>
      <c r="F1555" s="19"/>
      <c r="G1555" s="142" t="s">
        <v>2492</v>
      </c>
      <c r="H1555" s="141"/>
      <c r="I1555" s="202" t="s">
        <v>18</v>
      </c>
      <c r="J1555" s="153">
        <v>1</v>
      </c>
      <c r="K1555" s="142" t="s">
        <v>730</v>
      </c>
      <c r="L1555" s="168" t="s">
        <v>2522</v>
      </c>
      <c r="M1555" s="19"/>
      <c r="N1555" s="142" t="s">
        <v>2597</v>
      </c>
      <c r="O1555" s="143"/>
      <c r="P1555" s="43"/>
      <c r="Q1555" s="43"/>
      <c r="R1555" s="142" t="s">
        <v>272</v>
      </c>
    </row>
    <row r="1556" spans="1:18" ht="35.25" customHeight="1">
      <c r="A1556" s="15">
        <f t="shared" si="24"/>
        <v>1546</v>
      </c>
      <c r="B1556" s="144" t="s">
        <v>2211</v>
      </c>
      <c r="C1556" s="150" t="s">
        <v>1786</v>
      </c>
      <c r="D1556" s="19"/>
      <c r="E1556" s="19"/>
      <c r="F1556" s="19"/>
      <c r="G1556" s="142" t="s">
        <v>2492</v>
      </c>
      <c r="H1556" s="141"/>
      <c r="I1556" s="202" t="s">
        <v>18</v>
      </c>
      <c r="J1556" s="153">
        <v>1</v>
      </c>
      <c r="K1556" s="142" t="s">
        <v>730</v>
      </c>
      <c r="L1556" s="168" t="s">
        <v>2522</v>
      </c>
      <c r="M1556" s="19"/>
      <c r="N1556" s="142" t="s">
        <v>2597</v>
      </c>
      <c r="O1556" s="143"/>
      <c r="P1556" s="43"/>
      <c r="Q1556" s="43"/>
      <c r="R1556" s="142" t="s">
        <v>272</v>
      </c>
    </row>
    <row r="1557" spans="1:18" ht="35.25" customHeight="1">
      <c r="A1557" s="15">
        <f t="shared" si="24"/>
        <v>1547</v>
      </c>
      <c r="B1557" s="144" t="s">
        <v>2212</v>
      </c>
      <c r="C1557" s="150" t="s">
        <v>1786</v>
      </c>
      <c r="D1557" s="19"/>
      <c r="E1557" s="19"/>
      <c r="F1557" s="19"/>
      <c r="G1557" s="142" t="s">
        <v>2492</v>
      </c>
      <c r="H1557" s="141"/>
      <c r="I1557" s="202" t="s">
        <v>18</v>
      </c>
      <c r="J1557" s="153">
        <v>1</v>
      </c>
      <c r="K1557" s="142" t="s">
        <v>730</v>
      </c>
      <c r="L1557" s="168" t="s">
        <v>2522</v>
      </c>
      <c r="M1557" s="19"/>
      <c r="N1557" s="142" t="s">
        <v>2597</v>
      </c>
      <c r="O1557" s="143"/>
      <c r="P1557" s="43"/>
      <c r="Q1557" s="43"/>
      <c r="R1557" s="142" t="s">
        <v>272</v>
      </c>
    </row>
    <row r="1558" spans="1:18" ht="35.25" customHeight="1">
      <c r="A1558" s="15">
        <f t="shared" si="24"/>
        <v>1548</v>
      </c>
      <c r="B1558" s="144" t="s">
        <v>2213</v>
      </c>
      <c r="C1558" s="150" t="s">
        <v>1786</v>
      </c>
      <c r="D1558" s="19"/>
      <c r="E1558" s="19"/>
      <c r="F1558" s="19"/>
      <c r="G1558" s="142" t="s">
        <v>2492</v>
      </c>
      <c r="H1558" s="141"/>
      <c r="I1558" s="202" t="s">
        <v>18</v>
      </c>
      <c r="J1558" s="153">
        <v>1</v>
      </c>
      <c r="K1558" s="142" t="s">
        <v>730</v>
      </c>
      <c r="L1558" s="168" t="s">
        <v>2522</v>
      </c>
      <c r="M1558" s="19"/>
      <c r="N1558" s="142" t="s">
        <v>2597</v>
      </c>
      <c r="O1558" s="143"/>
      <c r="P1558" s="43"/>
      <c r="Q1558" s="43"/>
      <c r="R1558" s="142" t="s">
        <v>272</v>
      </c>
    </row>
    <row r="1559" spans="1:18" ht="35.25" customHeight="1">
      <c r="A1559" s="15">
        <f t="shared" si="24"/>
        <v>1549</v>
      </c>
      <c r="B1559" s="144" t="s">
        <v>2214</v>
      </c>
      <c r="C1559" s="150" t="s">
        <v>1786</v>
      </c>
      <c r="D1559" s="19"/>
      <c r="E1559" s="19"/>
      <c r="F1559" s="19"/>
      <c r="G1559" s="142" t="s">
        <v>2492</v>
      </c>
      <c r="H1559" s="141"/>
      <c r="I1559" s="202" t="s">
        <v>18</v>
      </c>
      <c r="J1559" s="153">
        <v>1</v>
      </c>
      <c r="K1559" s="142" t="s">
        <v>730</v>
      </c>
      <c r="L1559" s="168" t="s">
        <v>2522</v>
      </c>
      <c r="M1559" s="19"/>
      <c r="N1559" s="142" t="s">
        <v>2597</v>
      </c>
      <c r="O1559" s="143"/>
      <c r="P1559" s="43"/>
      <c r="Q1559" s="43"/>
      <c r="R1559" s="142" t="s">
        <v>272</v>
      </c>
    </row>
    <row r="1560" spans="1:18" ht="35.25" customHeight="1">
      <c r="A1560" s="15">
        <f t="shared" si="24"/>
        <v>1550</v>
      </c>
      <c r="B1560" s="144" t="s">
        <v>2215</v>
      </c>
      <c r="C1560" s="150" t="s">
        <v>2216</v>
      </c>
      <c r="D1560" s="19"/>
      <c r="E1560" s="19"/>
      <c r="F1560" s="19"/>
      <c r="G1560" s="142"/>
      <c r="H1560" s="141"/>
      <c r="I1560" s="202" t="s">
        <v>89</v>
      </c>
      <c r="J1560" s="153">
        <v>1</v>
      </c>
      <c r="K1560" s="142" t="s">
        <v>730</v>
      </c>
      <c r="L1560" s="168" t="s">
        <v>2522</v>
      </c>
      <c r="M1560" s="19"/>
      <c r="N1560" s="142" t="s">
        <v>2597</v>
      </c>
      <c r="O1560" s="143"/>
      <c r="P1560" s="43"/>
      <c r="Q1560" s="43"/>
      <c r="R1560" s="142" t="s">
        <v>272</v>
      </c>
    </row>
    <row r="1561" spans="1:18" ht="35.25" customHeight="1">
      <c r="A1561" s="15">
        <f t="shared" si="24"/>
        <v>1551</v>
      </c>
      <c r="B1561" s="144" t="s">
        <v>2217</v>
      </c>
      <c r="C1561" s="150" t="s">
        <v>2218</v>
      </c>
      <c r="D1561" s="19"/>
      <c r="E1561" s="19"/>
      <c r="F1561" s="19"/>
      <c r="G1561" s="142"/>
      <c r="H1561" s="141"/>
      <c r="I1561" s="202" t="s">
        <v>18</v>
      </c>
      <c r="J1561" s="153">
        <v>1</v>
      </c>
      <c r="K1561" s="142" t="s">
        <v>730</v>
      </c>
      <c r="L1561" s="168" t="s">
        <v>2522</v>
      </c>
      <c r="M1561" s="19"/>
      <c r="N1561" s="142" t="s">
        <v>2597</v>
      </c>
      <c r="O1561" s="143"/>
      <c r="P1561" s="43"/>
      <c r="Q1561" s="43"/>
      <c r="R1561" s="142" t="s">
        <v>272</v>
      </c>
    </row>
    <row r="1562" spans="1:18" ht="35.25" customHeight="1">
      <c r="A1562" s="15">
        <f t="shared" si="24"/>
        <v>1552</v>
      </c>
      <c r="B1562" s="144" t="s">
        <v>2219</v>
      </c>
      <c r="C1562" s="150" t="s">
        <v>2218</v>
      </c>
      <c r="D1562" s="19"/>
      <c r="E1562" s="19"/>
      <c r="F1562" s="19"/>
      <c r="G1562" s="142"/>
      <c r="H1562" s="141"/>
      <c r="I1562" s="202" t="s">
        <v>18</v>
      </c>
      <c r="J1562" s="153">
        <v>1</v>
      </c>
      <c r="K1562" s="142" t="s">
        <v>730</v>
      </c>
      <c r="L1562" s="168" t="s">
        <v>2522</v>
      </c>
      <c r="M1562" s="19"/>
      <c r="N1562" s="142" t="s">
        <v>2597</v>
      </c>
      <c r="O1562" s="143"/>
      <c r="P1562" s="43"/>
      <c r="Q1562" s="43"/>
      <c r="R1562" s="142" t="s">
        <v>272</v>
      </c>
    </row>
    <row r="1563" spans="1:18" ht="35.25" customHeight="1">
      <c r="A1563" s="15">
        <f t="shared" si="24"/>
        <v>1553</v>
      </c>
      <c r="B1563" s="144" t="s">
        <v>2220</v>
      </c>
      <c r="C1563" s="150" t="s">
        <v>32</v>
      </c>
      <c r="D1563" s="19"/>
      <c r="E1563" s="19"/>
      <c r="F1563" s="19"/>
      <c r="G1563" s="142" t="s">
        <v>2493</v>
      </c>
      <c r="H1563" s="141"/>
      <c r="I1563" s="202" t="s">
        <v>18</v>
      </c>
      <c r="J1563" s="153">
        <v>1</v>
      </c>
      <c r="K1563" s="142" t="s">
        <v>730</v>
      </c>
      <c r="L1563" s="168" t="s">
        <v>2522</v>
      </c>
      <c r="M1563" s="19"/>
      <c r="N1563" s="142" t="s">
        <v>2597</v>
      </c>
      <c r="O1563" s="143"/>
      <c r="P1563" s="43"/>
      <c r="Q1563" s="43"/>
      <c r="R1563" s="142" t="s">
        <v>272</v>
      </c>
    </row>
    <row r="1564" spans="1:18" ht="35.25" customHeight="1">
      <c r="A1564" s="15">
        <f t="shared" si="24"/>
        <v>1554</v>
      </c>
      <c r="B1564" s="144" t="s">
        <v>2221</v>
      </c>
      <c r="C1564" s="150" t="s">
        <v>32</v>
      </c>
      <c r="D1564" s="19"/>
      <c r="E1564" s="19"/>
      <c r="F1564" s="19"/>
      <c r="G1564" s="142" t="s">
        <v>2493</v>
      </c>
      <c r="H1564" s="141"/>
      <c r="I1564" s="202" t="s">
        <v>18</v>
      </c>
      <c r="J1564" s="153">
        <v>1</v>
      </c>
      <c r="K1564" s="142" t="s">
        <v>730</v>
      </c>
      <c r="L1564" s="168" t="s">
        <v>2522</v>
      </c>
      <c r="M1564" s="19"/>
      <c r="N1564" s="142" t="s">
        <v>2597</v>
      </c>
      <c r="O1564" s="143"/>
      <c r="P1564" s="43"/>
      <c r="Q1564" s="43"/>
      <c r="R1564" s="142" t="s">
        <v>272</v>
      </c>
    </row>
    <row r="1565" spans="1:18" ht="35.25" customHeight="1">
      <c r="A1565" s="15">
        <f t="shared" si="24"/>
        <v>1555</v>
      </c>
      <c r="B1565" s="161" t="s">
        <v>2222</v>
      </c>
      <c r="C1565" s="150" t="s">
        <v>32</v>
      </c>
      <c r="D1565" s="19"/>
      <c r="E1565" s="19"/>
      <c r="F1565" s="19"/>
      <c r="G1565" s="142" t="s">
        <v>2493</v>
      </c>
      <c r="H1565" s="141"/>
      <c r="I1565" s="202" t="s">
        <v>18</v>
      </c>
      <c r="J1565" s="153">
        <v>1</v>
      </c>
      <c r="K1565" s="142" t="s">
        <v>730</v>
      </c>
      <c r="L1565" s="168" t="s">
        <v>2522</v>
      </c>
      <c r="M1565" s="19"/>
      <c r="N1565" s="142" t="s">
        <v>2597</v>
      </c>
      <c r="O1565" s="143"/>
      <c r="P1565" s="43"/>
      <c r="Q1565" s="43"/>
      <c r="R1565" s="142" t="s">
        <v>272</v>
      </c>
    </row>
    <row r="1566" spans="1:18" ht="35.25" customHeight="1">
      <c r="A1566" s="15">
        <f t="shared" si="24"/>
        <v>1556</v>
      </c>
      <c r="B1566" s="144" t="s">
        <v>2223</v>
      </c>
      <c r="C1566" s="150" t="s">
        <v>32</v>
      </c>
      <c r="D1566" s="19"/>
      <c r="E1566" s="19"/>
      <c r="F1566" s="19"/>
      <c r="G1566" s="142" t="s">
        <v>2493</v>
      </c>
      <c r="H1566" s="141"/>
      <c r="I1566" s="202" t="s">
        <v>18</v>
      </c>
      <c r="J1566" s="153">
        <v>1</v>
      </c>
      <c r="K1566" s="142" t="s">
        <v>730</v>
      </c>
      <c r="L1566" s="168" t="s">
        <v>2522</v>
      </c>
      <c r="M1566" s="19"/>
      <c r="N1566" s="142" t="s">
        <v>2597</v>
      </c>
      <c r="O1566" s="143"/>
      <c r="P1566" s="43"/>
      <c r="Q1566" s="43"/>
      <c r="R1566" s="142" t="s">
        <v>272</v>
      </c>
    </row>
    <row r="1567" spans="1:18" ht="35.25" customHeight="1">
      <c r="A1567" s="15">
        <f t="shared" si="24"/>
        <v>1557</v>
      </c>
      <c r="B1567" s="11" t="s">
        <v>2224</v>
      </c>
      <c r="C1567" s="150" t="s">
        <v>32</v>
      </c>
      <c r="D1567" s="19"/>
      <c r="E1567" s="19"/>
      <c r="F1567" s="19"/>
      <c r="G1567" s="142" t="s">
        <v>2493</v>
      </c>
      <c r="H1567" s="141"/>
      <c r="I1567" s="202" t="s">
        <v>18</v>
      </c>
      <c r="J1567" s="153">
        <v>1</v>
      </c>
      <c r="K1567" s="142" t="s">
        <v>730</v>
      </c>
      <c r="L1567" s="168" t="s">
        <v>2522</v>
      </c>
      <c r="M1567" s="19"/>
      <c r="N1567" s="142" t="s">
        <v>2597</v>
      </c>
      <c r="O1567" s="143"/>
      <c r="P1567" s="43"/>
      <c r="Q1567" s="43"/>
      <c r="R1567" s="142" t="s">
        <v>272</v>
      </c>
    </row>
    <row r="1568" spans="1:18" ht="35.25" customHeight="1">
      <c r="A1568" s="15">
        <f t="shared" si="24"/>
        <v>1558</v>
      </c>
      <c r="B1568" s="11" t="s">
        <v>2225</v>
      </c>
      <c r="C1568" s="150" t="s">
        <v>32</v>
      </c>
      <c r="D1568" s="19"/>
      <c r="E1568" s="19"/>
      <c r="F1568" s="19"/>
      <c r="G1568" s="142" t="s">
        <v>2493</v>
      </c>
      <c r="H1568" s="141"/>
      <c r="I1568" s="202" t="s">
        <v>18</v>
      </c>
      <c r="J1568" s="153">
        <v>1</v>
      </c>
      <c r="K1568" s="142" t="s">
        <v>730</v>
      </c>
      <c r="L1568" s="168" t="s">
        <v>2522</v>
      </c>
      <c r="M1568" s="19"/>
      <c r="N1568" s="142" t="s">
        <v>2597</v>
      </c>
      <c r="O1568" s="143"/>
      <c r="P1568" s="43"/>
      <c r="Q1568" s="43"/>
      <c r="R1568" s="142" t="s">
        <v>272</v>
      </c>
    </row>
    <row r="1569" spans="1:18" ht="35.25" customHeight="1">
      <c r="A1569" s="15">
        <f t="shared" si="24"/>
        <v>1559</v>
      </c>
      <c r="B1569" s="144" t="s">
        <v>2226</v>
      </c>
      <c r="C1569" s="150" t="s">
        <v>32</v>
      </c>
      <c r="D1569" s="19"/>
      <c r="E1569" s="19"/>
      <c r="F1569" s="19"/>
      <c r="G1569" s="142" t="s">
        <v>2493</v>
      </c>
      <c r="H1569" s="141"/>
      <c r="I1569" s="202" t="s">
        <v>18</v>
      </c>
      <c r="J1569" s="153">
        <v>1</v>
      </c>
      <c r="K1569" s="142" t="s">
        <v>730</v>
      </c>
      <c r="L1569" s="168" t="s">
        <v>2522</v>
      </c>
      <c r="M1569" s="19"/>
      <c r="N1569" s="142" t="s">
        <v>2597</v>
      </c>
      <c r="O1569" s="143"/>
      <c r="P1569" s="43"/>
      <c r="Q1569" s="43"/>
      <c r="R1569" s="142" t="s">
        <v>272</v>
      </c>
    </row>
    <row r="1570" spans="1:18" ht="35.25" customHeight="1">
      <c r="A1570" s="15">
        <f t="shared" si="24"/>
        <v>1560</v>
      </c>
      <c r="B1570" s="144" t="s">
        <v>2227</v>
      </c>
      <c r="C1570" s="150" t="s">
        <v>32</v>
      </c>
      <c r="D1570" s="19"/>
      <c r="E1570" s="19"/>
      <c r="F1570" s="19"/>
      <c r="G1570" s="142" t="s">
        <v>2493</v>
      </c>
      <c r="H1570" s="141"/>
      <c r="I1570" s="202" t="s">
        <v>18</v>
      </c>
      <c r="J1570" s="153">
        <v>1</v>
      </c>
      <c r="K1570" s="142" t="s">
        <v>730</v>
      </c>
      <c r="L1570" s="168" t="s">
        <v>2522</v>
      </c>
      <c r="M1570" s="19"/>
      <c r="N1570" s="142" t="s">
        <v>2597</v>
      </c>
      <c r="O1570" s="143"/>
      <c r="P1570" s="43"/>
      <c r="Q1570" s="43"/>
      <c r="R1570" s="142" t="s">
        <v>272</v>
      </c>
    </row>
    <row r="1571" spans="1:18" ht="35.25" customHeight="1">
      <c r="A1571" s="15">
        <f t="shared" si="24"/>
        <v>1561</v>
      </c>
      <c r="B1571" s="144" t="s">
        <v>2228</v>
      </c>
      <c r="C1571" s="150" t="s">
        <v>32</v>
      </c>
      <c r="D1571" s="19"/>
      <c r="E1571" s="19"/>
      <c r="F1571" s="19"/>
      <c r="G1571" s="142" t="s">
        <v>2493</v>
      </c>
      <c r="H1571" s="141"/>
      <c r="I1571" s="202" t="s">
        <v>18</v>
      </c>
      <c r="J1571" s="153">
        <v>1</v>
      </c>
      <c r="K1571" s="142" t="s">
        <v>730</v>
      </c>
      <c r="L1571" s="168" t="s">
        <v>2522</v>
      </c>
      <c r="M1571" s="19"/>
      <c r="N1571" s="142" t="s">
        <v>2597</v>
      </c>
      <c r="O1571" s="143"/>
      <c r="P1571" s="43"/>
      <c r="Q1571" s="43"/>
      <c r="R1571" s="142" t="s">
        <v>272</v>
      </c>
    </row>
    <row r="1572" spans="1:18" ht="35.25" customHeight="1">
      <c r="A1572" s="15">
        <f t="shared" si="24"/>
        <v>1562</v>
      </c>
      <c r="B1572" s="144" t="s">
        <v>2229</v>
      </c>
      <c r="C1572" s="150" t="s">
        <v>32</v>
      </c>
      <c r="D1572" s="19"/>
      <c r="E1572" s="19"/>
      <c r="F1572" s="19"/>
      <c r="G1572" s="142" t="s">
        <v>2493</v>
      </c>
      <c r="H1572" s="141"/>
      <c r="I1572" s="202" t="s">
        <v>18</v>
      </c>
      <c r="J1572" s="153">
        <v>1</v>
      </c>
      <c r="K1572" s="142" t="s">
        <v>730</v>
      </c>
      <c r="L1572" s="168" t="s">
        <v>2522</v>
      </c>
      <c r="M1572" s="19"/>
      <c r="N1572" s="142" t="s">
        <v>2597</v>
      </c>
      <c r="O1572" s="143"/>
      <c r="P1572" s="43"/>
      <c r="Q1572" s="43"/>
      <c r="R1572" s="142" t="s">
        <v>272</v>
      </c>
    </row>
    <row r="1573" spans="1:18" ht="35.25" customHeight="1">
      <c r="A1573" s="15">
        <f t="shared" si="24"/>
        <v>1563</v>
      </c>
      <c r="B1573" s="144" t="s">
        <v>2230</v>
      </c>
      <c r="C1573" s="150" t="s">
        <v>32</v>
      </c>
      <c r="D1573" s="19"/>
      <c r="E1573" s="19"/>
      <c r="F1573" s="19"/>
      <c r="G1573" s="142" t="s">
        <v>2493</v>
      </c>
      <c r="H1573" s="141"/>
      <c r="I1573" s="202" t="s">
        <v>18</v>
      </c>
      <c r="J1573" s="153">
        <v>1</v>
      </c>
      <c r="K1573" s="142" t="s">
        <v>730</v>
      </c>
      <c r="L1573" s="168" t="s">
        <v>2522</v>
      </c>
      <c r="M1573" s="19"/>
      <c r="N1573" s="142" t="s">
        <v>2597</v>
      </c>
      <c r="O1573" s="143"/>
      <c r="P1573" s="43"/>
      <c r="Q1573" s="43"/>
      <c r="R1573" s="142" t="s">
        <v>272</v>
      </c>
    </row>
    <row r="1574" spans="1:18" ht="35.25" customHeight="1">
      <c r="A1574" s="15">
        <f t="shared" si="24"/>
        <v>1564</v>
      </c>
      <c r="B1574" s="144" t="s">
        <v>2231</v>
      </c>
      <c r="C1574" s="150" t="s">
        <v>32</v>
      </c>
      <c r="D1574" s="19"/>
      <c r="E1574" s="19"/>
      <c r="F1574" s="19"/>
      <c r="G1574" s="142" t="s">
        <v>2493</v>
      </c>
      <c r="H1574" s="141"/>
      <c r="I1574" s="202" t="s">
        <v>18</v>
      </c>
      <c r="J1574" s="153">
        <v>1</v>
      </c>
      <c r="K1574" s="142" t="s">
        <v>730</v>
      </c>
      <c r="L1574" s="168" t="s">
        <v>2522</v>
      </c>
      <c r="M1574" s="19"/>
      <c r="N1574" s="142" t="s">
        <v>2597</v>
      </c>
      <c r="O1574" s="143"/>
      <c r="P1574" s="43"/>
      <c r="Q1574" s="43"/>
      <c r="R1574" s="142" t="s">
        <v>272</v>
      </c>
    </row>
    <row r="1575" spans="1:18" ht="35.25" customHeight="1">
      <c r="A1575" s="15">
        <f t="shared" si="24"/>
        <v>1565</v>
      </c>
      <c r="B1575" s="144" t="s">
        <v>2232</v>
      </c>
      <c r="C1575" s="150" t="s">
        <v>32</v>
      </c>
      <c r="D1575" s="19"/>
      <c r="E1575" s="19"/>
      <c r="F1575" s="19"/>
      <c r="G1575" s="142" t="s">
        <v>2493</v>
      </c>
      <c r="H1575" s="141"/>
      <c r="I1575" s="202" t="s">
        <v>18</v>
      </c>
      <c r="J1575" s="153">
        <v>1</v>
      </c>
      <c r="K1575" s="142" t="s">
        <v>730</v>
      </c>
      <c r="L1575" s="168" t="s">
        <v>2522</v>
      </c>
      <c r="M1575" s="19"/>
      <c r="N1575" s="142" t="s">
        <v>2597</v>
      </c>
      <c r="O1575" s="143"/>
      <c r="P1575" s="43"/>
      <c r="Q1575" s="43"/>
      <c r="R1575" s="142" t="s">
        <v>272</v>
      </c>
    </row>
    <row r="1576" spans="1:18" ht="35.25" customHeight="1">
      <c r="A1576" s="15">
        <f t="shared" si="24"/>
        <v>1566</v>
      </c>
      <c r="B1576" s="144" t="s">
        <v>2233</v>
      </c>
      <c r="C1576" s="150" t="s">
        <v>32</v>
      </c>
      <c r="D1576" s="19"/>
      <c r="E1576" s="19"/>
      <c r="F1576" s="19"/>
      <c r="G1576" s="142" t="s">
        <v>2493</v>
      </c>
      <c r="H1576" s="141"/>
      <c r="I1576" s="202" t="s">
        <v>18</v>
      </c>
      <c r="J1576" s="153">
        <v>1</v>
      </c>
      <c r="K1576" s="142" t="s">
        <v>730</v>
      </c>
      <c r="L1576" s="168" t="s">
        <v>2522</v>
      </c>
      <c r="M1576" s="19"/>
      <c r="N1576" s="142" t="s">
        <v>2597</v>
      </c>
      <c r="O1576" s="143"/>
      <c r="P1576" s="43"/>
      <c r="Q1576" s="43"/>
      <c r="R1576" s="142" t="s">
        <v>272</v>
      </c>
    </row>
    <row r="1577" spans="1:18" ht="35.25" customHeight="1">
      <c r="A1577" s="15">
        <f t="shared" si="24"/>
        <v>1567</v>
      </c>
      <c r="B1577" s="144" t="s">
        <v>2234</v>
      </c>
      <c r="C1577" s="150" t="s">
        <v>32</v>
      </c>
      <c r="D1577" s="19"/>
      <c r="E1577" s="19"/>
      <c r="F1577" s="19"/>
      <c r="G1577" s="142" t="s">
        <v>2493</v>
      </c>
      <c r="H1577" s="141"/>
      <c r="I1577" s="202" t="s">
        <v>18</v>
      </c>
      <c r="J1577" s="153">
        <v>1</v>
      </c>
      <c r="K1577" s="142" t="s">
        <v>730</v>
      </c>
      <c r="L1577" s="168" t="s">
        <v>2522</v>
      </c>
      <c r="M1577" s="19"/>
      <c r="N1577" s="142" t="s">
        <v>2597</v>
      </c>
      <c r="O1577" s="143"/>
      <c r="P1577" s="43"/>
      <c r="Q1577" s="43"/>
      <c r="R1577" s="142" t="s">
        <v>272</v>
      </c>
    </row>
    <row r="1578" spans="1:18" ht="35.25" customHeight="1">
      <c r="A1578" s="15">
        <f t="shared" si="24"/>
        <v>1568</v>
      </c>
      <c r="B1578" s="144" t="s">
        <v>2235</v>
      </c>
      <c r="C1578" s="150" t="s">
        <v>32</v>
      </c>
      <c r="D1578" s="19"/>
      <c r="E1578" s="19"/>
      <c r="F1578" s="19"/>
      <c r="G1578" s="142" t="s">
        <v>2493</v>
      </c>
      <c r="H1578" s="141"/>
      <c r="I1578" s="202" t="s">
        <v>18</v>
      </c>
      <c r="J1578" s="153">
        <v>1</v>
      </c>
      <c r="K1578" s="142" t="s">
        <v>730</v>
      </c>
      <c r="L1578" s="168" t="s">
        <v>2522</v>
      </c>
      <c r="M1578" s="19"/>
      <c r="N1578" s="142" t="s">
        <v>2597</v>
      </c>
      <c r="O1578" s="143"/>
      <c r="P1578" s="43"/>
      <c r="Q1578" s="43"/>
      <c r="R1578" s="142" t="s">
        <v>272</v>
      </c>
    </row>
    <row r="1579" spans="1:18" ht="35.25" customHeight="1">
      <c r="A1579" s="15">
        <f t="shared" si="24"/>
        <v>1569</v>
      </c>
      <c r="B1579" s="144" t="s">
        <v>2236</v>
      </c>
      <c r="C1579" s="150" t="s">
        <v>32</v>
      </c>
      <c r="D1579" s="19"/>
      <c r="E1579" s="19"/>
      <c r="F1579" s="19"/>
      <c r="G1579" s="142" t="s">
        <v>2493</v>
      </c>
      <c r="H1579" s="141"/>
      <c r="I1579" s="202" t="s">
        <v>18</v>
      </c>
      <c r="J1579" s="153">
        <v>1</v>
      </c>
      <c r="K1579" s="142" t="s">
        <v>730</v>
      </c>
      <c r="L1579" s="168" t="s">
        <v>2522</v>
      </c>
      <c r="M1579" s="19"/>
      <c r="N1579" s="142" t="s">
        <v>2597</v>
      </c>
      <c r="O1579" s="143"/>
      <c r="P1579" s="43"/>
      <c r="Q1579" s="43"/>
      <c r="R1579" s="142" t="s">
        <v>272</v>
      </c>
    </row>
    <row r="1580" spans="1:18" ht="35.25" customHeight="1">
      <c r="A1580" s="15">
        <f t="shared" si="24"/>
        <v>1570</v>
      </c>
      <c r="B1580" s="144" t="s">
        <v>2237</v>
      </c>
      <c r="C1580" s="150" t="s">
        <v>32</v>
      </c>
      <c r="D1580" s="19"/>
      <c r="E1580" s="19"/>
      <c r="F1580" s="19"/>
      <c r="G1580" s="142" t="s">
        <v>2493</v>
      </c>
      <c r="H1580" s="141"/>
      <c r="I1580" s="202" t="s">
        <v>18</v>
      </c>
      <c r="J1580" s="153">
        <v>1</v>
      </c>
      <c r="K1580" s="142" t="s">
        <v>730</v>
      </c>
      <c r="L1580" s="168" t="s">
        <v>2522</v>
      </c>
      <c r="M1580" s="19"/>
      <c r="N1580" s="142" t="s">
        <v>2597</v>
      </c>
      <c r="O1580" s="143"/>
      <c r="P1580" s="43"/>
      <c r="Q1580" s="43"/>
      <c r="R1580" s="142" t="s">
        <v>272</v>
      </c>
    </row>
    <row r="1581" spans="1:18" ht="35.25" customHeight="1">
      <c r="A1581" s="15">
        <f t="shared" si="24"/>
        <v>1571</v>
      </c>
      <c r="B1581" s="144" t="s">
        <v>2238</v>
      </c>
      <c r="C1581" s="150" t="s">
        <v>32</v>
      </c>
      <c r="D1581" s="19"/>
      <c r="E1581" s="19"/>
      <c r="F1581" s="19"/>
      <c r="G1581" s="142" t="s">
        <v>2493</v>
      </c>
      <c r="H1581" s="141"/>
      <c r="I1581" s="202" t="s">
        <v>18</v>
      </c>
      <c r="J1581" s="153">
        <v>1</v>
      </c>
      <c r="K1581" s="142" t="s">
        <v>730</v>
      </c>
      <c r="L1581" s="168" t="s">
        <v>2522</v>
      </c>
      <c r="M1581" s="19"/>
      <c r="N1581" s="142" t="s">
        <v>2597</v>
      </c>
      <c r="O1581" s="143"/>
      <c r="P1581" s="43"/>
      <c r="Q1581" s="43"/>
      <c r="R1581" s="142" t="s">
        <v>272</v>
      </c>
    </row>
    <row r="1582" spans="1:18" ht="35.25" customHeight="1">
      <c r="A1582" s="15">
        <f t="shared" si="24"/>
        <v>1572</v>
      </c>
      <c r="B1582" s="144" t="s">
        <v>2239</v>
      </c>
      <c r="C1582" s="150" t="s">
        <v>32</v>
      </c>
      <c r="D1582" s="19"/>
      <c r="E1582" s="19"/>
      <c r="F1582" s="19"/>
      <c r="G1582" s="142" t="s">
        <v>2493</v>
      </c>
      <c r="H1582" s="141"/>
      <c r="I1582" s="202" t="s">
        <v>18</v>
      </c>
      <c r="J1582" s="153">
        <v>1</v>
      </c>
      <c r="K1582" s="142" t="s">
        <v>730</v>
      </c>
      <c r="L1582" s="168" t="s">
        <v>2522</v>
      </c>
      <c r="M1582" s="19"/>
      <c r="N1582" s="142" t="s">
        <v>2597</v>
      </c>
      <c r="O1582" s="143"/>
      <c r="P1582" s="43"/>
      <c r="Q1582" s="43"/>
      <c r="R1582" s="142" t="s">
        <v>272</v>
      </c>
    </row>
    <row r="1583" spans="1:18" ht="35.25" customHeight="1">
      <c r="A1583" s="15">
        <f t="shared" si="24"/>
        <v>1573</v>
      </c>
      <c r="B1583" s="144" t="s">
        <v>2240</v>
      </c>
      <c r="C1583" s="150" t="s">
        <v>32</v>
      </c>
      <c r="D1583" s="19"/>
      <c r="E1583" s="19"/>
      <c r="F1583" s="19"/>
      <c r="G1583" s="142" t="s">
        <v>2493</v>
      </c>
      <c r="H1583" s="141"/>
      <c r="I1583" s="202" t="s">
        <v>18</v>
      </c>
      <c r="J1583" s="153">
        <v>1</v>
      </c>
      <c r="K1583" s="142" t="s">
        <v>730</v>
      </c>
      <c r="L1583" s="168" t="s">
        <v>2522</v>
      </c>
      <c r="M1583" s="19"/>
      <c r="N1583" s="142" t="s">
        <v>2597</v>
      </c>
      <c r="O1583" s="143"/>
      <c r="P1583" s="43"/>
      <c r="Q1583" s="43"/>
      <c r="R1583" s="142" t="s">
        <v>272</v>
      </c>
    </row>
    <row r="1584" spans="1:18" ht="35.25" customHeight="1">
      <c r="A1584" s="15">
        <f t="shared" si="24"/>
        <v>1574</v>
      </c>
      <c r="B1584" s="144" t="s">
        <v>2241</v>
      </c>
      <c r="C1584" s="150" t="s">
        <v>147</v>
      </c>
      <c r="D1584" s="19"/>
      <c r="E1584" s="19"/>
      <c r="F1584" s="19"/>
      <c r="G1584" s="142" t="s">
        <v>147</v>
      </c>
      <c r="H1584" s="141"/>
      <c r="I1584" s="202" t="s">
        <v>18</v>
      </c>
      <c r="J1584" s="153">
        <v>1</v>
      </c>
      <c r="K1584" s="142" t="s">
        <v>730</v>
      </c>
      <c r="L1584" s="168" t="s">
        <v>2522</v>
      </c>
      <c r="M1584" s="19"/>
      <c r="N1584" s="142" t="s">
        <v>2597</v>
      </c>
      <c r="O1584" s="143"/>
      <c r="P1584" s="43"/>
      <c r="Q1584" s="43"/>
      <c r="R1584" s="142" t="s">
        <v>272</v>
      </c>
    </row>
    <row r="1585" spans="1:18" ht="35.25" customHeight="1">
      <c r="A1585" s="15">
        <f t="shared" si="24"/>
        <v>1575</v>
      </c>
      <c r="B1585" s="144" t="s">
        <v>2242</v>
      </c>
      <c r="C1585" s="150" t="s">
        <v>147</v>
      </c>
      <c r="D1585" s="19"/>
      <c r="E1585" s="19"/>
      <c r="F1585" s="19"/>
      <c r="G1585" s="142" t="s">
        <v>147</v>
      </c>
      <c r="H1585" s="141"/>
      <c r="I1585" s="202" t="s">
        <v>18</v>
      </c>
      <c r="J1585" s="153">
        <v>1</v>
      </c>
      <c r="K1585" s="142" t="s">
        <v>730</v>
      </c>
      <c r="L1585" s="168" t="s">
        <v>2522</v>
      </c>
      <c r="M1585" s="19"/>
      <c r="N1585" s="142" t="s">
        <v>2597</v>
      </c>
      <c r="O1585" s="143"/>
      <c r="P1585" s="43"/>
      <c r="Q1585" s="43"/>
      <c r="R1585" s="142" t="s">
        <v>272</v>
      </c>
    </row>
    <row r="1586" spans="1:18" ht="35.25" customHeight="1">
      <c r="A1586" s="15">
        <f t="shared" si="24"/>
        <v>1576</v>
      </c>
      <c r="B1586" s="144" t="s">
        <v>2243</v>
      </c>
      <c r="C1586" s="150" t="s">
        <v>147</v>
      </c>
      <c r="D1586" s="19"/>
      <c r="E1586" s="19"/>
      <c r="F1586" s="19"/>
      <c r="G1586" s="142" t="s">
        <v>147</v>
      </c>
      <c r="H1586" s="141"/>
      <c r="I1586" s="202" t="s">
        <v>18</v>
      </c>
      <c r="J1586" s="153">
        <v>1</v>
      </c>
      <c r="K1586" s="142" t="s">
        <v>730</v>
      </c>
      <c r="L1586" s="168" t="s">
        <v>2522</v>
      </c>
      <c r="M1586" s="19"/>
      <c r="N1586" s="142" t="s">
        <v>2597</v>
      </c>
      <c r="O1586" s="143"/>
      <c r="P1586" s="43"/>
      <c r="Q1586" s="43"/>
      <c r="R1586" s="142" t="s">
        <v>272</v>
      </c>
    </row>
    <row r="1587" spans="1:18" ht="35.25" customHeight="1">
      <c r="A1587" s="15">
        <f t="shared" si="24"/>
        <v>1577</v>
      </c>
      <c r="B1587" s="144" t="s">
        <v>2244</v>
      </c>
      <c r="C1587" s="150" t="s">
        <v>147</v>
      </c>
      <c r="D1587" s="19"/>
      <c r="E1587" s="19"/>
      <c r="F1587" s="19"/>
      <c r="G1587" s="142" t="s">
        <v>147</v>
      </c>
      <c r="H1587" s="141"/>
      <c r="I1587" s="202" t="s">
        <v>18</v>
      </c>
      <c r="J1587" s="153">
        <v>1</v>
      </c>
      <c r="K1587" s="142" t="s">
        <v>730</v>
      </c>
      <c r="L1587" s="168" t="s">
        <v>2522</v>
      </c>
      <c r="M1587" s="19"/>
      <c r="N1587" s="142" t="s">
        <v>2597</v>
      </c>
      <c r="O1587" s="143"/>
      <c r="P1587" s="43"/>
      <c r="Q1587" s="43"/>
      <c r="R1587" s="142" t="s">
        <v>272</v>
      </c>
    </row>
    <row r="1588" spans="1:18" ht="35.25" customHeight="1">
      <c r="A1588" s="15">
        <f t="shared" si="24"/>
        <v>1578</v>
      </c>
      <c r="B1588" s="144" t="s">
        <v>2245</v>
      </c>
      <c r="C1588" s="150" t="s">
        <v>147</v>
      </c>
      <c r="D1588" s="19"/>
      <c r="E1588" s="19"/>
      <c r="F1588" s="19"/>
      <c r="G1588" s="142" t="s">
        <v>147</v>
      </c>
      <c r="H1588" s="141"/>
      <c r="I1588" s="202" t="s">
        <v>18</v>
      </c>
      <c r="J1588" s="153">
        <v>1</v>
      </c>
      <c r="K1588" s="142" t="s">
        <v>730</v>
      </c>
      <c r="L1588" s="168" t="s">
        <v>2522</v>
      </c>
      <c r="M1588" s="19"/>
      <c r="N1588" s="142" t="s">
        <v>2597</v>
      </c>
      <c r="O1588" s="143"/>
      <c r="P1588" s="43"/>
      <c r="Q1588" s="43"/>
      <c r="R1588" s="142" t="s">
        <v>272</v>
      </c>
    </row>
    <row r="1589" spans="1:18" ht="35.25" customHeight="1">
      <c r="A1589" s="15">
        <f t="shared" si="24"/>
        <v>1579</v>
      </c>
      <c r="B1589" s="144" t="s">
        <v>2246</v>
      </c>
      <c r="C1589" s="150" t="s">
        <v>147</v>
      </c>
      <c r="D1589" s="19"/>
      <c r="E1589" s="19"/>
      <c r="F1589" s="19"/>
      <c r="G1589" s="142" t="s">
        <v>147</v>
      </c>
      <c r="H1589" s="141"/>
      <c r="I1589" s="202" t="s">
        <v>18</v>
      </c>
      <c r="J1589" s="153">
        <v>1</v>
      </c>
      <c r="K1589" s="142" t="s">
        <v>730</v>
      </c>
      <c r="L1589" s="168" t="s">
        <v>2522</v>
      </c>
      <c r="M1589" s="19"/>
      <c r="N1589" s="142" t="s">
        <v>2597</v>
      </c>
      <c r="O1589" s="143"/>
      <c r="P1589" s="43"/>
      <c r="Q1589" s="43"/>
      <c r="R1589" s="142" t="s">
        <v>272</v>
      </c>
    </row>
    <row r="1590" spans="1:18" ht="35.25" customHeight="1">
      <c r="A1590" s="15">
        <f t="shared" si="24"/>
        <v>1580</v>
      </c>
      <c r="B1590" s="144" t="s">
        <v>2247</v>
      </c>
      <c r="C1590" s="150" t="s">
        <v>147</v>
      </c>
      <c r="D1590" s="19"/>
      <c r="E1590" s="19"/>
      <c r="F1590" s="19"/>
      <c r="G1590" s="142" t="s">
        <v>147</v>
      </c>
      <c r="H1590" s="141"/>
      <c r="I1590" s="202" t="s">
        <v>18</v>
      </c>
      <c r="J1590" s="153">
        <v>1</v>
      </c>
      <c r="K1590" s="142" t="s">
        <v>730</v>
      </c>
      <c r="L1590" s="168" t="s">
        <v>2522</v>
      </c>
      <c r="M1590" s="19"/>
      <c r="N1590" s="142" t="s">
        <v>2597</v>
      </c>
      <c r="O1590" s="143"/>
      <c r="P1590" s="43"/>
      <c r="Q1590" s="43"/>
      <c r="R1590" s="142" t="s">
        <v>272</v>
      </c>
    </row>
    <row r="1591" spans="1:18" ht="35.25" customHeight="1">
      <c r="A1591" s="15">
        <f t="shared" si="24"/>
        <v>1581</v>
      </c>
      <c r="B1591" s="144" t="s">
        <v>2248</v>
      </c>
      <c r="C1591" s="150" t="s">
        <v>147</v>
      </c>
      <c r="D1591" s="19"/>
      <c r="E1591" s="19"/>
      <c r="F1591" s="19"/>
      <c r="G1591" s="142" t="s">
        <v>147</v>
      </c>
      <c r="H1591" s="141"/>
      <c r="I1591" s="202" t="s">
        <v>18</v>
      </c>
      <c r="J1591" s="153">
        <v>1</v>
      </c>
      <c r="K1591" s="142" t="s">
        <v>730</v>
      </c>
      <c r="L1591" s="168" t="s">
        <v>2522</v>
      </c>
      <c r="M1591" s="19"/>
      <c r="N1591" s="142" t="s">
        <v>2597</v>
      </c>
      <c r="O1591" s="143"/>
      <c r="P1591" s="43"/>
      <c r="Q1591" s="43"/>
      <c r="R1591" s="142" t="s">
        <v>272</v>
      </c>
    </row>
    <row r="1592" spans="1:18" ht="35.25" customHeight="1">
      <c r="A1592" s="15">
        <f t="shared" si="24"/>
        <v>1582</v>
      </c>
      <c r="B1592" s="144" t="s">
        <v>2249</v>
      </c>
      <c r="C1592" s="150" t="s">
        <v>147</v>
      </c>
      <c r="D1592" s="19"/>
      <c r="E1592" s="19"/>
      <c r="F1592" s="19"/>
      <c r="G1592" s="142" t="s">
        <v>147</v>
      </c>
      <c r="H1592" s="141"/>
      <c r="I1592" s="202" t="s">
        <v>18</v>
      </c>
      <c r="J1592" s="153">
        <v>1</v>
      </c>
      <c r="K1592" s="142" t="s">
        <v>730</v>
      </c>
      <c r="L1592" s="168" t="s">
        <v>2522</v>
      </c>
      <c r="M1592" s="19"/>
      <c r="N1592" s="142" t="s">
        <v>2597</v>
      </c>
      <c r="O1592" s="143"/>
      <c r="P1592" s="43"/>
      <c r="Q1592" s="43"/>
      <c r="R1592" s="142" t="s">
        <v>272</v>
      </c>
    </row>
    <row r="1593" spans="1:18" ht="35.25" customHeight="1">
      <c r="A1593" s="15">
        <f t="shared" si="24"/>
        <v>1583</v>
      </c>
      <c r="B1593" s="144" t="s">
        <v>2250</v>
      </c>
      <c r="C1593" s="150" t="s">
        <v>147</v>
      </c>
      <c r="D1593" s="19"/>
      <c r="E1593" s="19"/>
      <c r="F1593" s="19"/>
      <c r="G1593" s="142" t="s">
        <v>147</v>
      </c>
      <c r="H1593" s="141"/>
      <c r="I1593" s="202" t="s">
        <v>18</v>
      </c>
      <c r="J1593" s="153">
        <v>1</v>
      </c>
      <c r="K1593" s="142" t="s">
        <v>730</v>
      </c>
      <c r="L1593" s="168" t="s">
        <v>2522</v>
      </c>
      <c r="M1593" s="19"/>
      <c r="N1593" s="142" t="s">
        <v>2597</v>
      </c>
      <c r="O1593" s="143"/>
      <c r="P1593" s="43"/>
      <c r="Q1593" s="43"/>
      <c r="R1593" s="142" t="s">
        <v>272</v>
      </c>
    </row>
    <row r="1594" spans="1:18" ht="35.25" customHeight="1">
      <c r="A1594" s="15">
        <f t="shared" si="24"/>
        <v>1584</v>
      </c>
      <c r="B1594" s="144" t="s">
        <v>2251</v>
      </c>
      <c r="C1594" s="150" t="s">
        <v>147</v>
      </c>
      <c r="D1594" s="19"/>
      <c r="E1594" s="19"/>
      <c r="F1594" s="19"/>
      <c r="G1594" s="142" t="s">
        <v>147</v>
      </c>
      <c r="H1594" s="141"/>
      <c r="I1594" s="202" t="s">
        <v>18</v>
      </c>
      <c r="J1594" s="153">
        <v>1</v>
      </c>
      <c r="K1594" s="142" t="s">
        <v>730</v>
      </c>
      <c r="L1594" s="168" t="s">
        <v>2522</v>
      </c>
      <c r="M1594" s="19"/>
      <c r="N1594" s="142" t="s">
        <v>2597</v>
      </c>
      <c r="O1594" s="143"/>
      <c r="P1594" s="43"/>
      <c r="Q1594" s="43"/>
      <c r="R1594" s="142" t="s">
        <v>272</v>
      </c>
    </row>
    <row r="1595" spans="1:18" ht="35.25" customHeight="1">
      <c r="A1595" s="15">
        <f t="shared" si="24"/>
        <v>1585</v>
      </c>
      <c r="B1595" s="144" t="s">
        <v>2252</v>
      </c>
      <c r="C1595" s="150" t="s">
        <v>147</v>
      </c>
      <c r="D1595" s="19"/>
      <c r="E1595" s="19"/>
      <c r="F1595" s="19"/>
      <c r="G1595" s="142" t="s">
        <v>147</v>
      </c>
      <c r="H1595" s="141"/>
      <c r="I1595" s="202" t="s">
        <v>18</v>
      </c>
      <c r="J1595" s="153">
        <v>1</v>
      </c>
      <c r="K1595" s="142" t="s">
        <v>730</v>
      </c>
      <c r="L1595" s="168" t="s">
        <v>2522</v>
      </c>
      <c r="M1595" s="19"/>
      <c r="N1595" s="142" t="s">
        <v>2597</v>
      </c>
      <c r="O1595" s="143"/>
      <c r="P1595" s="43"/>
      <c r="Q1595" s="43"/>
      <c r="R1595" s="142" t="s">
        <v>272</v>
      </c>
    </row>
    <row r="1596" spans="1:18" ht="35.25" customHeight="1">
      <c r="A1596" s="15">
        <f t="shared" si="24"/>
        <v>1586</v>
      </c>
      <c r="B1596" s="144" t="s">
        <v>2253</v>
      </c>
      <c r="C1596" s="150" t="s">
        <v>147</v>
      </c>
      <c r="D1596" s="19"/>
      <c r="E1596" s="19"/>
      <c r="F1596" s="19"/>
      <c r="G1596" s="142" t="s">
        <v>147</v>
      </c>
      <c r="H1596" s="141"/>
      <c r="I1596" s="202" t="s">
        <v>18</v>
      </c>
      <c r="J1596" s="153">
        <v>1</v>
      </c>
      <c r="K1596" s="142" t="s">
        <v>730</v>
      </c>
      <c r="L1596" s="168" t="s">
        <v>2522</v>
      </c>
      <c r="M1596" s="19"/>
      <c r="N1596" s="142" t="s">
        <v>2597</v>
      </c>
      <c r="O1596" s="143"/>
      <c r="P1596" s="43"/>
      <c r="Q1596" s="43"/>
      <c r="R1596" s="142" t="s">
        <v>272</v>
      </c>
    </row>
    <row r="1597" spans="1:18" ht="35.25" customHeight="1">
      <c r="A1597" s="15">
        <f t="shared" si="24"/>
        <v>1587</v>
      </c>
      <c r="B1597" s="144" t="s">
        <v>2254</v>
      </c>
      <c r="C1597" s="150" t="s">
        <v>147</v>
      </c>
      <c r="D1597" s="19"/>
      <c r="E1597" s="19"/>
      <c r="F1597" s="19"/>
      <c r="G1597" s="142" t="s">
        <v>147</v>
      </c>
      <c r="H1597" s="141"/>
      <c r="I1597" s="202" t="s">
        <v>18</v>
      </c>
      <c r="J1597" s="153">
        <v>1</v>
      </c>
      <c r="K1597" s="142" t="s">
        <v>730</v>
      </c>
      <c r="L1597" s="168" t="s">
        <v>2522</v>
      </c>
      <c r="M1597" s="19"/>
      <c r="N1597" s="142" t="s">
        <v>2597</v>
      </c>
      <c r="O1597" s="143"/>
      <c r="P1597" s="43"/>
      <c r="Q1597" s="43"/>
      <c r="R1597" s="142" t="s">
        <v>272</v>
      </c>
    </row>
    <row r="1598" spans="1:18" ht="35.25" customHeight="1">
      <c r="A1598" s="15">
        <f t="shared" si="24"/>
        <v>1588</v>
      </c>
      <c r="B1598" s="144" t="s">
        <v>2255</v>
      </c>
      <c r="C1598" s="150" t="s">
        <v>147</v>
      </c>
      <c r="D1598" s="19"/>
      <c r="E1598" s="19"/>
      <c r="F1598" s="19"/>
      <c r="G1598" s="142" t="s">
        <v>147</v>
      </c>
      <c r="H1598" s="141"/>
      <c r="I1598" s="202" t="s">
        <v>18</v>
      </c>
      <c r="J1598" s="153">
        <v>1</v>
      </c>
      <c r="K1598" s="142" t="s">
        <v>730</v>
      </c>
      <c r="L1598" s="168" t="s">
        <v>2522</v>
      </c>
      <c r="M1598" s="19"/>
      <c r="N1598" s="142" t="s">
        <v>2597</v>
      </c>
      <c r="O1598" s="143"/>
      <c r="P1598" s="43"/>
      <c r="Q1598" s="43"/>
      <c r="R1598" s="142" t="s">
        <v>272</v>
      </c>
    </row>
    <row r="1599" spans="1:18" ht="35.25" customHeight="1">
      <c r="A1599" s="15">
        <f t="shared" si="24"/>
        <v>1589</v>
      </c>
      <c r="B1599" s="144" t="s">
        <v>2256</v>
      </c>
      <c r="C1599" s="150" t="s">
        <v>147</v>
      </c>
      <c r="D1599" s="19"/>
      <c r="E1599" s="19"/>
      <c r="F1599" s="19"/>
      <c r="G1599" s="142" t="s">
        <v>147</v>
      </c>
      <c r="H1599" s="141"/>
      <c r="I1599" s="202" t="s">
        <v>18</v>
      </c>
      <c r="J1599" s="153">
        <v>1</v>
      </c>
      <c r="K1599" s="142" t="s">
        <v>730</v>
      </c>
      <c r="L1599" s="168" t="s">
        <v>2522</v>
      </c>
      <c r="M1599" s="19"/>
      <c r="N1599" s="142" t="s">
        <v>2597</v>
      </c>
      <c r="O1599" s="143"/>
      <c r="P1599" s="43"/>
      <c r="Q1599" s="43"/>
      <c r="R1599" s="142" t="s">
        <v>272</v>
      </c>
    </row>
    <row r="1600" spans="1:18" ht="35.25" customHeight="1">
      <c r="A1600" s="15">
        <f t="shared" si="24"/>
        <v>1590</v>
      </c>
      <c r="B1600" s="144" t="s">
        <v>2257</v>
      </c>
      <c r="C1600" s="150" t="s">
        <v>147</v>
      </c>
      <c r="D1600" s="19"/>
      <c r="E1600" s="19"/>
      <c r="F1600" s="19"/>
      <c r="G1600" s="142" t="s">
        <v>147</v>
      </c>
      <c r="H1600" s="141"/>
      <c r="I1600" s="202" t="s">
        <v>18</v>
      </c>
      <c r="J1600" s="153">
        <v>1</v>
      </c>
      <c r="K1600" s="142" t="s">
        <v>730</v>
      </c>
      <c r="L1600" s="168" t="s">
        <v>2522</v>
      </c>
      <c r="M1600" s="19"/>
      <c r="N1600" s="142" t="s">
        <v>2597</v>
      </c>
      <c r="O1600" s="143"/>
      <c r="P1600" s="43"/>
      <c r="Q1600" s="43"/>
      <c r="R1600" s="142" t="s">
        <v>272</v>
      </c>
    </row>
    <row r="1601" spans="1:18" ht="35.25" customHeight="1">
      <c r="A1601" s="15">
        <f t="shared" si="24"/>
        <v>1591</v>
      </c>
      <c r="B1601" s="144" t="s">
        <v>2258</v>
      </c>
      <c r="C1601" s="150" t="s">
        <v>147</v>
      </c>
      <c r="D1601" s="19"/>
      <c r="E1601" s="19"/>
      <c r="F1601" s="19"/>
      <c r="G1601" s="142" t="s">
        <v>147</v>
      </c>
      <c r="H1601" s="141"/>
      <c r="I1601" s="202" t="s">
        <v>18</v>
      </c>
      <c r="J1601" s="153">
        <v>1</v>
      </c>
      <c r="K1601" s="142" t="s">
        <v>730</v>
      </c>
      <c r="L1601" s="168" t="s">
        <v>2522</v>
      </c>
      <c r="M1601" s="19"/>
      <c r="N1601" s="142" t="s">
        <v>2597</v>
      </c>
      <c r="O1601" s="143"/>
      <c r="P1601" s="43"/>
      <c r="Q1601" s="43"/>
      <c r="R1601" s="142" t="s">
        <v>272</v>
      </c>
    </row>
    <row r="1602" spans="1:18" ht="35.25" customHeight="1">
      <c r="A1602" s="15">
        <f t="shared" si="24"/>
        <v>1592</v>
      </c>
      <c r="B1602" s="144" t="s">
        <v>2259</v>
      </c>
      <c r="C1602" s="150" t="s">
        <v>147</v>
      </c>
      <c r="D1602" s="19"/>
      <c r="E1602" s="19"/>
      <c r="F1602" s="19"/>
      <c r="G1602" s="142" t="s">
        <v>147</v>
      </c>
      <c r="H1602" s="141"/>
      <c r="I1602" s="202" t="s">
        <v>18</v>
      </c>
      <c r="J1602" s="153">
        <v>1</v>
      </c>
      <c r="K1602" s="142" t="s">
        <v>730</v>
      </c>
      <c r="L1602" s="168" t="s">
        <v>2522</v>
      </c>
      <c r="M1602" s="19"/>
      <c r="N1602" s="142" t="s">
        <v>2597</v>
      </c>
      <c r="O1602" s="143"/>
      <c r="P1602" s="43"/>
      <c r="Q1602" s="43"/>
      <c r="R1602" s="142" t="s">
        <v>272</v>
      </c>
    </row>
    <row r="1603" spans="1:18" ht="35.25" customHeight="1">
      <c r="A1603" s="15">
        <f t="shared" si="24"/>
        <v>1593</v>
      </c>
      <c r="B1603" s="144" t="s">
        <v>2260</v>
      </c>
      <c r="C1603" s="150" t="s">
        <v>147</v>
      </c>
      <c r="D1603" s="19"/>
      <c r="E1603" s="19"/>
      <c r="F1603" s="19"/>
      <c r="G1603" s="142" t="s">
        <v>147</v>
      </c>
      <c r="H1603" s="141"/>
      <c r="I1603" s="202" t="s">
        <v>18</v>
      </c>
      <c r="J1603" s="153">
        <v>1</v>
      </c>
      <c r="K1603" s="142" t="s">
        <v>730</v>
      </c>
      <c r="L1603" s="168" t="s">
        <v>2522</v>
      </c>
      <c r="M1603" s="19"/>
      <c r="N1603" s="142" t="s">
        <v>2597</v>
      </c>
      <c r="O1603" s="143"/>
      <c r="P1603" s="43"/>
      <c r="Q1603" s="43"/>
      <c r="R1603" s="142" t="s">
        <v>272</v>
      </c>
    </row>
    <row r="1604" spans="1:18" ht="35.25" customHeight="1">
      <c r="A1604" s="15">
        <f t="shared" si="24"/>
        <v>1594</v>
      </c>
      <c r="B1604" s="144" t="s">
        <v>2261</v>
      </c>
      <c r="C1604" s="150" t="s">
        <v>147</v>
      </c>
      <c r="D1604" s="19"/>
      <c r="E1604" s="19"/>
      <c r="F1604" s="19"/>
      <c r="G1604" s="142" t="s">
        <v>147</v>
      </c>
      <c r="H1604" s="141"/>
      <c r="I1604" s="202" t="s">
        <v>18</v>
      </c>
      <c r="J1604" s="153">
        <v>1</v>
      </c>
      <c r="K1604" s="142" t="s">
        <v>730</v>
      </c>
      <c r="L1604" s="168" t="s">
        <v>2522</v>
      </c>
      <c r="M1604" s="19"/>
      <c r="N1604" s="142" t="s">
        <v>2597</v>
      </c>
      <c r="O1604" s="143"/>
      <c r="P1604" s="43"/>
      <c r="Q1604" s="43"/>
      <c r="R1604" s="142" t="s">
        <v>272</v>
      </c>
    </row>
    <row r="1605" spans="1:18" ht="35.25" customHeight="1">
      <c r="A1605" s="15">
        <f t="shared" si="24"/>
        <v>1595</v>
      </c>
      <c r="B1605" s="144" t="s">
        <v>2262</v>
      </c>
      <c r="C1605" s="150" t="s">
        <v>147</v>
      </c>
      <c r="D1605" s="19"/>
      <c r="E1605" s="19"/>
      <c r="F1605" s="19"/>
      <c r="G1605" s="142" t="s">
        <v>147</v>
      </c>
      <c r="H1605" s="141"/>
      <c r="I1605" s="202" t="s">
        <v>18</v>
      </c>
      <c r="J1605" s="153">
        <v>1</v>
      </c>
      <c r="K1605" s="142" t="s">
        <v>730</v>
      </c>
      <c r="L1605" s="168" t="s">
        <v>2522</v>
      </c>
      <c r="M1605" s="19"/>
      <c r="N1605" s="142" t="s">
        <v>2597</v>
      </c>
      <c r="O1605" s="143"/>
      <c r="P1605" s="43"/>
      <c r="Q1605" s="43"/>
      <c r="R1605" s="142" t="s">
        <v>272</v>
      </c>
    </row>
    <row r="1606" spans="1:18" ht="35.25" customHeight="1">
      <c r="A1606" s="15">
        <f t="shared" si="24"/>
        <v>1596</v>
      </c>
      <c r="B1606" s="144" t="s">
        <v>2263</v>
      </c>
      <c r="C1606" s="150" t="s">
        <v>147</v>
      </c>
      <c r="D1606" s="19"/>
      <c r="E1606" s="19"/>
      <c r="F1606" s="19"/>
      <c r="G1606" s="142" t="s">
        <v>147</v>
      </c>
      <c r="H1606" s="141"/>
      <c r="I1606" s="202" t="s">
        <v>18</v>
      </c>
      <c r="J1606" s="153">
        <v>1</v>
      </c>
      <c r="K1606" s="142" t="s">
        <v>730</v>
      </c>
      <c r="L1606" s="168" t="s">
        <v>2522</v>
      </c>
      <c r="M1606" s="19"/>
      <c r="N1606" s="142" t="s">
        <v>2597</v>
      </c>
      <c r="O1606" s="143"/>
      <c r="P1606" s="43"/>
      <c r="Q1606" s="43"/>
      <c r="R1606" s="142" t="s">
        <v>272</v>
      </c>
    </row>
    <row r="1607" spans="1:18" ht="35.25" customHeight="1">
      <c r="A1607" s="15">
        <f t="shared" si="24"/>
        <v>1597</v>
      </c>
      <c r="B1607" s="144" t="s">
        <v>2264</v>
      </c>
      <c r="C1607" s="150" t="s">
        <v>147</v>
      </c>
      <c r="D1607" s="19"/>
      <c r="E1607" s="19"/>
      <c r="F1607" s="19"/>
      <c r="G1607" s="142" t="s">
        <v>147</v>
      </c>
      <c r="H1607" s="141"/>
      <c r="I1607" s="202" t="s">
        <v>18</v>
      </c>
      <c r="J1607" s="153">
        <v>1</v>
      </c>
      <c r="K1607" s="142" t="s">
        <v>730</v>
      </c>
      <c r="L1607" s="168" t="s">
        <v>2522</v>
      </c>
      <c r="M1607" s="19"/>
      <c r="N1607" s="142" t="s">
        <v>2597</v>
      </c>
      <c r="O1607" s="143"/>
      <c r="P1607" s="43"/>
      <c r="Q1607" s="43"/>
      <c r="R1607" s="142" t="s">
        <v>272</v>
      </c>
    </row>
    <row r="1608" spans="1:18" ht="35.25" customHeight="1">
      <c r="A1608" s="15">
        <f t="shared" si="24"/>
        <v>1598</v>
      </c>
      <c r="B1608" s="144" t="s">
        <v>2265</v>
      </c>
      <c r="C1608" s="150" t="s">
        <v>147</v>
      </c>
      <c r="D1608" s="19"/>
      <c r="E1608" s="19"/>
      <c r="F1608" s="19"/>
      <c r="G1608" s="142" t="s">
        <v>147</v>
      </c>
      <c r="H1608" s="141"/>
      <c r="I1608" s="202" t="s">
        <v>18</v>
      </c>
      <c r="J1608" s="153">
        <v>1</v>
      </c>
      <c r="K1608" s="142" t="s">
        <v>730</v>
      </c>
      <c r="L1608" s="168" t="s">
        <v>2522</v>
      </c>
      <c r="M1608" s="19"/>
      <c r="N1608" s="142" t="s">
        <v>2597</v>
      </c>
      <c r="O1608" s="143"/>
      <c r="P1608" s="43"/>
      <c r="Q1608" s="43"/>
      <c r="R1608" s="142" t="s">
        <v>272</v>
      </c>
    </row>
    <row r="1609" spans="1:18" ht="35.25" customHeight="1">
      <c r="A1609" s="15">
        <f t="shared" si="24"/>
        <v>1599</v>
      </c>
      <c r="B1609" s="144" t="s">
        <v>2266</v>
      </c>
      <c r="C1609" s="150" t="s">
        <v>147</v>
      </c>
      <c r="D1609" s="19"/>
      <c r="E1609" s="19"/>
      <c r="F1609" s="19"/>
      <c r="G1609" s="142" t="s">
        <v>147</v>
      </c>
      <c r="H1609" s="141"/>
      <c r="I1609" s="202" t="s">
        <v>18</v>
      </c>
      <c r="J1609" s="153">
        <v>1</v>
      </c>
      <c r="K1609" s="142" t="s">
        <v>730</v>
      </c>
      <c r="L1609" s="168" t="s">
        <v>2522</v>
      </c>
      <c r="M1609" s="19"/>
      <c r="N1609" s="142" t="s">
        <v>2597</v>
      </c>
      <c r="O1609" s="143"/>
      <c r="P1609" s="43"/>
      <c r="Q1609" s="43"/>
      <c r="R1609" s="142" t="s">
        <v>272</v>
      </c>
    </row>
    <row r="1610" spans="1:18" ht="35.25" customHeight="1">
      <c r="A1610" s="15">
        <f t="shared" si="24"/>
        <v>1600</v>
      </c>
      <c r="B1610" s="144" t="s">
        <v>2267</v>
      </c>
      <c r="C1610" s="150" t="s">
        <v>147</v>
      </c>
      <c r="D1610" s="19"/>
      <c r="E1610" s="19"/>
      <c r="F1610" s="19"/>
      <c r="G1610" s="142" t="s">
        <v>147</v>
      </c>
      <c r="H1610" s="141"/>
      <c r="I1610" s="202" t="s">
        <v>18</v>
      </c>
      <c r="J1610" s="153">
        <v>1</v>
      </c>
      <c r="K1610" s="142" t="s">
        <v>730</v>
      </c>
      <c r="L1610" s="168" t="s">
        <v>2522</v>
      </c>
      <c r="M1610" s="19"/>
      <c r="N1610" s="142" t="s">
        <v>2597</v>
      </c>
      <c r="O1610" s="143"/>
      <c r="P1610" s="43"/>
      <c r="Q1610" s="43"/>
      <c r="R1610" s="142" t="s">
        <v>272</v>
      </c>
    </row>
    <row r="1611" spans="1:18" ht="35.25" customHeight="1">
      <c r="A1611" s="15">
        <f t="shared" si="24"/>
        <v>1601</v>
      </c>
      <c r="B1611" s="144" t="s">
        <v>2268</v>
      </c>
      <c r="C1611" s="150" t="s">
        <v>147</v>
      </c>
      <c r="D1611" s="19"/>
      <c r="E1611" s="19"/>
      <c r="F1611" s="19"/>
      <c r="G1611" s="142" t="s">
        <v>147</v>
      </c>
      <c r="H1611" s="141"/>
      <c r="I1611" s="202" t="s">
        <v>18</v>
      </c>
      <c r="J1611" s="153">
        <v>1</v>
      </c>
      <c r="K1611" s="142" t="s">
        <v>730</v>
      </c>
      <c r="L1611" s="168" t="s">
        <v>2522</v>
      </c>
      <c r="M1611" s="19"/>
      <c r="N1611" s="142" t="s">
        <v>2597</v>
      </c>
      <c r="O1611" s="143"/>
      <c r="P1611" s="43"/>
      <c r="Q1611" s="43"/>
      <c r="R1611" s="142" t="s">
        <v>272</v>
      </c>
    </row>
    <row r="1612" spans="1:18" ht="35.25" customHeight="1">
      <c r="A1612" s="15">
        <f t="shared" si="24"/>
        <v>1602</v>
      </c>
      <c r="B1612" s="144" t="s">
        <v>2269</v>
      </c>
      <c r="C1612" s="150" t="s">
        <v>147</v>
      </c>
      <c r="D1612" s="19"/>
      <c r="E1612" s="19"/>
      <c r="F1612" s="19"/>
      <c r="G1612" s="142" t="s">
        <v>147</v>
      </c>
      <c r="H1612" s="141"/>
      <c r="I1612" s="202" t="s">
        <v>18</v>
      </c>
      <c r="J1612" s="153">
        <v>1</v>
      </c>
      <c r="K1612" s="142" t="s">
        <v>730</v>
      </c>
      <c r="L1612" s="168" t="s">
        <v>2522</v>
      </c>
      <c r="M1612" s="19"/>
      <c r="N1612" s="142" t="s">
        <v>2597</v>
      </c>
      <c r="O1612" s="143"/>
      <c r="P1612" s="43"/>
      <c r="Q1612" s="43"/>
      <c r="R1612" s="142" t="s">
        <v>272</v>
      </c>
    </row>
    <row r="1613" spans="1:18" ht="35.25" customHeight="1">
      <c r="A1613" s="15">
        <f t="shared" si="24"/>
        <v>1603</v>
      </c>
      <c r="B1613" s="141" t="s">
        <v>2270</v>
      </c>
      <c r="C1613" s="150" t="s">
        <v>147</v>
      </c>
      <c r="D1613" s="19"/>
      <c r="E1613" s="19"/>
      <c r="F1613" s="19"/>
      <c r="G1613" s="142" t="s">
        <v>147</v>
      </c>
      <c r="H1613" s="141"/>
      <c r="I1613" s="202" t="s">
        <v>18</v>
      </c>
      <c r="J1613" s="153">
        <v>1</v>
      </c>
      <c r="K1613" s="142" t="s">
        <v>730</v>
      </c>
      <c r="L1613" s="168" t="s">
        <v>2522</v>
      </c>
      <c r="M1613" s="19"/>
      <c r="N1613" s="142" t="s">
        <v>2597</v>
      </c>
      <c r="O1613" s="143"/>
      <c r="P1613" s="43"/>
      <c r="Q1613" s="43"/>
      <c r="R1613" s="142" t="s">
        <v>272</v>
      </c>
    </row>
    <row r="1614" spans="1:18" ht="35.25" customHeight="1">
      <c r="A1614" s="15">
        <f t="shared" si="24"/>
        <v>1604</v>
      </c>
      <c r="B1614" s="141" t="s">
        <v>2271</v>
      </c>
      <c r="C1614" s="150" t="s">
        <v>147</v>
      </c>
      <c r="D1614" s="19"/>
      <c r="E1614" s="19"/>
      <c r="F1614" s="19"/>
      <c r="G1614" s="142" t="s">
        <v>147</v>
      </c>
      <c r="H1614" s="141"/>
      <c r="I1614" s="202" t="s">
        <v>18</v>
      </c>
      <c r="J1614" s="153">
        <v>1</v>
      </c>
      <c r="K1614" s="142" t="s">
        <v>730</v>
      </c>
      <c r="L1614" s="168" t="s">
        <v>2522</v>
      </c>
      <c r="M1614" s="19"/>
      <c r="N1614" s="142" t="s">
        <v>2597</v>
      </c>
      <c r="O1614" s="143"/>
      <c r="P1614" s="43"/>
      <c r="Q1614" s="43"/>
      <c r="R1614" s="142" t="s">
        <v>272</v>
      </c>
    </row>
    <row r="1615" spans="1:18" ht="35.25" customHeight="1">
      <c r="A1615" s="15">
        <f t="shared" si="24"/>
        <v>1605</v>
      </c>
      <c r="B1615" s="141" t="s">
        <v>2272</v>
      </c>
      <c r="C1615" s="150" t="s">
        <v>147</v>
      </c>
      <c r="D1615" s="19"/>
      <c r="E1615" s="19"/>
      <c r="F1615" s="19"/>
      <c r="G1615" s="142" t="s">
        <v>147</v>
      </c>
      <c r="H1615" s="141"/>
      <c r="I1615" s="202" t="s">
        <v>18</v>
      </c>
      <c r="J1615" s="153">
        <v>1</v>
      </c>
      <c r="K1615" s="142" t="s">
        <v>730</v>
      </c>
      <c r="L1615" s="168" t="s">
        <v>2522</v>
      </c>
      <c r="M1615" s="19"/>
      <c r="N1615" s="142" t="s">
        <v>2597</v>
      </c>
      <c r="O1615" s="143"/>
      <c r="P1615" s="43"/>
      <c r="Q1615" s="43"/>
      <c r="R1615" s="142" t="s">
        <v>272</v>
      </c>
    </row>
    <row r="1616" spans="1:18" ht="35.25" customHeight="1">
      <c r="A1616" s="15">
        <f t="shared" si="24"/>
        <v>1606</v>
      </c>
      <c r="B1616" s="141" t="s">
        <v>2273</v>
      </c>
      <c r="C1616" s="150" t="s">
        <v>147</v>
      </c>
      <c r="D1616" s="19"/>
      <c r="E1616" s="19"/>
      <c r="F1616" s="19"/>
      <c r="G1616" s="142" t="s">
        <v>147</v>
      </c>
      <c r="H1616" s="141"/>
      <c r="I1616" s="202" t="s">
        <v>18</v>
      </c>
      <c r="J1616" s="153">
        <v>1</v>
      </c>
      <c r="K1616" s="142" t="s">
        <v>730</v>
      </c>
      <c r="L1616" s="168" t="s">
        <v>2522</v>
      </c>
      <c r="M1616" s="19"/>
      <c r="N1616" s="142" t="s">
        <v>2597</v>
      </c>
      <c r="O1616" s="143"/>
      <c r="P1616" s="43"/>
      <c r="Q1616" s="43"/>
      <c r="R1616" s="142" t="s">
        <v>272</v>
      </c>
    </row>
    <row r="1617" spans="1:18" ht="35.25" customHeight="1">
      <c r="A1617" s="15">
        <f t="shared" si="24"/>
        <v>1607</v>
      </c>
      <c r="B1617" s="141" t="s">
        <v>2274</v>
      </c>
      <c r="C1617" s="150" t="s">
        <v>147</v>
      </c>
      <c r="D1617" s="19"/>
      <c r="E1617" s="19"/>
      <c r="F1617" s="19"/>
      <c r="G1617" s="142" t="s">
        <v>147</v>
      </c>
      <c r="H1617" s="141"/>
      <c r="I1617" s="202" t="s">
        <v>18</v>
      </c>
      <c r="J1617" s="153">
        <v>1</v>
      </c>
      <c r="K1617" s="142" t="s">
        <v>730</v>
      </c>
      <c r="L1617" s="168" t="s">
        <v>2522</v>
      </c>
      <c r="M1617" s="19"/>
      <c r="N1617" s="142" t="s">
        <v>2597</v>
      </c>
      <c r="O1617" s="143"/>
      <c r="P1617" s="43"/>
      <c r="Q1617" s="43"/>
      <c r="R1617" s="142" t="s">
        <v>272</v>
      </c>
    </row>
    <row r="1618" spans="1:18" ht="35.25" customHeight="1">
      <c r="A1618" s="15">
        <f t="shared" si="24"/>
        <v>1608</v>
      </c>
      <c r="B1618" s="141" t="s">
        <v>2275</v>
      </c>
      <c r="C1618" s="150" t="s">
        <v>147</v>
      </c>
      <c r="D1618" s="19"/>
      <c r="E1618" s="19"/>
      <c r="F1618" s="19"/>
      <c r="G1618" s="142" t="s">
        <v>147</v>
      </c>
      <c r="H1618" s="141"/>
      <c r="I1618" s="202" t="s">
        <v>18</v>
      </c>
      <c r="J1618" s="153">
        <v>1</v>
      </c>
      <c r="K1618" s="142" t="s">
        <v>730</v>
      </c>
      <c r="L1618" s="168" t="s">
        <v>2522</v>
      </c>
      <c r="M1618" s="19"/>
      <c r="N1618" s="142" t="s">
        <v>2597</v>
      </c>
      <c r="O1618" s="143"/>
      <c r="P1618" s="43"/>
      <c r="Q1618" s="43"/>
      <c r="R1618" s="142" t="s">
        <v>272</v>
      </c>
    </row>
    <row r="1619" spans="1:18" ht="35.25" customHeight="1">
      <c r="A1619" s="15">
        <f t="shared" ref="A1619:A1682" si="25">A1618+1</f>
        <v>1609</v>
      </c>
      <c r="B1619" s="141" t="s">
        <v>2276</v>
      </c>
      <c r="C1619" s="150" t="s">
        <v>147</v>
      </c>
      <c r="D1619" s="19"/>
      <c r="E1619" s="19"/>
      <c r="F1619" s="19"/>
      <c r="G1619" s="142" t="s">
        <v>147</v>
      </c>
      <c r="H1619" s="141"/>
      <c r="I1619" s="202" t="s">
        <v>18</v>
      </c>
      <c r="J1619" s="153">
        <v>1</v>
      </c>
      <c r="K1619" s="142" t="s">
        <v>730</v>
      </c>
      <c r="L1619" s="168" t="s">
        <v>2522</v>
      </c>
      <c r="M1619" s="19"/>
      <c r="N1619" s="142" t="s">
        <v>2597</v>
      </c>
      <c r="O1619" s="143"/>
      <c r="P1619" s="43"/>
      <c r="Q1619" s="43"/>
      <c r="R1619" s="142" t="s">
        <v>272</v>
      </c>
    </row>
    <row r="1620" spans="1:18" ht="35.25" customHeight="1">
      <c r="A1620" s="15">
        <f t="shared" si="25"/>
        <v>1610</v>
      </c>
      <c r="B1620" s="11" t="s">
        <v>2277</v>
      </c>
      <c r="C1620" s="150" t="s">
        <v>985</v>
      </c>
      <c r="D1620" s="19"/>
      <c r="E1620" s="19"/>
      <c r="F1620" s="19"/>
      <c r="G1620" s="142"/>
      <c r="H1620" s="141"/>
      <c r="I1620" s="202" t="s">
        <v>18</v>
      </c>
      <c r="J1620" s="153">
        <v>1</v>
      </c>
      <c r="K1620" s="142" t="s">
        <v>730</v>
      </c>
      <c r="L1620" s="168" t="s">
        <v>2522</v>
      </c>
      <c r="M1620" s="19"/>
      <c r="N1620" s="142" t="s">
        <v>2597</v>
      </c>
      <c r="O1620" s="143"/>
      <c r="P1620" s="43"/>
      <c r="Q1620" s="43"/>
      <c r="R1620" s="142" t="s">
        <v>272</v>
      </c>
    </row>
    <row r="1621" spans="1:18" ht="35.25" customHeight="1">
      <c r="A1621" s="15">
        <f t="shared" si="25"/>
        <v>1611</v>
      </c>
      <c r="B1621" s="11" t="s">
        <v>2278</v>
      </c>
      <c r="C1621" s="150" t="s">
        <v>985</v>
      </c>
      <c r="D1621" s="19"/>
      <c r="E1621" s="19"/>
      <c r="F1621" s="19"/>
      <c r="G1621" s="142"/>
      <c r="H1621" s="141"/>
      <c r="I1621" s="202" t="s">
        <v>18</v>
      </c>
      <c r="J1621" s="153">
        <v>1</v>
      </c>
      <c r="K1621" s="142" t="s">
        <v>730</v>
      </c>
      <c r="L1621" s="168" t="s">
        <v>2522</v>
      </c>
      <c r="M1621" s="19"/>
      <c r="N1621" s="142" t="s">
        <v>2597</v>
      </c>
      <c r="O1621" s="143"/>
      <c r="P1621" s="43"/>
      <c r="Q1621" s="43"/>
      <c r="R1621" s="142" t="s">
        <v>272</v>
      </c>
    </row>
    <row r="1622" spans="1:18" ht="35.25" customHeight="1">
      <c r="A1622" s="15">
        <f t="shared" si="25"/>
        <v>1612</v>
      </c>
      <c r="B1622" s="11" t="s">
        <v>2279</v>
      </c>
      <c r="C1622" s="150" t="s">
        <v>985</v>
      </c>
      <c r="D1622" s="19"/>
      <c r="E1622" s="19"/>
      <c r="F1622" s="19"/>
      <c r="G1622" s="142"/>
      <c r="H1622" s="141"/>
      <c r="I1622" s="202" t="s">
        <v>18</v>
      </c>
      <c r="J1622" s="153">
        <v>1</v>
      </c>
      <c r="K1622" s="142" t="s">
        <v>730</v>
      </c>
      <c r="L1622" s="168" t="s">
        <v>2522</v>
      </c>
      <c r="M1622" s="19"/>
      <c r="N1622" s="142" t="s">
        <v>2597</v>
      </c>
      <c r="O1622" s="143"/>
      <c r="P1622" s="43"/>
      <c r="Q1622" s="43"/>
      <c r="R1622" s="142" t="s">
        <v>272</v>
      </c>
    </row>
    <row r="1623" spans="1:18" ht="35.25" customHeight="1">
      <c r="A1623" s="15">
        <f t="shared" si="25"/>
        <v>1613</v>
      </c>
      <c r="B1623" s="11" t="s">
        <v>2280</v>
      </c>
      <c r="C1623" s="150" t="s">
        <v>985</v>
      </c>
      <c r="D1623" s="19"/>
      <c r="E1623" s="19"/>
      <c r="F1623" s="19"/>
      <c r="G1623" s="142"/>
      <c r="H1623" s="141"/>
      <c r="I1623" s="202" t="s">
        <v>18</v>
      </c>
      <c r="J1623" s="153">
        <v>1</v>
      </c>
      <c r="K1623" s="142" t="s">
        <v>730</v>
      </c>
      <c r="L1623" s="168" t="s">
        <v>2522</v>
      </c>
      <c r="M1623" s="19"/>
      <c r="N1623" s="142" t="s">
        <v>2597</v>
      </c>
      <c r="O1623" s="143"/>
      <c r="P1623" s="43"/>
      <c r="Q1623" s="43"/>
      <c r="R1623" s="142" t="s">
        <v>272</v>
      </c>
    </row>
    <row r="1624" spans="1:18" ht="35.25" customHeight="1">
      <c r="A1624" s="15">
        <f t="shared" si="25"/>
        <v>1614</v>
      </c>
      <c r="B1624" s="11" t="s">
        <v>2281</v>
      </c>
      <c r="C1624" s="150" t="s">
        <v>985</v>
      </c>
      <c r="D1624" s="19"/>
      <c r="E1624" s="19"/>
      <c r="F1624" s="19"/>
      <c r="G1624" s="142"/>
      <c r="H1624" s="141"/>
      <c r="I1624" s="202" t="s">
        <v>18</v>
      </c>
      <c r="J1624" s="153">
        <v>1</v>
      </c>
      <c r="K1624" s="142" t="s">
        <v>730</v>
      </c>
      <c r="L1624" s="168" t="s">
        <v>2522</v>
      </c>
      <c r="M1624" s="19"/>
      <c r="N1624" s="142" t="s">
        <v>2597</v>
      </c>
      <c r="O1624" s="143"/>
      <c r="P1624" s="43"/>
      <c r="Q1624" s="43"/>
      <c r="R1624" s="142" t="s">
        <v>272</v>
      </c>
    </row>
    <row r="1625" spans="1:18" ht="35.25" customHeight="1">
      <c r="A1625" s="15">
        <f t="shared" si="25"/>
        <v>1615</v>
      </c>
      <c r="B1625" s="11" t="s">
        <v>2282</v>
      </c>
      <c r="C1625" s="150" t="s">
        <v>985</v>
      </c>
      <c r="D1625" s="19"/>
      <c r="E1625" s="19"/>
      <c r="F1625" s="19"/>
      <c r="G1625" s="142"/>
      <c r="H1625" s="141"/>
      <c r="I1625" s="202" t="s">
        <v>18</v>
      </c>
      <c r="J1625" s="153">
        <v>1</v>
      </c>
      <c r="K1625" s="142" t="s">
        <v>730</v>
      </c>
      <c r="L1625" s="168" t="s">
        <v>2522</v>
      </c>
      <c r="M1625" s="19"/>
      <c r="N1625" s="142" t="s">
        <v>2597</v>
      </c>
      <c r="O1625" s="143"/>
      <c r="P1625" s="43"/>
      <c r="Q1625" s="43"/>
      <c r="R1625" s="142" t="s">
        <v>272</v>
      </c>
    </row>
    <row r="1626" spans="1:18" ht="35.25" customHeight="1">
      <c r="A1626" s="15">
        <f t="shared" si="25"/>
        <v>1616</v>
      </c>
      <c r="B1626" s="11" t="s">
        <v>2283</v>
      </c>
      <c r="C1626" s="150" t="s">
        <v>985</v>
      </c>
      <c r="D1626" s="19"/>
      <c r="E1626" s="19"/>
      <c r="F1626" s="19"/>
      <c r="G1626" s="142"/>
      <c r="H1626" s="141"/>
      <c r="I1626" s="202" t="s">
        <v>18</v>
      </c>
      <c r="J1626" s="153">
        <v>1</v>
      </c>
      <c r="K1626" s="142" t="s">
        <v>730</v>
      </c>
      <c r="L1626" s="168" t="s">
        <v>2522</v>
      </c>
      <c r="M1626" s="19"/>
      <c r="N1626" s="142" t="s">
        <v>2597</v>
      </c>
      <c r="O1626" s="143"/>
      <c r="P1626" s="43"/>
      <c r="Q1626" s="43"/>
      <c r="R1626" s="142" t="s">
        <v>272</v>
      </c>
    </row>
    <row r="1627" spans="1:18" ht="35.25" customHeight="1">
      <c r="A1627" s="15">
        <f t="shared" si="25"/>
        <v>1617</v>
      </c>
      <c r="B1627" s="144" t="s">
        <v>2284</v>
      </c>
      <c r="C1627" s="150" t="s">
        <v>985</v>
      </c>
      <c r="D1627" s="19"/>
      <c r="E1627" s="19"/>
      <c r="F1627" s="19"/>
      <c r="G1627" s="142"/>
      <c r="H1627" s="141"/>
      <c r="I1627" s="202" t="s">
        <v>18</v>
      </c>
      <c r="J1627" s="153">
        <v>1</v>
      </c>
      <c r="K1627" s="142" t="s">
        <v>730</v>
      </c>
      <c r="L1627" s="168" t="s">
        <v>2522</v>
      </c>
      <c r="M1627" s="19"/>
      <c r="N1627" s="142" t="s">
        <v>2597</v>
      </c>
      <c r="O1627" s="143"/>
      <c r="P1627" s="43"/>
      <c r="Q1627" s="43"/>
      <c r="R1627" s="142" t="s">
        <v>272</v>
      </c>
    </row>
    <row r="1628" spans="1:18" ht="35.25" customHeight="1">
      <c r="A1628" s="15">
        <f t="shared" si="25"/>
        <v>1618</v>
      </c>
      <c r="B1628" s="144" t="s">
        <v>2285</v>
      </c>
      <c r="C1628" s="150" t="s">
        <v>985</v>
      </c>
      <c r="D1628" s="19"/>
      <c r="E1628" s="19"/>
      <c r="F1628" s="19"/>
      <c r="G1628" s="142"/>
      <c r="H1628" s="141"/>
      <c r="I1628" s="202" t="s">
        <v>18</v>
      </c>
      <c r="J1628" s="153">
        <v>1</v>
      </c>
      <c r="K1628" s="142" t="s">
        <v>730</v>
      </c>
      <c r="L1628" s="168" t="s">
        <v>2522</v>
      </c>
      <c r="M1628" s="19"/>
      <c r="N1628" s="142" t="s">
        <v>2597</v>
      </c>
      <c r="O1628" s="143"/>
      <c r="P1628" s="43"/>
      <c r="Q1628" s="43"/>
      <c r="R1628" s="142" t="s">
        <v>272</v>
      </c>
    </row>
    <row r="1629" spans="1:18" ht="35.25" customHeight="1">
      <c r="A1629" s="15">
        <f t="shared" si="25"/>
        <v>1619</v>
      </c>
      <c r="B1629" s="144" t="s">
        <v>2286</v>
      </c>
      <c r="C1629" s="150" t="s">
        <v>985</v>
      </c>
      <c r="D1629" s="19"/>
      <c r="E1629" s="19"/>
      <c r="F1629" s="19"/>
      <c r="G1629" s="142"/>
      <c r="H1629" s="141"/>
      <c r="I1629" s="202" t="s">
        <v>18</v>
      </c>
      <c r="J1629" s="153">
        <v>1</v>
      </c>
      <c r="K1629" s="142" t="s">
        <v>730</v>
      </c>
      <c r="L1629" s="168" t="s">
        <v>2522</v>
      </c>
      <c r="M1629" s="19"/>
      <c r="N1629" s="142" t="s">
        <v>2597</v>
      </c>
      <c r="O1629" s="143"/>
      <c r="P1629" s="43"/>
      <c r="Q1629" s="43"/>
      <c r="R1629" s="142" t="s">
        <v>272</v>
      </c>
    </row>
    <row r="1630" spans="1:18" ht="35.25" customHeight="1">
      <c r="A1630" s="15">
        <f t="shared" si="25"/>
        <v>1620</v>
      </c>
      <c r="B1630" s="144" t="s">
        <v>2287</v>
      </c>
      <c r="C1630" s="150" t="s">
        <v>985</v>
      </c>
      <c r="D1630" s="19"/>
      <c r="E1630" s="19"/>
      <c r="F1630" s="19"/>
      <c r="G1630" s="142"/>
      <c r="H1630" s="141"/>
      <c r="I1630" s="202" t="s">
        <v>18</v>
      </c>
      <c r="J1630" s="153">
        <v>1</v>
      </c>
      <c r="K1630" s="142" t="s">
        <v>730</v>
      </c>
      <c r="L1630" s="168" t="s">
        <v>2522</v>
      </c>
      <c r="M1630" s="19"/>
      <c r="N1630" s="142" t="s">
        <v>2597</v>
      </c>
      <c r="O1630" s="143"/>
      <c r="P1630" s="43"/>
      <c r="Q1630" s="43"/>
      <c r="R1630" s="142" t="s">
        <v>272</v>
      </c>
    </row>
    <row r="1631" spans="1:18" ht="35.25" customHeight="1">
      <c r="A1631" s="15">
        <f t="shared" si="25"/>
        <v>1621</v>
      </c>
      <c r="B1631" s="144" t="s">
        <v>2288</v>
      </c>
      <c r="C1631" s="150" t="s">
        <v>985</v>
      </c>
      <c r="D1631" s="19"/>
      <c r="E1631" s="19"/>
      <c r="F1631" s="19"/>
      <c r="G1631" s="142"/>
      <c r="H1631" s="141"/>
      <c r="I1631" s="202" t="s">
        <v>18</v>
      </c>
      <c r="J1631" s="153">
        <v>1</v>
      </c>
      <c r="K1631" s="142" t="s">
        <v>730</v>
      </c>
      <c r="L1631" s="168" t="s">
        <v>2522</v>
      </c>
      <c r="M1631" s="19"/>
      <c r="N1631" s="142" t="s">
        <v>2597</v>
      </c>
      <c r="O1631" s="143"/>
      <c r="P1631" s="43"/>
      <c r="Q1631" s="43"/>
      <c r="R1631" s="142" t="s">
        <v>272</v>
      </c>
    </row>
    <row r="1632" spans="1:18" ht="35.25" customHeight="1">
      <c r="A1632" s="15">
        <f t="shared" si="25"/>
        <v>1622</v>
      </c>
      <c r="B1632" s="144" t="s">
        <v>2289</v>
      </c>
      <c r="C1632" s="150" t="s">
        <v>985</v>
      </c>
      <c r="D1632" s="19"/>
      <c r="E1632" s="19"/>
      <c r="F1632" s="19"/>
      <c r="G1632" s="142"/>
      <c r="H1632" s="141"/>
      <c r="I1632" s="202" t="s">
        <v>18</v>
      </c>
      <c r="J1632" s="153">
        <v>1</v>
      </c>
      <c r="K1632" s="142" t="s">
        <v>730</v>
      </c>
      <c r="L1632" s="168" t="s">
        <v>2522</v>
      </c>
      <c r="M1632" s="19"/>
      <c r="N1632" s="142" t="s">
        <v>2597</v>
      </c>
      <c r="O1632" s="143"/>
      <c r="P1632" s="43"/>
      <c r="Q1632" s="43"/>
      <c r="R1632" s="142" t="s">
        <v>272</v>
      </c>
    </row>
    <row r="1633" spans="1:18" ht="35.25" customHeight="1">
      <c r="A1633" s="15">
        <f t="shared" si="25"/>
        <v>1623</v>
      </c>
      <c r="B1633" s="144" t="s">
        <v>2290</v>
      </c>
      <c r="C1633" s="150" t="s">
        <v>985</v>
      </c>
      <c r="D1633" s="19"/>
      <c r="E1633" s="19"/>
      <c r="F1633" s="19"/>
      <c r="G1633" s="142"/>
      <c r="H1633" s="141"/>
      <c r="I1633" s="202" t="s">
        <v>18</v>
      </c>
      <c r="J1633" s="153">
        <v>1</v>
      </c>
      <c r="K1633" s="142" t="s">
        <v>730</v>
      </c>
      <c r="L1633" s="168" t="s">
        <v>2522</v>
      </c>
      <c r="M1633" s="19"/>
      <c r="N1633" s="142" t="s">
        <v>2597</v>
      </c>
      <c r="O1633" s="143"/>
      <c r="P1633" s="43"/>
      <c r="Q1633" s="43"/>
      <c r="R1633" s="142" t="s">
        <v>272</v>
      </c>
    </row>
    <row r="1634" spans="1:18" ht="35.25" customHeight="1">
      <c r="A1634" s="15">
        <f t="shared" si="25"/>
        <v>1624</v>
      </c>
      <c r="B1634" s="144" t="s">
        <v>2291</v>
      </c>
      <c r="C1634" s="150" t="s">
        <v>985</v>
      </c>
      <c r="D1634" s="19"/>
      <c r="E1634" s="19"/>
      <c r="F1634" s="19"/>
      <c r="G1634" s="142"/>
      <c r="H1634" s="141"/>
      <c r="I1634" s="202" t="s">
        <v>18</v>
      </c>
      <c r="J1634" s="153">
        <v>1</v>
      </c>
      <c r="K1634" s="142" t="s">
        <v>730</v>
      </c>
      <c r="L1634" s="168" t="s">
        <v>2522</v>
      </c>
      <c r="M1634" s="19"/>
      <c r="N1634" s="142" t="s">
        <v>2597</v>
      </c>
      <c r="O1634" s="143"/>
      <c r="P1634" s="43"/>
      <c r="Q1634" s="43"/>
      <c r="R1634" s="142" t="s">
        <v>272</v>
      </c>
    </row>
    <row r="1635" spans="1:18" ht="35.25" customHeight="1">
      <c r="A1635" s="15">
        <f t="shared" si="25"/>
        <v>1625</v>
      </c>
      <c r="B1635" s="144" t="s">
        <v>2292</v>
      </c>
      <c r="C1635" s="150" t="s">
        <v>985</v>
      </c>
      <c r="D1635" s="19"/>
      <c r="E1635" s="19"/>
      <c r="F1635" s="19"/>
      <c r="G1635" s="142"/>
      <c r="H1635" s="141"/>
      <c r="I1635" s="202" t="s">
        <v>18</v>
      </c>
      <c r="J1635" s="153">
        <v>1</v>
      </c>
      <c r="K1635" s="142" t="s">
        <v>730</v>
      </c>
      <c r="L1635" s="168" t="s">
        <v>2522</v>
      </c>
      <c r="M1635" s="19"/>
      <c r="N1635" s="142" t="s">
        <v>2597</v>
      </c>
      <c r="O1635" s="143"/>
      <c r="P1635" s="43"/>
      <c r="Q1635" s="43"/>
      <c r="R1635" s="142" t="s">
        <v>272</v>
      </c>
    </row>
    <row r="1636" spans="1:18" ht="35.25" customHeight="1">
      <c r="A1636" s="15">
        <f t="shared" si="25"/>
        <v>1626</v>
      </c>
      <c r="B1636" s="144" t="s">
        <v>2293</v>
      </c>
      <c r="C1636" s="150" t="s">
        <v>985</v>
      </c>
      <c r="D1636" s="19"/>
      <c r="E1636" s="19"/>
      <c r="F1636" s="19"/>
      <c r="G1636" s="142"/>
      <c r="H1636" s="141"/>
      <c r="I1636" s="202" t="s">
        <v>18</v>
      </c>
      <c r="J1636" s="153">
        <v>1</v>
      </c>
      <c r="K1636" s="142" t="s">
        <v>730</v>
      </c>
      <c r="L1636" s="168" t="s">
        <v>2522</v>
      </c>
      <c r="M1636" s="11"/>
      <c r="N1636" s="142" t="s">
        <v>2597</v>
      </c>
      <c r="O1636" s="143"/>
      <c r="P1636" s="43"/>
      <c r="Q1636" s="43"/>
      <c r="R1636" s="142" t="s">
        <v>272</v>
      </c>
    </row>
    <row r="1637" spans="1:18" ht="35.25" customHeight="1">
      <c r="A1637" s="15">
        <f t="shared" si="25"/>
        <v>1627</v>
      </c>
      <c r="B1637" s="144" t="s">
        <v>2294</v>
      </c>
      <c r="C1637" s="150" t="s">
        <v>985</v>
      </c>
      <c r="D1637" s="19"/>
      <c r="E1637" s="19"/>
      <c r="F1637" s="19"/>
      <c r="G1637" s="142"/>
      <c r="H1637" s="141"/>
      <c r="I1637" s="202" t="s">
        <v>18</v>
      </c>
      <c r="J1637" s="153">
        <v>1</v>
      </c>
      <c r="K1637" s="142" t="s">
        <v>730</v>
      </c>
      <c r="L1637" s="168" t="s">
        <v>2522</v>
      </c>
      <c r="M1637" s="11"/>
      <c r="N1637" s="142" t="s">
        <v>2597</v>
      </c>
      <c r="O1637" s="143"/>
      <c r="P1637" s="43"/>
      <c r="Q1637" s="43"/>
      <c r="R1637" s="142" t="s">
        <v>272</v>
      </c>
    </row>
    <row r="1638" spans="1:18" ht="35.25" customHeight="1">
      <c r="A1638" s="15">
        <f t="shared" si="25"/>
        <v>1628</v>
      </c>
      <c r="B1638" s="144" t="s">
        <v>2295</v>
      </c>
      <c r="C1638" s="150" t="s">
        <v>985</v>
      </c>
      <c r="D1638" s="19"/>
      <c r="E1638" s="19"/>
      <c r="F1638" s="19"/>
      <c r="G1638" s="142"/>
      <c r="H1638" s="141"/>
      <c r="I1638" s="202" t="s">
        <v>18</v>
      </c>
      <c r="J1638" s="153">
        <v>1</v>
      </c>
      <c r="K1638" s="142" t="s">
        <v>730</v>
      </c>
      <c r="L1638" s="168" t="s">
        <v>2522</v>
      </c>
      <c r="M1638" s="11"/>
      <c r="N1638" s="142" t="s">
        <v>2597</v>
      </c>
      <c r="O1638" s="143"/>
      <c r="P1638" s="43"/>
      <c r="Q1638" s="43"/>
      <c r="R1638" s="142" t="s">
        <v>272</v>
      </c>
    </row>
    <row r="1639" spans="1:18" ht="35.25" customHeight="1">
      <c r="A1639" s="15">
        <f t="shared" si="25"/>
        <v>1629</v>
      </c>
      <c r="B1639" s="144" t="s">
        <v>2296</v>
      </c>
      <c r="C1639" s="150" t="s">
        <v>985</v>
      </c>
      <c r="D1639" s="19"/>
      <c r="E1639" s="19"/>
      <c r="F1639" s="19"/>
      <c r="G1639" s="142"/>
      <c r="H1639" s="141"/>
      <c r="I1639" s="202" t="s">
        <v>18</v>
      </c>
      <c r="J1639" s="153">
        <v>1</v>
      </c>
      <c r="K1639" s="142" t="s">
        <v>730</v>
      </c>
      <c r="L1639" s="168" t="s">
        <v>2522</v>
      </c>
      <c r="M1639" s="11"/>
      <c r="N1639" s="142" t="s">
        <v>2597</v>
      </c>
      <c r="O1639" s="143"/>
      <c r="P1639" s="43"/>
      <c r="Q1639" s="43"/>
      <c r="R1639" s="142" t="s">
        <v>272</v>
      </c>
    </row>
    <row r="1640" spans="1:18" ht="35.25" customHeight="1">
      <c r="A1640" s="15">
        <f t="shared" si="25"/>
        <v>1630</v>
      </c>
      <c r="B1640" s="144" t="s">
        <v>2297</v>
      </c>
      <c r="C1640" s="150" t="s">
        <v>985</v>
      </c>
      <c r="D1640" s="19"/>
      <c r="E1640" s="19"/>
      <c r="F1640" s="19"/>
      <c r="G1640" s="142"/>
      <c r="H1640" s="141"/>
      <c r="I1640" s="202" t="s">
        <v>18</v>
      </c>
      <c r="J1640" s="153">
        <v>1</v>
      </c>
      <c r="K1640" s="142" t="s">
        <v>730</v>
      </c>
      <c r="L1640" s="168" t="s">
        <v>2522</v>
      </c>
      <c r="M1640" s="11"/>
      <c r="N1640" s="142" t="s">
        <v>2597</v>
      </c>
      <c r="O1640" s="143"/>
      <c r="P1640" s="43"/>
      <c r="Q1640" s="43"/>
      <c r="R1640" s="142" t="s">
        <v>272</v>
      </c>
    </row>
    <row r="1641" spans="1:18" ht="35.25" customHeight="1">
      <c r="A1641" s="15">
        <f t="shared" si="25"/>
        <v>1631</v>
      </c>
      <c r="B1641" s="144" t="s">
        <v>2298</v>
      </c>
      <c r="C1641" s="150" t="s">
        <v>985</v>
      </c>
      <c r="D1641" s="19"/>
      <c r="E1641" s="19"/>
      <c r="F1641" s="19"/>
      <c r="G1641" s="142"/>
      <c r="H1641" s="141"/>
      <c r="I1641" s="202" t="s">
        <v>18</v>
      </c>
      <c r="J1641" s="153">
        <v>1</v>
      </c>
      <c r="K1641" s="142" t="s">
        <v>730</v>
      </c>
      <c r="L1641" s="168" t="s">
        <v>2522</v>
      </c>
      <c r="M1641" s="11"/>
      <c r="N1641" s="142" t="s">
        <v>2597</v>
      </c>
      <c r="O1641" s="143"/>
      <c r="P1641" s="43"/>
      <c r="Q1641" s="43"/>
      <c r="R1641" s="142" t="s">
        <v>272</v>
      </c>
    </row>
    <row r="1642" spans="1:18" ht="35.25" customHeight="1">
      <c r="A1642" s="15">
        <f t="shared" si="25"/>
        <v>1632</v>
      </c>
      <c r="B1642" s="144" t="s">
        <v>2299</v>
      </c>
      <c r="C1642" s="150" t="s">
        <v>985</v>
      </c>
      <c r="D1642" s="19"/>
      <c r="E1642" s="19"/>
      <c r="F1642" s="19"/>
      <c r="G1642" s="142"/>
      <c r="H1642" s="141"/>
      <c r="I1642" s="202" t="s">
        <v>18</v>
      </c>
      <c r="J1642" s="153">
        <v>1</v>
      </c>
      <c r="K1642" s="142" t="s">
        <v>730</v>
      </c>
      <c r="L1642" s="168" t="s">
        <v>2522</v>
      </c>
      <c r="M1642" s="11"/>
      <c r="N1642" s="142" t="s">
        <v>2597</v>
      </c>
      <c r="O1642" s="143"/>
      <c r="P1642" s="43"/>
      <c r="Q1642" s="43"/>
      <c r="R1642" s="142" t="s">
        <v>272</v>
      </c>
    </row>
    <row r="1643" spans="1:18" ht="35.25" customHeight="1">
      <c r="A1643" s="15">
        <f t="shared" si="25"/>
        <v>1633</v>
      </c>
      <c r="B1643" s="144" t="s">
        <v>2300</v>
      </c>
      <c r="C1643" s="150" t="s">
        <v>985</v>
      </c>
      <c r="D1643" s="19"/>
      <c r="E1643" s="19"/>
      <c r="F1643" s="19"/>
      <c r="G1643" s="142"/>
      <c r="H1643" s="141"/>
      <c r="I1643" s="202" t="s">
        <v>18</v>
      </c>
      <c r="J1643" s="153">
        <v>1</v>
      </c>
      <c r="K1643" s="142" t="s">
        <v>730</v>
      </c>
      <c r="L1643" s="168" t="s">
        <v>2522</v>
      </c>
      <c r="M1643" s="11"/>
      <c r="N1643" s="142" t="s">
        <v>2597</v>
      </c>
      <c r="O1643" s="143"/>
      <c r="P1643" s="43"/>
      <c r="Q1643" s="43"/>
      <c r="R1643" s="142" t="s">
        <v>272</v>
      </c>
    </row>
    <row r="1644" spans="1:18" ht="35.25" customHeight="1">
      <c r="A1644" s="15">
        <f t="shared" si="25"/>
        <v>1634</v>
      </c>
      <c r="B1644" s="144" t="s">
        <v>2301</v>
      </c>
      <c r="C1644" s="150" t="s">
        <v>985</v>
      </c>
      <c r="D1644" s="19"/>
      <c r="E1644" s="19"/>
      <c r="F1644" s="19"/>
      <c r="G1644" s="142"/>
      <c r="H1644" s="141"/>
      <c r="I1644" s="202" t="s">
        <v>18</v>
      </c>
      <c r="J1644" s="153">
        <v>1</v>
      </c>
      <c r="K1644" s="142" t="s">
        <v>730</v>
      </c>
      <c r="L1644" s="168" t="s">
        <v>2522</v>
      </c>
      <c r="M1644" s="11"/>
      <c r="N1644" s="142" t="s">
        <v>2597</v>
      </c>
      <c r="O1644" s="143"/>
      <c r="P1644" s="43"/>
      <c r="Q1644" s="43"/>
      <c r="R1644" s="142" t="s">
        <v>272</v>
      </c>
    </row>
    <row r="1645" spans="1:18" ht="35.25" customHeight="1">
      <c r="A1645" s="15">
        <f t="shared" si="25"/>
        <v>1635</v>
      </c>
      <c r="B1645" s="144" t="s">
        <v>2302</v>
      </c>
      <c r="C1645" s="150" t="s">
        <v>985</v>
      </c>
      <c r="D1645" s="19"/>
      <c r="E1645" s="19"/>
      <c r="F1645" s="19"/>
      <c r="G1645" s="142"/>
      <c r="H1645" s="141"/>
      <c r="I1645" s="202" t="s">
        <v>18</v>
      </c>
      <c r="J1645" s="153">
        <v>1</v>
      </c>
      <c r="K1645" s="142" t="s">
        <v>730</v>
      </c>
      <c r="L1645" s="168" t="s">
        <v>2522</v>
      </c>
      <c r="M1645" s="11"/>
      <c r="N1645" s="142" t="s">
        <v>2597</v>
      </c>
      <c r="O1645" s="143"/>
      <c r="P1645" s="43"/>
      <c r="Q1645" s="43"/>
      <c r="R1645" s="142" t="s">
        <v>272</v>
      </c>
    </row>
    <row r="1646" spans="1:18" ht="35.25" customHeight="1">
      <c r="A1646" s="15">
        <f t="shared" si="25"/>
        <v>1636</v>
      </c>
      <c r="B1646" s="144" t="s">
        <v>2303</v>
      </c>
      <c r="C1646" s="150" t="s">
        <v>985</v>
      </c>
      <c r="D1646" s="19"/>
      <c r="E1646" s="19"/>
      <c r="F1646" s="19"/>
      <c r="G1646" s="142"/>
      <c r="H1646" s="141"/>
      <c r="I1646" s="202" t="s">
        <v>18</v>
      </c>
      <c r="J1646" s="153">
        <v>1</v>
      </c>
      <c r="K1646" s="142" t="s">
        <v>730</v>
      </c>
      <c r="L1646" s="168" t="s">
        <v>2522</v>
      </c>
      <c r="M1646" s="11"/>
      <c r="N1646" s="142" t="s">
        <v>2597</v>
      </c>
      <c r="O1646" s="143"/>
      <c r="P1646" s="43"/>
      <c r="Q1646" s="43"/>
      <c r="R1646" s="142" t="s">
        <v>272</v>
      </c>
    </row>
    <row r="1647" spans="1:18" ht="35.25" customHeight="1">
      <c r="A1647" s="15">
        <f t="shared" si="25"/>
        <v>1637</v>
      </c>
      <c r="B1647" s="144" t="s">
        <v>2304</v>
      </c>
      <c r="C1647" s="150" t="s">
        <v>985</v>
      </c>
      <c r="D1647" s="19"/>
      <c r="E1647" s="19"/>
      <c r="F1647" s="19"/>
      <c r="G1647" s="142"/>
      <c r="H1647" s="141"/>
      <c r="I1647" s="202" t="s">
        <v>18</v>
      </c>
      <c r="J1647" s="153">
        <v>1</v>
      </c>
      <c r="K1647" s="142" t="s">
        <v>730</v>
      </c>
      <c r="L1647" s="168" t="s">
        <v>2522</v>
      </c>
      <c r="M1647" s="11"/>
      <c r="N1647" s="142" t="s">
        <v>2597</v>
      </c>
      <c r="O1647" s="143"/>
      <c r="P1647" s="43"/>
      <c r="Q1647" s="43"/>
      <c r="R1647" s="142" t="s">
        <v>272</v>
      </c>
    </row>
    <row r="1648" spans="1:18" ht="35.25" customHeight="1">
      <c r="A1648" s="15">
        <f t="shared" si="25"/>
        <v>1638</v>
      </c>
      <c r="B1648" s="144" t="s">
        <v>2305</v>
      </c>
      <c r="C1648" s="150" t="s">
        <v>985</v>
      </c>
      <c r="D1648" s="19"/>
      <c r="E1648" s="19"/>
      <c r="F1648" s="19"/>
      <c r="G1648" s="142"/>
      <c r="H1648" s="141"/>
      <c r="I1648" s="202" t="s">
        <v>18</v>
      </c>
      <c r="J1648" s="153">
        <v>1</v>
      </c>
      <c r="K1648" s="142" t="s">
        <v>730</v>
      </c>
      <c r="L1648" s="168" t="s">
        <v>2522</v>
      </c>
      <c r="M1648" s="11"/>
      <c r="N1648" s="142" t="s">
        <v>2597</v>
      </c>
      <c r="O1648" s="143"/>
      <c r="P1648" s="43"/>
      <c r="Q1648" s="43"/>
      <c r="R1648" s="142" t="s">
        <v>272</v>
      </c>
    </row>
    <row r="1649" spans="1:18" ht="35.25" customHeight="1">
      <c r="A1649" s="15">
        <f t="shared" si="25"/>
        <v>1639</v>
      </c>
      <c r="B1649" s="144" t="s">
        <v>2306</v>
      </c>
      <c r="C1649" s="150" t="s">
        <v>985</v>
      </c>
      <c r="D1649" s="19"/>
      <c r="E1649" s="19"/>
      <c r="F1649" s="19"/>
      <c r="G1649" s="142"/>
      <c r="H1649" s="141"/>
      <c r="I1649" s="202" t="s">
        <v>18</v>
      </c>
      <c r="J1649" s="153">
        <v>1</v>
      </c>
      <c r="K1649" s="142" t="s">
        <v>730</v>
      </c>
      <c r="L1649" s="168" t="s">
        <v>2522</v>
      </c>
      <c r="M1649" s="11"/>
      <c r="N1649" s="142" t="s">
        <v>2597</v>
      </c>
      <c r="O1649" s="143"/>
      <c r="P1649" s="43"/>
      <c r="Q1649" s="43"/>
      <c r="R1649" s="142" t="s">
        <v>272</v>
      </c>
    </row>
    <row r="1650" spans="1:18" ht="35.25" customHeight="1">
      <c r="A1650" s="15">
        <f t="shared" si="25"/>
        <v>1640</v>
      </c>
      <c r="B1650" s="144" t="s">
        <v>2307</v>
      </c>
      <c r="C1650" s="150" t="s">
        <v>985</v>
      </c>
      <c r="D1650" s="19"/>
      <c r="E1650" s="19"/>
      <c r="F1650" s="19"/>
      <c r="G1650" s="142"/>
      <c r="H1650" s="141"/>
      <c r="I1650" s="202" t="s">
        <v>18</v>
      </c>
      <c r="J1650" s="153">
        <v>1</v>
      </c>
      <c r="K1650" s="142" t="s">
        <v>730</v>
      </c>
      <c r="L1650" s="168" t="s">
        <v>2522</v>
      </c>
      <c r="M1650" s="11"/>
      <c r="N1650" s="142" t="s">
        <v>2597</v>
      </c>
      <c r="O1650" s="143"/>
      <c r="P1650" s="43"/>
      <c r="Q1650" s="43"/>
      <c r="R1650" s="142" t="s">
        <v>272</v>
      </c>
    </row>
    <row r="1651" spans="1:18" ht="35.25" customHeight="1">
      <c r="A1651" s="15">
        <f t="shared" si="25"/>
        <v>1641</v>
      </c>
      <c r="B1651" s="144" t="s">
        <v>2308</v>
      </c>
      <c r="C1651" s="150" t="s">
        <v>985</v>
      </c>
      <c r="D1651" s="19"/>
      <c r="E1651" s="19"/>
      <c r="F1651" s="19"/>
      <c r="G1651" s="142"/>
      <c r="H1651" s="141"/>
      <c r="I1651" s="202" t="s">
        <v>18</v>
      </c>
      <c r="J1651" s="153">
        <v>1</v>
      </c>
      <c r="K1651" s="142" t="s">
        <v>730</v>
      </c>
      <c r="L1651" s="168" t="s">
        <v>2522</v>
      </c>
      <c r="M1651" s="11"/>
      <c r="N1651" s="142" t="s">
        <v>2597</v>
      </c>
      <c r="O1651" s="143"/>
      <c r="P1651" s="43"/>
      <c r="Q1651" s="43"/>
      <c r="R1651" s="142" t="s">
        <v>272</v>
      </c>
    </row>
    <row r="1652" spans="1:18" ht="35.25" customHeight="1">
      <c r="A1652" s="15">
        <f t="shared" si="25"/>
        <v>1642</v>
      </c>
      <c r="B1652" s="144" t="s">
        <v>2309</v>
      </c>
      <c r="C1652" s="150" t="s">
        <v>985</v>
      </c>
      <c r="D1652" s="19"/>
      <c r="E1652" s="19"/>
      <c r="F1652" s="19"/>
      <c r="G1652" s="142"/>
      <c r="H1652" s="141"/>
      <c r="I1652" s="202" t="s">
        <v>18</v>
      </c>
      <c r="J1652" s="153">
        <v>1</v>
      </c>
      <c r="K1652" s="142" t="s">
        <v>730</v>
      </c>
      <c r="L1652" s="168" t="s">
        <v>2522</v>
      </c>
      <c r="M1652" s="11"/>
      <c r="N1652" s="142" t="s">
        <v>2597</v>
      </c>
      <c r="O1652" s="143"/>
      <c r="P1652" s="43"/>
      <c r="Q1652" s="43"/>
      <c r="R1652" s="142" t="s">
        <v>272</v>
      </c>
    </row>
    <row r="1653" spans="1:18" ht="35.25" customHeight="1">
      <c r="A1653" s="15">
        <f t="shared" si="25"/>
        <v>1643</v>
      </c>
      <c r="B1653" s="144" t="s">
        <v>2310</v>
      </c>
      <c r="C1653" s="150" t="s">
        <v>985</v>
      </c>
      <c r="D1653" s="19"/>
      <c r="E1653" s="19"/>
      <c r="F1653" s="19"/>
      <c r="G1653" s="142"/>
      <c r="H1653" s="141"/>
      <c r="I1653" s="202" t="s">
        <v>18</v>
      </c>
      <c r="J1653" s="153">
        <v>1</v>
      </c>
      <c r="K1653" s="142" t="s">
        <v>730</v>
      </c>
      <c r="L1653" s="168" t="s">
        <v>2522</v>
      </c>
      <c r="M1653" s="11"/>
      <c r="N1653" s="142" t="s">
        <v>2597</v>
      </c>
      <c r="O1653" s="143"/>
      <c r="P1653" s="43"/>
      <c r="Q1653" s="43"/>
      <c r="R1653" s="142" t="s">
        <v>272</v>
      </c>
    </row>
    <row r="1654" spans="1:18" ht="35.25" customHeight="1">
      <c r="A1654" s="15">
        <f t="shared" si="25"/>
        <v>1644</v>
      </c>
      <c r="B1654" s="144" t="s">
        <v>2311</v>
      </c>
      <c r="C1654" s="150" t="s">
        <v>985</v>
      </c>
      <c r="D1654" s="19"/>
      <c r="E1654" s="19"/>
      <c r="F1654" s="19"/>
      <c r="G1654" s="142"/>
      <c r="H1654" s="141"/>
      <c r="I1654" s="202" t="s">
        <v>18</v>
      </c>
      <c r="J1654" s="153">
        <v>1</v>
      </c>
      <c r="K1654" s="142" t="s">
        <v>730</v>
      </c>
      <c r="L1654" s="168" t="s">
        <v>2522</v>
      </c>
      <c r="M1654" s="11"/>
      <c r="N1654" s="142" t="s">
        <v>2597</v>
      </c>
      <c r="O1654" s="143"/>
      <c r="P1654" s="43"/>
      <c r="Q1654" s="43"/>
      <c r="R1654" s="142" t="s">
        <v>272</v>
      </c>
    </row>
    <row r="1655" spans="1:18" ht="35.25" customHeight="1">
      <c r="A1655" s="15">
        <f t="shared" si="25"/>
        <v>1645</v>
      </c>
      <c r="B1655" s="144" t="s">
        <v>2312</v>
      </c>
      <c r="C1655" s="150" t="s">
        <v>985</v>
      </c>
      <c r="D1655" s="19"/>
      <c r="E1655" s="19"/>
      <c r="F1655" s="19"/>
      <c r="G1655" s="142"/>
      <c r="H1655" s="141"/>
      <c r="I1655" s="202" t="s">
        <v>18</v>
      </c>
      <c r="J1655" s="153">
        <v>1</v>
      </c>
      <c r="K1655" s="142" t="s">
        <v>730</v>
      </c>
      <c r="L1655" s="168" t="s">
        <v>2522</v>
      </c>
      <c r="M1655" s="11"/>
      <c r="N1655" s="142" t="s">
        <v>2597</v>
      </c>
      <c r="O1655" s="143"/>
      <c r="P1655" s="43"/>
      <c r="Q1655" s="43"/>
      <c r="R1655" s="142" t="s">
        <v>272</v>
      </c>
    </row>
    <row r="1656" spans="1:18" ht="35.25" customHeight="1">
      <c r="A1656" s="15">
        <f t="shared" si="25"/>
        <v>1646</v>
      </c>
      <c r="B1656" s="144" t="s">
        <v>2313</v>
      </c>
      <c r="C1656" s="150" t="s">
        <v>985</v>
      </c>
      <c r="D1656" s="19"/>
      <c r="E1656" s="19"/>
      <c r="F1656" s="19"/>
      <c r="G1656" s="142"/>
      <c r="H1656" s="141"/>
      <c r="I1656" s="202" t="s">
        <v>18</v>
      </c>
      <c r="J1656" s="153">
        <v>1</v>
      </c>
      <c r="K1656" s="142" t="s">
        <v>730</v>
      </c>
      <c r="L1656" s="168" t="s">
        <v>2522</v>
      </c>
      <c r="M1656" s="11"/>
      <c r="N1656" s="142" t="s">
        <v>2597</v>
      </c>
      <c r="O1656" s="143"/>
      <c r="P1656" s="43"/>
      <c r="Q1656" s="43"/>
      <c r="R1656" s="142" t="s">
        <v>272</v>
      </c>
    </row>
    <row r="1657" spans="1:18" ht="35.25" customHeight="1">
      <c r="A1657" s="15">
        <f t="shared" si="25"/>
        <v>1647</v>
      </c>
      <c r="B1657" s="144" t="s">
        <v>2314</v>
      </c>
      <c r="C1657" s="150" t="s">
        <v>985</v>
      </c>
      <c r="D1657" s="19"/>
      <c r="E1657" s="19"/>
      <c r="F1657" s="19"/>
      <c r="G1657" s="142"/>
      <c r="H1657" s="141"/>
      <c r="I1657" s="202" t="s">
        <v>18</v>
      </c>
      <c r="J1657" s="153">
        <v>1</v>
      </c>
      <c r="K1657" s="142" t="s">
        <v>730</v>
      </c>
      <c r="L1657" s="168" t="s">
        <v>2522</v>
      </c>
      <c r="M1657" s="11"/>
      <c r="N1657" s="142" t="s">
        <v>2597</v>
      </c>
      <c r="O1657" s="143"/>
      <c r="P1657" s="43"/>
      <c r="Q1657" s="43"/>
      <c r="R1657" s="142" t="s">
        <v>272</v>
      </c>
    </row>
    <row r="1658" spans="1:18" ht="35.25" customHeight="1">
      <c r="A1658" s="15">
        <f t="shared" si="25"/>
        <v>1648</v>
      </c>
      <c r="B1658" s="144" t="s">
        <v>2315</v>
      </c>
      <c r="C1658" s="150" t="s">
        <v>985</v>
      </c>
      <c r="D1658" s="19"/>
      <c r="E1658" s="19"/>
      <c r="F1658" s="19"/>
      <c r="G1658" s="142"/>
      <c r="H1658" s="141"/>
      <c r="I1658" s="202" t="s">
        <v>18</v>
      </c>
      <c r="J1658" s="153">
        <v>1</v>
      </c>
      <c r="K1658" s="142" t="s">
        <v>730</v>
      </c>
      <c r="L1658" s="168" t="s">
        <v>2522</v>
      </c>
      <c r="M1658" s="11"/>
      <c r="N1658" s="142" t="s">
        <v>2597</v>
      </c>
      <c r="O1658" s="143"/>
      <c r="P1658" s="43"/>
      <c r="Q1658" s="43"/>
      <c r="R1658" s="142" t="s">
        <v>272</v>
      </c>
    </row>
    <row r="1659" spans="1:18" ht="35.25" customHeight="1">
      <c r="A1659" s="15">
        <f t="shared" si="25"/>
        <v>1649</v>
      </c>
      <c r="B1659" s="144" t="s">
        <v>2316</v>
      </c>
      <c r="C1659" s="150" t="s">
        <v>985</v>
      </c>
      <c r="D1659" s="19"/>
      <c r="E1659" s="19"/>
      <c r="F1659" s="19"/>
      <c r="G1659" s="142"/>
      <c r="H1659" s="141"/>
      <c r="I1659" s="202" t="s">
        <v>18</v>
      </c>
      <c r="J1659" s="153">
        <v>1</v>
      </c>
      <c r="K1659" s="142" t="s">
        <v>730</v>
      </c>
      <c r="L1659" s="168" t="s">
        <v>2522</v>
      </c>
      <c r="M1659" s="11"/>
      <c r="N1659" s="142" t="s">
        <v>2597</v>
      </c>
      <c r="O1659" s="143"/>
      <c r="P1659" s="43"/>
      <c r="Q1659" s="43"/>
      <c r="R1659" s="142" t="s">
        <v>272</v>
      </c>
    </row>
    <row r="1660" spans="1:18" ht="35.25" customHeight="1">
      <c r="A1660" s="15">
        <f t="shared" si="25"/>
        <v>1650</v>
      </c>
      <c r="B1660" s="144" t="s">
        <v>2317</v>
      </c>
      <c r="C1660" s="150" t="s">
        <v>985</v>
      </c>
      <c r="D1660" s="19"/>
      <c r="E1660" s="19"/>
      <c r="F1660" s="19"/>
      <c r="G1660" s="142"/>
      <c r="H1660" s="141"/>
      <c r="I1660" s="202" t="s">
        <v>18</v>
      </c>
      <c r="J1660" s="153">
        <v>1</v>
      </c>
      <c r="K1660" s="142" t="s">
        <v>730</v>
      </c>
      <c r="L1660" s="168" t="s">
        <v>2522</v>
      </c>
      <c r="M1660" s="11"/>
      <c r="N1660" s="142" t="s">
        <v>2597</v>
      </c>
      <c r="O1660" s="143"/>
      <c r="P1660" s="43"/>
      <c r="Q1660" s="43"/>
      <c r="R1660" s="142" t="s">
        <v>272</v>
      </c>
    </row>
    <row r="1661" spans="1:18" ht="35.25" customHeight="1">
      <c r="A1661" s="15">
        <f t="shared" si="25"/>
        <v>1651</v>
      </c>
      <c r="B1661" s="144" t="s">
        <v>2318</v>
      </c>
      <c r="C1661" s="150" t="s">
        <v>985</v>
      </c>
      <c r="D1661" s="19"/>
      <c r="E1661" s="19"/>
      <c r="F1661" s="19"/>
      <c r="G1661" s="142"/>
      <c r="H1661" s="141"/>
      <c r="I1661" s="202" t="s">
        <v>18</v>
      </c>
      <c r="J1661" s="153">
        <v>1</v>
      </c>
      <c r="K1661" s="142" t="s">
        <v>730</v>
      </c>
      <c r="L1661" s="168" t="s">
        <v>2522</v>
      </c>
      <c r="M1661" s="11"/>
      <c r="N1661" s="142" t="s">
        <v>2597</v>
      </c>
      <c r="O1661" s="143"/>
      <c r="P1661" s="43"/>
      <c r="Q1661" s="43"/>
      <c r="R1661" s="142" t="s">
        <v>272</v>
      </c>
    </row>
    <row r="1662" spans="1:18" ht="35.25" customHeight="1">
      <c r="A1662" s="15">
        <f t="shared" si="25"/>
        <v>1652</v>
      </c>
      <c r="B1662" s="144" t="s">
        <v>2319</v>
      </c>
      <c r="C1662" s="150" t="s">
        <v>985</v>
      </c>
      <c r="D1662" s="19"/>
      <c r="E1662" s="19"/>
      <c r="F1662" s="19"/>
      <c r="G1662" s="142"/>
      <c r="H1662" s="141"/>
      <c r="I1662" s="202" t="s">
        <v>18</v>
      </c>
      <c r="J1662" s="153">
        <v>1</v>
      </c>
      <c r="K1662" s="142" t="s">
        <v>730</v>
      </c>
      <c r="L1662" s="168" t="s">
        <v>2522</v>
      </c>
      <c r="M1662" s="11"/>
      <c r="N1662" s="142" t="s">
        <v>2597</v>
      </c>
      <c r="O1662" s="143"/>
      <c r="P1662" s="43"/>
      <c r="Q1662" s="43"/>
      <c r="R1662" s="142" t="s">
        <v>272</v>
      </c>
    </row>
    <row r="1663" spans="1:18" ht="35.25" customHeight="1">
      <c r="A1663" s="15">
        <f t="shared" si="25"/>
        <v>1653</v>
      </c>
      <c r="B1663" s="144" t="s">
        <v>2320</v>
      </c>
      <c r="C1663" s="150" t="s">
        <v>985</v>
      </c>
      <c r="D1663" s="19"/>
      <c r="E1663" s="19"/>
      <c r="F1663" s="19"/>
      <c r="G1663" s="142"/>
      <c r="H1663" s="141"/>
      <c r="I1663" s="202" t="s">
        <v>18</v>
      </c>
      <c r="J1663" s="153">
        <v>1</v>
      </c>
      <c r="K1663" s="142" t="s">
        <v>730</v>
      </c>
      <c r="L1663" s="168" t="s">
        <v>2522</v>
      </c>
      <c r="M1663" s="11"/>
      <c r="N1663" s="142" t="s">
        <v>2597</v>
      </c>
      <c r="O1663" s="143"/>
      <c r="P1663" s="43"/>
      <c r="Q1663" s="43"/>
      <c r="R1663" s="142" t="s">
        <v>272</v>
      </c>
    </row>
    <row r="1664" spans="1:18" ht="35.25" customHeight="1">
      <c r="A1664" s="15">
        <f t="shared" si="25"/>
        <v>1654</v>
      </c>
      <c r="B1664" s="168" t="s">
        <v>2321</v>
      </c>
      <c r="C1664" s="150" t="s">
        <v>985</v>
      </c>
      <c r="D1664" s="19"/>
      <c r="E1664" s="19"/>
      <c r="F1664" s="19"/>
      <c r="G1664" s="142"/>
      <c r="H1664" s="141"/>
      <c r="I1664" s="202" t="s">
        <v>18</v>
      </c>
      <c r="J1664" s="153">
        <v>1</v>
      </c>
      <c r="K1664" s="142" t="s">
        <v>730</v>
      </c>
      <c r="L1664" s="168" t="s">
        <v>2522</v>
      </c>
      <c r="M1664" s="11"/>
      <c r="N1664" s="142" t="s">
        <v>2597</v>
      </c>
      <c r="O1664" s="143"/>
      <c r="P1664" s="43"/>
      <c r="Q1664" s="43"/>
      <c r="R1664" s="142" t="s">
        <v>272</v>
      </c>
    </row>
    <row r="1665" spans="1:18" ht="35.25" customHeight="1">
      <c r="A1665" s="15">
        <f t="shared" si="25"/>
        <v>1655</v>
      </c>
      <c r="B1665" s="168" t="s">
        <v>2322</v>
      </c>
      <c r="C1665" s="150" t="s">
        <v>985</v>
      </c>
      <c r="D1665" s="19"/>
      <c r="E1665" s="19"/>
      <c r="F1665" s="19"/>
      <c r="G1665" s="142"/>
      <c r="H1665" s="141"/>
      <c r="I1665" s="202" t="s">
        <v>18</v>
      </c>
      <c r="J1665" s="153">
        <v>1</v>
      </c>
      <c r="K1665" s="142" t="s">
        <v>730</v>
      </c>
      <c r="L1665" s="168" t="s">
        <v>2522</v>
      </c>
      <c r="M1665" s="11"/>
      <c r="N1665" s="142" t="s">
        <v>2597</v>
      </c>
      <c r="O1665" s="143"/>
      <c r="P1665" s="43"/>
      <c r="Q1665" s="43"/>
      <c r="R1665" s="142" t="s">
        <v>272</v>
      </c>
    </row>
    <row r="1666" spans="1:18" ht="35.25" customHeight="1">
      <c r="A1666" s="15">
        <f t="shared" si="25"/>
        <v>1656</v>
      </c>
      <c r="B1666" s="168" t="s">
        <v>2323</v>
      </c>
      <c r="C1666" s="150" t="s">
        <v>985</v>
      </c>
      <c r="D1666" s="19"/>
      <c r="E1666" s="19"/>
      <c r="F1666" s="19"/>
      <c r="G1666" s="142"/>
      <c r="H1666" s="141"/>
      <c r="I1666" s="202" t="s">
        <v>18</v>
      </c>
      <c r="J1666" s="153">
        <v>1</v>
      </c>
      <c r="K1666" s="142" t="s">
        <v>730</v>
      </c>
      <c r="L1666" s="168" t="s">
        <v>2522</v>
      </c>
      <c r="M1666" s="11"/>
      <c r="N1666" s="142" t="s">
        <v>2597</v>
      </c>
      <c r="O1666" s="143"/>
      <c r="P1666" s="43"/>
      <c r="Q1666" s="43"/>
      <c r="R1666" s="142" t="s">
        <v>272</v>
      </c>
    </row>
    <row r="1667" spans="1:18" ht="35.25" customHeight="1">
      <c r="A1667" s="15">
        <f t="shared" si="25"/>
        <v>1657</v>
      </c>
      <c r="B1667" s="168" t="s">
        <v>2324</v>
      </c>
      <c r="C1667" s="150" t="s">
        <v>985</v>
      </c>
      <c r="D1667" s="19"/>
      <c r="E1667" s="19"/>
      <c r="F1667" s="19"/>
      <c r="G1667" s="142"/>
      <c r="H1667" s="141"/>
      <c r="I1667" s="202" t="s">
        <v>18</v>
      </c>
      <c r="J1667" s="153">
        <v>1</v>
      </c>
      <c r="K1667" s="142" t="s">
        <v>730</v>
      </c>
      <c r="L1667" s="168" t="s">
        <v>2522</v>
      </c>
      <c r="M1667" s="11"/>
      <c r="N1667" s="142" t="s">
        <v>2597</v>
      </c>
      <c r="O1667" s="143"/>
      <c r="P1667" s="43"/>
      <c r="Q1667" s="43"/>
      <c r="R1667" s="142" t="s">
        <v>272</v>
      </c>
    </row>
    <row r="1668" spans="1:18" ht="35.25" customHeight="1">
      <c r="A1668" s="15">
        <f t="shared" si="25"/>
        <v>1658</v>
      </c>
      <c r="B1668" s="168" t="s">
        <v>2325</v>
      </c>
      <c r="C1668" s="150" t="s">
        <v>985</v>
      </c>
      <c r="D1668" s="19"/>
      <c r="E1668" s="19"/>
      <c r="F1668" s="19"/>
      <c r="G1668" s="142"/>
      <c r="H1668" s="141"/>
      <c r="I1668" s="202" t="s">
        <v>18</v>
      </c>
      <c r="J1668" s="153">
        <v>1</v>
      </c>
      <c r="K1668" s="142" t="s">
        <v>730</v>
      </c>
      <c r="L1668" s="168" t="s">
        <v>2522</v>
      </c>
      <c r="M1668" s="11"/>
      <c r="N1668" s="142" t="s">
        <v>2597</v>
      </c>
      <c r="O1668" s="143"/>
      <c r="P1668" s="43"/>
      <c r="Q1668" s="43"/>
      <c r="R1668" s="142" t="s">
        <v>272</v>
      </c>
    </row>
    <row r="1669" spans="1:18" ht="35.25" customHeight="1">
      <c r="A1669" s="15">
        <f t="shared" si="25"/>
        <v>1659</v>
      </c>
      <c r="B1669" s="168" t="s">
        <v>2326</v>
      </c>
      <c r="C1669" s="150" t="s">
        <v>985</v>
      </c>
      <c r="D1669" s="19"/>
      <c r="E1669" s="19"/>
      <c r="F1669" s="19"/>
      <c r="G1669" s="142"/>
      <c r="H1669" s="141"/>
      <c r="I1669" s="202" t="s">
        <v>18</v>
      </c>
      <c r="J1669" s="153">
        <v>1</v>
      </c>
      <c r="K1669" s="142" t="s">
        <v>730</v>
      </c>
      <c r="L1669" s="168" t="s">
        <v>2522</v>
      </c>
      <c r="M1669" s="11"/>
      <c r="N1669" s="142" t="s">
        <v>2597</v>
      </c>
      <c r="O1669" s="143"/>
      <c r="P1669" s="43"/>
      <c r="Q1669" s="43"/>
      <c r="R1669" s="142" t="s">
        <v>272</v>
      </c>
    </row>
    <row r="1670" spans="1:18" ht="35.25" customHeight="1">
      <c r="A1670" s="15">
        <f t="shared" si="25"/>
        <v>1660</v>
      </c>
      <c r="B1670" s="144" t="s">
        <v>2327</v>
      </c>
      <c r="C1670" s="150" t="s">
        <v>985</v>
      </c>
      <c r="D1670" s="19"/>
      <c r="E1670" s="19"/>
      <c r="F1670" s="19"/>
      <c r="G1670" s="142"/>
      <c r="H1670" s="141"/>
      <c r="I1670" s="202" t="s">
        <v>18</v>
      </c>
      <c r="J1670" s="153">
        <v>1</v>
      </c>
      <c r="K1670" s="142" t="s">
        <v>730</v>
      </c>
      <c r="L1670" s="168" t="s">
        <v>2522</v>
      </c>
      <c r="M1670" s="11"/>
      <c r="N1670" s="142" t="s">
        <v>2597</v>
      </c>
      <c r="O1670" s="143"/>
      <c r="P1670" s="43"/>
      <c r="Q1670" s="43"/>
      <c r="R1670" s="142" t="s">
        <v>272</v>
      </c>
    </row>
    <row r="1671" spans="1:18" ht="35.25" customHeight="1">
      <c r="A1671" s="15">
        <f t="shared" si="25"/>
        <v>1661</v>
      </c>
      <c r="B1671" s="144" t="s">
        <v>2328</v>
      </c>
      <c r="C1671" s="150" t="s">
        <v>985</v>
      </c>
      <c r="D1671" s="19"/>
      <c r="E1671" s="19"/>
      <c r="F1671" s="19"/>
      <c r="G1671" s="142"/>
      <c r="H1671" s="141"/>
      <c r="I1671" s="202" t="s">
        <v>18</v>
      </c>
      <c r="J1671" s="153">
        <v>1</v>
      </c>
      <c r="K1671" s="142" t="s">
        <v>730</v>
      </c>
      <c r="L1671" s="168" t="s">
        <v>2522</v>
      </c>
      <c r="M1671" s="11"/>
      <c r="N1671" s="142" t="s">
        <v>2597</v>
      </c>
      <c r="O1671" s="143"/>
      <c r="P1671" s="43"/>
      <c r="Q1671" s="43"/>
      <c r="R1671" s="142" t="s">
        <v>272</v>
      </c>
    </row>
    <row r="1672" spans="1:18" ht="35.25" customHeight="1">
      <c r="A1672" s="15">
        <f t="shared" si="25"/>
        <v>1662</v>
      </c>
      <c r="B1672" s="11" t="s">
        <v>2329</v>
      </c>
      <c r="C1672" s="64" t="s">
        <v>445</v>
      </c>
      <c r="D1672" s="19"/>
      <c r="E1672" s="19"/>
      <c r="F1672" s="19"/>
      <c r="G1672" s="142"/>
      <c r="H1672" s="141"/>
      <c r="I1672" s="202" t="s">
        <v>18</v>
      </c>
      <c r="J1672" s="192">
        <v>1</v>
      </c>
      <c r="K1672" s="142" t="s">
        <v>730</v>
      </c>
      <c r="L1672" s="168" t="s">
        <v>2522</v>
      </c>
      <c r="M1672" s="11"/>
      <c r="N1672" s="142" t="s">
        <v>2597</v>
      </c>
      <c r="O1672" s="143"/>
      <c r="P1672" s="43"/>
      <c r="Q1672" s="43"/>
      <c r="R1672" s="172" t="s">
        <v>272</v>
      </c>
    </row>
    <row r="1673" spans="1:18" ht="35.25" customHeight="1">
      <c r="A1673" s="15">
        <f t="shared" si="25"/>
        <v>1663</v>
      </c>
      <c r="B1673" s="11" t="s">
        <v>2330</v>
      </c>
      <c r="C1673" s="64" t="s">
        <v>2331</v>
      </c>
      <c r="D1673" s="19"/>
      <c r="E1673" s="19"/>
      <c r="F1673" s="19"/>
      <c r="G1673" s="142"/>
      <c r="H1673" s="141"/>
      <c r="I1673" s="202" t="s">
        <v>18</v>
      </c>
      <c r="J1673" s="192">
        <v>1</v>
      </c>
      <c r="K1673" s="142" t="s">
        <v>730</v>
      </c>
      <c r="L1673" s="168" t="s">
        <v>2522</v>
      </c>
      <c r="M1673" s="276" t="s">
        <v>3287</v>
      </c>
      <c r="N1673" s="172" t="s">
        <v>2625</v>
      </c>
      <c r="O1673" s="268">
        <v>45006</v>
      </c>
      <c r="P1673" s="43"/>
      <c r="Q1673" s="43"/>
      <c r="R1673" s="153" t="s">
        <v>3244</v>
      </c>
    </row>
    <row r="1674" spans="1:18" ht="35.25" customHeight="1">
      <c r="A1674" s="15">
        <f t="shared" si="25"/>
        <v>1664</v>
      </c>
      <c r="B1674" s="146" t="s">
        <v>2674</v>
      </c>
      <c r="C1674" s="64" t="s">
        <v>2675</v>
      </c>
      <c r="D1674" s="19"/>
      <c r="E1674" s="19"/>
      <c r="F1674" s="19"/>
      <c r="G1674" s="64"/>
      <c r="H1674" s="141"/>
      <c r="I1674" s="158" t="s">
        <v>181</v>
      </c>
      <c r="J1674" s="158">
        <v>1</v>
      </c>
      <c r="K1674" s="142" t="s">
        <v>730</v>
      </c>
      <c r="L1674" s="43" t="s">
        <v>2982</v>
      </c>
      <c r="M1674" s="276" t="s">
        <v>3253</v>
      </c>
      <c r="N1674" s="43" t="s">
        <v>2983</v>
      </c>
      <c r="O1674" s="66"/>
      <c r="P1674" s="43"/>
      <c r="Q1674" s="43"/>
      <c r="R1674" s="193"/>
    </row>
    <row r="1675" spans="1:18" ht="35.25" customHeight="1">
      <c r="A1675" s="15">
        <f t="shared" si="25"/>
        <v>1665</v>
      </c>
      <c r="B1675" s="146" t="s">
        <v>2676</v>
      </c>
      <c r="C1675" s="64" t="s">
        <v>2677</v>
      </c>
      <c r="D1675" s="19"/>
      <c r="E1675" s="19"/>
      <c r="F1675" s="19"/>
      <c r="G1675" s="64"/>
      <c r="H1675" s="141"/>
      <c r="I1675" s="158" t="s">
        <v>18</v>
      </c>
      <c r="J1675" s="158">
        <v>1</v>
      </c>
      <c r="K1675" s="142" t="s">
        <v>730</v>
      </c>
      <c r="L1675" s="43" t="s">
        <v>2982</v>
      </c>
      <c r="M1675" s="276" t="s">
        <v>3253</v>
      </c>
      <c r="N1675" s="43" t="s">
        <v>2983</v>
      </c>
      <c r="O1675" s="66"/>
      <c r="P1675" s="43"/>
      <c r="Q1675" s="43"/>
      <c r="R1675" s="193"/>
    </row>
    <row r="1676" spans="1:18" ht="35.25" customHeight="1">
      <c r="A1676" s="15">
        <f t="shared" si="25"/>
        <v>1666</v>
      </c>
      <c r="B1676" s="146" t="s">
        <v>2678</v>
      </c>
      <c r="C1676" s="64" t="s">
        <v>2679</v>
      </c>
      <c r="D1676" s="19"/>
      <c r="E1676" s="19"/>
      <c r="F1676" s="19"/>
      <c r="G1676" s="64"/>
      <c r="H1676" s="141"/>
      <c r="I1676" s="158" t="s">
        <v>18</v>
      </c>
      <c r="J1676" s="158">
        <v>1</v>
      </c>
      <c r="K1676" s="142" t="s">
        <v>730</v>
      </c>
      <c r="L1676" s="43" t="s">
        <v>2982</v>
      </c>
      <c r="M1676" s="276" t="s">
        <v>3253</v>
      </c>
      <c r="N1676" s="43" t="s">
        <v>2983</v>
      </c>
      <c r="O1676" s="66"/>
      <c r="P1676" s="43"/>
      <c r="Q1676" s="43"/>
      <c r="R1676" s="169" t="s">
        <v>2984</v>
      </c>
    </row>
    <row r="1677" spans="1:18" ht="35.25" customHeight="1">
      <c r="A1677" s="15">
        <f t="shared" si="25"/>
        <v>1667</v>
      </c>
      <c r="B1677" s="146" t="s">
        <v>2680</v>
      </c>
      <c r="C1677" s="64" t="s">
        <v>2681</v>
      </c>
      <c r="D1677" s="19"/>
      <c r="E1677" s="19"/>
      <c r="F1677" s="19"/>
      <c r="G1677" s="64"/>
      <c r="H1677" s="141"/>
      <c r="I1677" s="158" t="s">
        <v>18</v>
      </c>
      <c r="J1677" s="158">
        <v>1</v>
      </c>
      <c r="K1677" s="142" t="s">
        <v>730</v>
      </c>
      <c r="L1677" s="43" t="s">
        <v>2982</v>
      </c>
      <c r="M1677" s="276" t="s">
        <v>3253</v>
      </c>
      <c r="N1677" s="43" t="s">
        <v>2983</v>
      </c>
      <c r="O1677" s="66"/>
      <c r="P1677" s="43"/>
      <c r="Q1677" s="43"/>
      <c r="R1677" s="193"/>
    </row>
    <row r="1678" spans="1:18" ht="35.25" customHeight="1">
      <c r="A1678" s="15">
        <f t="shared" si="25"/>
        <v>1668</v>
      </c>
      <c r="B1678" s="146" t="s">
        <v>2682</v>
      </c>
      <c r="C1678" s="64" t="s">
        <v>2683</v>
      </c>
      <c r="D1678" s="19"/>
      <c r="E1678" s="19"/>
      <c r="F1678" s="19"/>
      <c r="G1678" s="64"/>
      <c r="H1678" s="141"/>
      <c r="I1678" s="158" t="s">
        <v>18</v>
      </c>
      <c r="J1678" s="158">
        <v>1</v>
      </c>
      <c r="K1678" s="142" t="s">
        <v>730</v>
      </c>
      <c r="L1678" s="43" t="s">
        <v>2982</v>
      </c>
      <c r="M1678" s="276" t="s">
        <v>3253</v>
      </c>
      <c r="N1678" s="43" t="s">
        <v>2983</v>
      </c>
      <c r="O1678" s="66"/>
      <c r="P1678" s="43"/>
      <c r="Q1678" s="43"/>
      <c r="R1678" s="193"/>
    </row>
    <row r="1679" spans="1:18" ht="35.25" customHeight="1">
      <c r="A1679" s="15">
        <f t="shared" si="25"/>
        <v>1669</v>
      </c>
      <c r="B1679" s="146" t="s">
        <v>2684</v>
      </c>
      <c r="C1679" s="64" t="s">
        <v>2685</v>
      </c>
      <c r="D1679" s="19"/>
      <c r="E1679" s="19"/>
      <c r="F1679" s="19"/>
      <c r="G1679" s="64"/>
      <c r="H1679" s="141"/>
      <c r="I1679" s="158" t="s">
        <v>18</v>
      </c>
      <c r="J1679" s="158">
        <v>1</v>
      </c>
      <c r="K1679" s="142" t="s">
        <v>730</v>
      </c>
      <c r="L1679" s="43" t="s">
        <v>2982</v>
      </c>
      <c r="M1679" s="276" t="s">
        <v>3253</v>
      </c>
      <c r="N1679" s="43" t="s">
        <v>2983</v>
      </c>
      <c r="O1679" s="66"/>
      <c r="P1679" s="43"/>
      <c r="Q1679" s="43"/>
      <c r="R1679" s="193"/>
    </row>
    <row r="1680" spans="1:18" ht="35.25" customHeight="1">
      <c r="A1680" s="15">
        <f t="shared" si="25"/>
        <v>1670</v>
      </c>
      <c r="B1680" s="146" t="s">
        <v>2686</v>
      </c>
      <c r="C1680" s="64" t="s">
        <v>2685</v>
      </c>
      <c r="D1680" s="19"/>
      <c r="E1680" s="19"/>
      <c r="F1680" s="19"/>
      <c r="G1680" s="64"/>
      <c r="H1680" s="141"/>
      <c r="I1680" s="158" t="s">
        <v>18</v>
      </c>
      <c r="J1680" s="158">
        <v>1</v>
      </c>
      <c r="K1680" s="142" t="s">
        <v>730</v>
      </c>
      <c r="L1680" s="43" t="s">
        <v>2982</v>
      </c>
      <c r="M1680" s="276" t="s">
        <v>3253</v>
      </c>
      <c r="N1680" s="43" t="s">
        <v>2983</v>
      </c>
      <c r="O1680" s="66"/>
      <c r="P1680" s="43"/>
      <c r="Q1680" s="43"/>
      <c r="R1680" s="193"/>
    </row>
    <row r="1681" spans="1:18" ht="35.25" customHeight="1">
      <c r="A1681" s="15">
        <f t="shared" si="25"/>
        <v>1671</v>
      </c>
      <c r="B1681" s="146" t="s">
        <v>2687</v>
      </c>
      <c r="C1681" s="64" t="s">
        <v>2685</v>
      </c>
      <c r="D1681" s="19"/>
      <c r="E1681" s="19"/>
      <c r="F1681" s="19"/>
      <c r="G1681" s="64"/>
      <c r="H1681" s="141"/>
      <c r="I1681" s="158" t="s">
        <v>18</v>
      </c>
      <c r="J1681" s="158">
        <v>1</v>
      </c>
      <c r="K1681" s="142" t="s">
        <v>730</v>
      </c>
      <c r="L1681" s="43" t="s">
        <v>2982</v>
      </c>
      <c r="M1681" s="276" t="s">
        <v>3253</v>
      </c>
      <c r="N1681" s="43" t="s">
        <v>2983</v>
      </c>
      <c r="O1681" s="66"/>
      <c r="P1681" s="43"/>
      <c r="Q1681" s="43"/>
      <c r="R1681" s="193"/>
    </row>
    <row r="1682" spans="1:18" ht="35.25" customHeight="1">
      <c r="A1682" s="15">
        <f t="shared" si="25"/>
        <v>1672</v>
      </c>
      <c r="B1682" s="146" t="s">
        <v>2688</v>
      </c>
      <c r="C1682" s="64" t="s">
        <v>2685</v>
      </c>
      <c r="D1682" s="19"/>
      <c r="E1682" s="19"/>
      <c r="F1682" s="19"/>
      <c r="G1682" s="64"/>
      <c r="H1682" s="141"/>
      <c r="I1682" s="158" t="s">
        <v>18</v>
      </c>
      <c r="J1682" s="158">
        <v>1</v>
      </c>
      <c r="K1682" s="142" t="s">
        <v>730</v>
      </c>
      <c r="L1682" s="43" t="s">
        <v>2982</v>
      </c>
      <c r="M1682" s="276" t="s">
        <v>3253</v>
      </c>
      <c r="N1682" s="43" t="s">
        <v>2983</v>
      </c>
      <c r="O1682" s="66"/>
      <c r="P1682" s="43"/>
      <c r="Q1682" s="43"/>
      <c r="R1682" s="193"/>
    </row>
    <row r="1683" spans="1:18" ht="35.25" customHeight="1">
      <c r="A1683" s="15">
        <f t="shared" ref="A1683:A1746" si="26">A1682+1</f>
        <v>1673</v>
      </c>
      <c r="B1683" s="146" t="s">
        <v>2689</v>
      </c>
      <c r="C1683" s="64" t="s">
        <v>2690</v>
      </c>
      <c r="D1683" s="19"/>
      <c r="E1683" s="19"/>
      <c r="F1683" s="19"/>
      <c r="G1683" s="64"/>
      <c r="H1683" s="141"/>
      <c r="I1683" s="158" t="s">
        <v>18</v>
      </c>
      <c r="J1683" s="158">
        <v>1</v>
      </c>
      <c r="K1683" s="142" t="s">
        <v>730</v>
      </c>
      <c r="L1683" s="43" t="s">
        <v>2982</v>
      </c>
      <c r="M1683" s="276" t="s">
        <v>3253</v>
      </c>
      <c r="N1683" s="43" t="s">
        <v>2983</v>
      </c>
      <c r="O1683" s="66"/>
      <c r="P1683" s="43"/>
      <c r="Q1683" s="43"/>
      <c r="R1683" s="193"/>
    </row>
    <row r="1684" spans="1:18" ht="35.25" customHeight="1">
      <c r="A1684" s="15">
        <f t="shared" si="26"/>
        <v>1674</v>
      </c>
      <c r="B1684" s="146" t="s">
        <v>2691</v>
      </c>
      <c r="C1684" s="64" t="s">
        <v>2692</v>
      </c>
      <c r="D1684" s="19"/>
      <c r="E1684" s="19"/>
      <c r="F1684" s="19"/>
      <c r="G1684" s="64"/>
      <c r="H1684" s="141"/>
      <c r="I1684" s="158" t="s">
        <v>18</v>
      </c>
      <c r="J1684" s="158">
        <v>1</v>
      </c>
      <c r="K1684" s="160" t="s">
        <v>3219</v>
      </c>
      <c r="L1684" s="43" t="s">
        <v>2982</v>
      </c>
      <c r="M1684" s="276" t="s">
        <v>3253</v>
      </c>
      <c r="N1684" s="43" t="s">
        <v>2983</v>
      </c>
      <c r="O1684" s="66"/>
      <c r="P1684" s="43"/>
      <c r="Q1684" s="43"/>
      <c r="R1684" s="169" t="s">
        <v>2985</v>
      </c>
    </row>
    <row r="1685" spans="1:18" ht="35.25" customHeight="1">
      <c r="A1685" s="15">
        <f t="shared" si="26"/>
        <v>1675</v>
      </c>
      <c r="B1685" s="146" t="s">
        <v>2693</v>
      </c>
      <c r="C1685" s="64" t="s">
        <v>2694</v>
      </c>
      <c r="D1685" s="19"/>
      <c r="E1685" s="19"/>
      <c r="F1685" s="19"/>
      <c r="G1685" s="64"/>
      <c r="H1685" s="141"/>
      <c r="I1685" s="158" t="s">
        <v>18</v>
      </c>
      <c r="J1685" s="158">
        <v>1</v>
      </c>
      <c r="K1685" s="142" t="s">
        <v>730</v>
      </c>
      <c r="L1685" s="43" t="s">
        <v>2982</v>
      </c>
      <c r="M1685" s="276" t="s">
        <v>3253</v>
      </c>
      <c r="N1685" s="43" t="s">
        <v>2983</v>
      </c>
      <c r="O1685" s="66"/>
      <c r="P1685" s="43"/>
      <c r="Q1685" s="43"/>
      <c r="R1685" s="193"/>
    </row>
    <row r="1686" spans="1:18" ht="35.25" customHeight="1">
      <c r="A1686" s="15">
        <f t="shared" si="26"/>
        <v>1676</v>
      </c>
      <c r="B1686" s="146" t="s">
        <v>2695</v>
      </c>
      <c r="C1686" s="64" t="s">
        <v>2694</v>
      </c>
      <c r="D1686" s="19"/>
      <c r="E1686" s="19"/>
      <c r="F1686" s="19"/>
      <c r="G1686" s="64"/>
      <c r="H1686" s="141"/>
      <c r="I1686" s="158" t="s">
        <v>18</v>
      </c>
      <c r="J1686" s="158">
        <v>1</v>
      </c>
      <c r="K1686" s="142" t="s">
        <v>730</v>
      </c>
      <c r="L1686" s="43" t="s">
        <v>2982</v>
      </c>
      <c r="M1686" s="276" t="s">
        <v>3253</v>
      </c>
      <c r="N1686" s="43" t="s">
        <v>2983</v>
      </c>
      <c r="O1686" s="66"/>
      <c r="P1686" s="43"/>
      <c r="Q1686" s="43"/>
      <c r="R1686" s="193"/>
    </row>
    <row r="1687" spans="1:18" ht="35.25" customHeight="1">
      <c r="A1687" s="15">
        <f t="shared" si="26"/>
        <v>1677</v>
      </c>
      <c r="B1687" s="146" t="s">
        <v>2696</v>
      </c>
      <c r="C1687" s="64" t="s">
        <v>2694</v>
      </c>
      <c r="D1687" s="19"/>
      <c r="E1687" s="19"/>
      <c r="F1687" s="19"/>
      <c r="G1687" s="64"/>
      <c r="H1687" s="141"/>
      <c r="I1687" s="158" t="s">
        <v>18</v>
      </c>
      <c r="J1687" s="158">
        <v>1</v>
      </c>
      <c r="K1687" s="142" t="s">
        <v>730</v>
      </c>
      <c r="L1687" s="43" t="s">
        <v>2982</v>
      </c>
      <c r="M1687" s="276" t="s">
        <v>3253</v>
      </c>
      <c r="N1687" s="43" t="s">
        <v>2983</v>
      </c>
      <c r="O1687" s="66"/>
      <c r="P1687" s="43"/>
      <c r="Q1687" s="43"/>
      <c r="R1687" s="193"/>
    </row>
    <row r="1688" spans="1:18" ht="35.25" customHeight="1">
      <c r="A1688" s="15">
        <f t="shared" si="26"/>
        <v>1678</v>
      </c>
      <c r="B1688" s="146" t="s">
        <v>2697</v>
      </c>
      <c r="C1688" s="64" t="s">
        <v>2698</v>
      </c>
      <c r="D1688" s="19"/>
      <c r="E1688" s="19"/>
      <c r="F1688" s="19"/>
      <c r="G1688" s="64"/>
      <c r="H1688" s="141"/>
      <c r="I1688" s="158" t="s">
        <v>18</v>
      </c>
      <c r="J1688" s="158">
        <v>1</v>
      </c>
      <c r="K1688" s="142" t="s">
        <v>730</v>
      </c>
      <c r="L1688" s="43" t="s">
        <v>2982</v>
      </c>
      <c r="M1688" s="276" t="s">
        <v>3253</v>
      </c>
      <c r="N1688" s="43" t="s">
        <v>2983</v>
      </c>
      <c r="O1688" s="66"/>
      <c r="P1688" s="43"/>
      <c r="Q1688" s="43"/>
      <c r="R1688" s="193"/>
    </row>
    <row r="1689" spans="1:18" ht="35.25" customHeight="1">
      <c r="A1689" s="15">
        <f t="shared" si="26"/>
        <v>1679</v>
      </c>
      <c r="B1689" s="146" t="s">
        <v>2699</v>
      </c>
      <c r="C1689" s="64" t="s">
        <v>2698</v>
      </c>
      <c r="D1689" s="19"/>
      <c r="E1689" s="19"/>
      <c r="F1689" s="19"/>
      <c r="G1689" s="64"/>
      <c r="H1689" s="141"/>
      <c r="I1689" s="158" t="s">
        <v>18</v>
      </c>
      <c r="J1689" s="158">
        <v>1</v>
      </c>
      <c r="K1689" s="142" t="s">
        <v>730</v>
      </c>
      <c r="L1689" s="43" t="s">
        <v>2982</v>
      </c>
      <c r="M1689" s="276" t="s">
        <v>3253</v>
      </c>
      <c r="N1689" s="43" t="s">
        <v>2983</v>
      </c>
      <c r="O1689" s="66"/>
      <c r="P1689" s="43"/>
      <c r="Q1689" s="43"/>
      <c r="R1689" s="193"/>
    </row>
    <row r="1690" spans="1:18" ht="35.25" customHeight="1">
      <c r="A1690" s="15">
        <f t="shared" si="26"/>
        <v>1680</v>
      </c>
      <c r="B1690" s="146" t="s">
        <v>2700</v>
      </c>
      <c r="C1690" s="64" t="s">
        <v>2698</v>
      </c>
      <c r="D1690" s="19"/>
      <c r="E1690" s="19"/>
      <c r="F1690" s="19"/>
      <c r="G1690" s="64"/>
      <c r="H1690" s="141"/>
      <c r="I1690" s="158" t="s">
        <v>18</v>
      </c>
      <c r="J1690" s="158">
        <v>1</v>
      </c>
      <c r="K1690" s="142" t="s">
        <v>730</v>
      </c>
      <c r="L1690" s="43" t="s">
        <v>2982</v>
      </c>
      <c r="M1690" s="276" t="s">
        <v>3253</v>
      </c>
      <c r="N1690" s="43" t="s">
        <v>2983</v>
      </c>
      <c r="O1690" s="66"/>
      <c r="P1690" s="43"/>
      <c r="Q1690" s="43"/>
      <c r="R1690" s="193"/>
    </row>
    <row r="1691" spans="1:18" ht="35.25" customHeight="1">
      <c r="A1691" s="15">
        <f t="shared" si="26"/>
        <v>1681</v>
      </c>
      <c r="B1691" s="146" t="s">
        <v>2701</v>
      </c>
      <c r="C1691" s="64" t="s">
        <v>2698</v>
      </c>
      <c r="D1691" s="19"/>
      <c r="E1691" s="19"/>
      <c r="F1691" s="19"/>
      <c r="G1691" s="64"/>
      <c r="H1691" s="141"/>
      <c r="I1691" s="158" t="s">
        <v>18</v>
      </c>
      <c r="J1691" s="158">
        <v>1</v>
      </c>
      <c r="K1691" s="142" t="s">
        <v>730</v>
      </c>
      <c r="L1691" s="43" t="s">
        <v>2982</v>
      </c>
      <c r="M1691" s="276" t="s">
        <v>3253</v>
      </c>
      <c r="N1691" s="43" t="s">
        <v>2983</v>
      </c>
      <c r="O1691" s="66"/>
      <c r="P1691" s="43"/>
      <c r="Q1691" s="43"/>
      <c r="R1691" s="193"/>
    </row>
    <row r="1692" spans="1:18" ht="35.25" customHeight="1">
      <c r="A1692" s="15">
        <f t="shared" si="26"/>
        <v>1682</v>
      </c>
      <c r="B1692" s="146" t="s">
        <v>2702</v>
      </c>
      <c r="C1692" s="64" t="s">
        <v>2698</v>
      </c>
      <c r="D1692" s="19"/>
      <c r="E1692" s="19"/>
      <c r="F1692" s="19"/>
      <c r="G1692" s="64"/>
      <c r="H1692" s="141"/>
      <c r="I1692" s="158" t="s">
        <v>18</v>
      </c>
      <c r="J1692" s="158">
        <v>1</v>
      </c>
      <c r="K1692" s="142" t="s">
        <v>730</v>
      </c>
      <c r="L1692" s="43" t="s">
        <v>2982</v>
      </c>
      <c r="M1692" s="276" t="s">
        <v>3253</v>
      </c>
      <c r="N1692" s="43" t="s">
        <v>2983</v>
      </c>
      <c r="O1692" s="66"/>
      <c r="P1692" s="43"/>
      <c r="Q1692" s="43"/>
      <c r="R1692" s="193"/>
    </row>
    <row r="1693" spans="1:18" ht="35.25" customHeight="1">
      <c r="A1693" s="15">
        <f t="shared" si="26"/>
        <v>1683</v>
      </c>
      <c r="B1693" s="146" t="s">
        <v>2703</v>
      </c>
      <c r="C1693" s="64" t="s">
        <v>2698</v>
      </c>
      <c r="D1693" s="19"/>
      <c r="E1693" s="19"/>
      <c r="F1693" s="19"/>
      <c r="G1693" s="64"/>
      <c r="H1693" s="141"/>
      <c r="I1693" s="158" t="s">
        <v>18</v>
      </c>
      <c r="J1693" s="158">
        <v>1</v>
      </c>
      <c r="K1693" s="142" t="s">
        <v>730</v>
      </c>
      <c r="L1693" s="43" t="s">
        <v>2982</v>
      </c>
      <c r="M1693" s="276" t="s">
        <v>3253</v>
      </c>
      <c r="N1693" s="43" t="s">
        <v>2983</v>
      </c>
      <c r="O1693" s="66"/>
      <c r="P1693" s="43"/>
      <c r="Q1693" s="43"/>
      <c r="R1693" s="193"/>
    </row>
    <row r="1694" spans="1:18" ht="35.25" customHeight="1">
      <c r="A1694" s="15">
        <f t="shared" si="26"/>
        <v>1684</v>
      </c>
      <c r="B1694" s="146" t="s">
        <v>2704</v>
      </c>
      <c r="C1694" s="64" t="s">
        <v>2698</v>
      </c>
      <c r="D1694" s="19"/>
      <c r="E1694" s="19"/>
      <c r="F1694" s="19"/>
      <c r="G1694" s="64"/>
      <c r="H1694" s="141"/>
      <c r="I1694" s="158" t="s">
        <v>18</v>
      </c>
      <c r="J1694" s="158">
        <v>1</v>
      </c>
      <c r="K1694" s="142" t="s">
        <v>730</v>
      </c>
      <c r="L1694" s="43" t="s">
        <v>2982</v>
      </c>
      <c r="M1694" s="276" t="s">
        <v>3253</v>
      </c>
      <c r="N1694" s="43" t="s">
        <v>2983</v>
      </c>
      <c r="O1694" s="66"/>
      <c r="P1694" s="43"/>
      <c r="Q1694" s="43"/>
      <c r="R1694" s="193"/>
    </row>
    <row r="1695" spans="1:18" ht="35.25" customHeight="1">
      <c r="A1695" s="15">
        <f t="shared" si="26"/>
        <v>1685</v>
      </c>
      <c r="B1695" s="146" t="s">
        <v>2705</v>
      </c>
      <c r="C1695" s="64" t="s">
        <v>2698</v>
      </c>
      <c r="D1695" s="19"/>
      <c r="E1695" s="19"/>
      <c r="F1695" s="19"/>
      <c r="G1695" s="64"/>
      <c r="H1695" s="141"/>
      <c r="I1695" s="158" t="s">
        <v>18</v>
      </c>
      <c r="J1695" s="158">
        <v>1</v>
      </c>
      <c r="K1695" s="142" t="s">
        <v>730</v>
      </c>
      <c r="L1695" s="43" t="s">
        <v>2982</v>
      </c>
      <c r="M1695" s="276" t="s">
        <v>3253</v>
      </c>
      <c r="N1695" s="43" t="s">
        <v>2983</v>
      </c>
      <c r="O1695" s="66"/>
      <c r="P1695" s="43"/>
      <c r="Q1695" s="43"/>
      <c r="R1695" s="193"/>
    </row>
    <row r="1696" spans="1:18" ht="35.25" customHeight="1">
      <c r="A1696" s="15">
        <f t="shared" si="26"/>
        <v>1686</v>
      </c>
      <c r="B1696" s="146" t="s">
        <v>2706</v>
      </c>
      <c r="C1696" s="64" t="s">
        <v>2698</v>
      </c>
      <c r="D1696" s="19"/>
      <c r="E1696" s="19"/>
      <c r="F1696" s="19"/>
      <c r="G1696" s="64"/>
      <c r="H1696" s="141"/>
      <c r="I1696" s="158" t="s">
        <v>18</v>
      </c>
      <c r="J1696" s="158">
        <v>1</v>
      </c>
      <c r="K1696" s="142" t="s">
        <v>730</v>
      </c>
      <c r="L1696" s="43" t="s">
        <v>2982</v>
      </c>
      <c r="M1696" s="276" t="s">
        <v>3253</v>
      </c>
      <c r="N1696" s="43" t="s">
        <v>2983</v>
      </c>
      <c r="O1696" s="66"/>
      <c r="P1696" s="43"/>
      <c r="Q1696" s="43"/>
      <c r="R1696" s="193"/>
    </row>
    <row r="1697" spans="1:18" ht="35.25" customHeight="1">
      <c r="A1697" s="15">
        <f t="shared" si="26"/>
        <v>1687</v>
      </c>
      <c r="B1697" s="146" t="s">
        <v>2707</v>
      </c>
      <c r="C1697" s="64" t="s">
        <v>2698</v>
      </c>
      <c r="D1697" s="19"/>
      <c r="E1697" s="19"/>
      <c r="F1697" s="19"/>
      <c r="G1697" s="64"/>
      <c r="H1697" s="141"/>
      <c r="I1697" s="158" t="s">
        <v>18</v>
      </c>
      <c r="J1697" s="158">
        <v>1</v>
      </c>
      <c r="K1697" s="142" t="s">
        <v>730</v>
      </c>
      <c r="L1697" s="43" t="s">
        <v>2982</v>
      </c>
      <c r="M1697" s="276" t="s">
        <v>3253</v>
      </c>
      <c r="N1697" s="43" t="s">
        <v>2983</v>
      </c>
      <c r="O1697" s="66"/>
      <c r="P1697" s="43"/>
      <c r="Q1697" s="43"/>
      <c r="R1697" s="193"/>
    </row>
    <row r="1698" spans="1:18" ht="35.25" customHeight="1">
      <c r="A1698" s="15">
        <f t="shared" si="26"/>
        <v>1688</v>
      </c>
      <c r="B1698" s="146" t="s">
        <v>2708</v>
      </c>
      <c r="C1698" s="64" t="s">
        <v>2698</v>
      </c>
      <c r="D1698" s="19"/>
      <c r="E1698" s="19"/>
      <c r="F1698" s="19"/>
      <c r="G1698" s="64"/>
      <c r="H1698" s="141"/>
      <c r="I1698" s="158" t="s">
        <v>18</v>
      </c>
      <c r="J1698" s="158">
        <v>1</v>
      </c>
      <c r="K1698" s="142" t="s">
        <v>730</v>
      </c>
      <c r="L1698" s="43" t="s">
        <v>2982</v>
      </c>
      <c r="M1698" s="276" t="s">
        <v>3253</v>
      </c>
      <c r="N1698" s="43" t="s">
        <v>2983</v>
      </c>
      <c r="O1698" s="66"/>
      <c r="P1698" s="43"/>
      <c r="Q1698" s="43"/>
      <c r="R1698" s="193"/>
    </row>
    <row r="1699" spans="1:18" ht="35.25" customHeight="1">
      <c r="A1699" s="15">
        <f t="shared" si="26"/>
        <v>1689</v>
      </c>
      <c r="B1699" s="146" t="s">
        <v>2709</v>
      </c>
      <c r="C1699" s="64" t="s">
        <v>2698</v>
      </c>
      <c r="D1699" s="19"/>
      <c r="E1699" s="19"/>
      <c r="F1699" s="19"/>
      <c r="G1699" s="64"/>
      <c r="H1699" s="141"/>
      <c r="I1699" s="158" t="s">
        <v>18</v>
      </c>
      <c r="J1699" s="158">
        <v>1</v>
      </c>
      <c r="K1699" s="142" t="s">
        <v>730</v>
      </c>
      <c r="L1699" s="43" t="s">
        <v>2982</v>
      </c>
      <c r="M1699" s="276" t="s">
        <v>3253</v>
      </c>
      <c r="N1699" s="43" t="s">
        <v>2983</v>
      </c>
      <c r="O1699" s="66"/>
      <c r="P1699" s="43"/>
      <c r="Q1699" s="43"/>
      <c r="R1699" s="193"/>
    </row>
    <row r="1700" spans="1:18" ht="35.25" customHeight="1">
      <c r="A1700" s="15">
        <f t="shared" si="26"/>
        <v>1690</v>
      </c>
      <c r="B1700" s="146" t="s">
        <v>2710</v>
      </c>
      <c r="C1700" s="64" t="s">
        <v>2698</v>
      </c>
      <c r="D1700" s="19"/>
      <c r="E1700" s="19"/>
      <c r="F1700" s="19"/>
      <c r="G1700" s="64"/>
      <c r="H1700" s="141"/>
      <c r="I1700" s="158" t="s">
        <v>18</v>
      </c>
      <c r="J1700" s="158">
        <v>1</v>
      </c>
      <c r="K1700" s="142" t="s">
        <v>730</v>
      </c>
      <c r="L1700" s="43" t="s">
        <v>2982</v>
      </c>
      <c r="M1700" s="276" t="s">
        <v>3253</v>
      </c>
      <c r="N1700" s="43" t="s">
        <v>2983</v>
      </c>
      <c r="O1700" s="66"/>
      <c r="P1700" s="43"/>
      <c r="Q1700" s="43"/>
      <c r="R1700" s="193"/>
    </row>
    <row r="1701" spans="1:18" ht="35.25" customHeight="1">
      <c r="A1701" s="15">
        <f t="shared" si="26"/>
        <v>1691</v>
      </c>
      <c r="B1701" s="146" t="s">
        <v>2711</v>
      </c>
      <c r="C1701" s="64" t="s">
        <v>2698</v>
      </c>
      <c r="D1701" s="19"/>
      <c r="E1701" s="19"/>
      <c r="F1701" s="19"/>
      <c r="G1701" s="64"/>
      <c r="H1701" s="141"/>
      <c r="I1701" s="158" t="s">
        <v>18</v>
      </c>
      <c r="J1701" s="158">
        <v>1</v>
      </c>
      <c r="K1701" s="142" t="s">
        <v>730</v>
      </c>
      <c r="L1701" s="43" t="s">
        <v>2982</v>
      </c>
      <c r="M1701" s="276" t="s">
        <v>3253</v>
      </c>
      <c r="N1701" s="43" t="s">
        <v>2983</v>
      </c>
      <c r="O1701" s="66"/>
      <c r="P1701" s="43"/>
      <c r="Q1701" s="43"/>
      <c r="R1701" s="193"/>
    </row>
    <row r="1702" spans="1:18" ht="35.25" customHeight="1">
      <c r="A1702" s="15">
        <f t="shared" si="26"/>
        <v>1692</v>
      </c>
      <c r="B1702" s="146" t="s">
        <v>2712</v>
      </c>
      <c r="C1702" s="64" t="s">
        <v>2698</v>
      </c>
      <c r="D1702" s="19"/>
      <c r="E1702" s="19"/>
      <c r="F1702" s="19"/>
      <c r="G1702" s="64"/>
      <c r="H1702" s="141"/>
      <c r="I1702" s="158" t="s">
        <v>18</v>
      </c>
      <c r="J1702" s="158">
        <v>1</v>
      </c>
      <c r="K1702" s="142" t="s">
        <v>730</v>
      </c>
      <c r="L1702" s="43" t="s">
        <v>2982</v>
      </c>
      <c r="M1702" s="276" t="s">
        <v>3253</v>
      </c>
      <c r="N1702" s="43" t="s">
        <v>2983</v>
      </c>
      <c r="O1702" s="66"/>
      <c r="P1702" s="43"/>
      <c r="Q1702" s="43"/>
      <c r="R1702" s="193"/>
    </row>
    <row r="1703" spans="1:18" ht="35.25" customHeight="1">
      <c r="A1703" s="15">
        <f t="shared" si="26"/>
        <v>1693</v>
      </c>
      <c r="B1703" s="146" t="s">
        <v>2713</v>
      </c>
      <c r="C1703" s="64" t="s">
        <v>2698</v>
      </c>
      <c r="D1703" s="19"/>
      <c r="E1703" s="19"/>
      <c r="F1703" s="19"/>
      <c r="G1703" s="64"/>
      <c r="H1703" s="141"/>
      <c r="I1703" s="158" t="s">
        <v>18</v>
      </c>
      <c r="J1703" s="158">
        <v>1</v>
      </c>
      <c r="K1703" s="142" t="s">
        <v>730</v>
      </c>
      <c r="L1703" s="43" t="s">
        <v>2982</v>
      </c>
      <c r="M1703" s="276" t="s">
        <v>3253</v>
      </c>
      <c r="N1703" s="43" t="s">
        <v>2983</v>
      </c>
      <c r="O1703" s="66"/>
      <c r="P1703" s="43"/>
      <c r="Q1703" s="43"/>
      <c r="R1703" s="193"/>
    </row>
    <row r="1704" spans="1:18" ht="35.25" customHeight="1">
      <c r="A1704" s="15">
        <f t="shared" si="26"/>
        <v>1694</v>
      </c>
      <c r="B1704" s="146" t="s">
        <v>2714</v>
      </c>
      <c r="C1704" s="64" t="s">
        <v>2698</v>
      </c>
      <c r="D1704" s="19"/>
      <c r="E1704" s="19"/>
      <c r="F1704" s="19"/>
      <c r="G1704" s="64"/>
      <c r="H1704" s="141"/>
      <c r="I1704" s="158" t="s">
        <v>18</v>
      </c>
      <c r="J1704" s="158">
        <v>1</v>
      </c>
      <c r="K1704" s="142" t="s">
        <v>730</v>
      </c>
      <c r="L1704" s="43" t="s">
        <v>2982</v>
      </c>
      <c r="M1704" s="276" t="s">
        <v>3253</v>
      </c>
      <c r="N1704" s="43" t="s">
        <v>2983</v>
      </c>
      <c r="O1704" s="66"/>
      <c r="P1704" s="43"/>
      <c r="Q1704" s="43"/>
      <c r="R1704" s="193"/>
    </row>
    <row r="1705" spans="1:18" ht="35.25" customHeight="1">
      <c r="A1705" s="15">
        <f t="shared" si="26"/>
        <v>1695</v>
      </c>
      <c r="B1705" s="146" t="s">
        <v>2715</v>
      </c>
      <c r="C1705" s="64" t="s">
        <v>2698</v>
      </c>
      <c r="D1705" s="19"/>
      <c r="E1705" s="19"/>
      <c r="F1705" s="19"/>
      <c r="G1705" s="64"/>
      <c r="H1705" s="141"/>
      <c r="I1705" s="158" t="s">
        <v>18</v>
      </c>
      <c r="J1705" s="158">
        <v>1</v>
      </c>
      <c r="K1705" s="142" t="s">
        <v>730</v>
      </c>
      <c r="L1705" s="43" t="s">
        <v>2982</v>
      </c>
      <c r="M1705" s="276" t="s">
        <v>3253</v>
      </c>
      <c r="N1705" s="43" t="s">
        <v>2983</v>
      </c>
      <c r="O1705" s="66"/>
      <c r="P1705" s="43"/>
      <c r="Q1705" s="43"/>
      <c r="R1705" s="193"/>
    </row>
    <row r="1706" spans="1:18" ht="35.25" customHeight="1">
      <c r="A1706" s="15">
        <f t="shared" si="26"/>
        <v>1696</v>
      </c>
      <c r="B1706" s="146" t="s">
        <v>2716</v>
      </c>
      <c r="C1706" s="64" t="s">
        <v>2698</v>
      </c>
      <c r="D1706" s="19"/>
      <c r="E1706" s="19"/>
      <c r="F1706" s="19"/>
      <c r="G1706" s="64"/>
      <c r="H1706" s="141"/>
      <c r="I1706" s="158" t="s">
        <v>18</v>
      </c>
      <c r="J1706" s="158">
        <v>1</v>
      </c>
      <c r="K1706" s="142" t="s">
        <v>730</v>
      </c>
      <c r="L1706" s="43" t="s">
        <v>2982</v>
      </c>
      <c r="M1706" s="276" t="s">
        <v>3253</v>
      </c>
      <c r="N1706" s="43" t="s">
        <v>2983</v>
      </c>
      <c r="O1706" s="66"/>
      <c r="P1706" s="43"/>
      <c r="Q1706" s="43"/>
      <c r="R1706" s="193"/>
    </row>
    <row r="1707" spans="1:18" ht="35.25" customHeight="1">
      <c r="A1707" s="15">
        <f t="shared" si="26"/>
        <v>1697</v>
      </c>
      <c r="B1707" s="146" t="s">
        <v>2717</v>
      </c>
      <c r="C1707" s="64" t="s">
        <v>2698</v>
      </c>
      <c r="D1707" s="19"/>
      <c r="E1707" s="19"/>
      <c r="F1707" s="19"/>
      <c r="G1707" s="64"/>
      <c r="H1707" s="141"/>
      <c r="I1707" s="158" t="s">
        <v>18</v>
      </c>
      <c r="J1707" s="158">
        <v>1</v>
      </c>
      <c r="K1707" s="142" t="s">
        <v>730</v>
      </c>
      <c r="L1707" s="43" t="s">
        <v>2982</v>
      </c>
      <c r="M1707" s="276" t="s">
        <v>3253</v>
      </c>
      <c r="N1707" s="43" t="s">
        <v>2983</v>
      </c>
      <c r="O1707" s="66"/>
      <c r="P1707" s="43"/>
      <c r="Q1707" s="43"/>
      <c r="R1707" s="193"/>
    </row>
    <row r="1708" spans="1:18" ht="35.25" customHeight="1">
      <c r="A1708" s="15">
        <f t="shared" si="26"/>
        <v>1698</v>
      </c>
      <c r="B1708" s="146" t="s">
        <v>2718</v>
      </c>
      <c r="C1708" s="64" t="s">
        <v>2719</v>
      </c>
      <c r="D1708" s="19"/>
      <c r="E1708" s="19"/>
      <c r="F1708" s="19"/>
      <c r="G1708" s="64"/>
      <c r="H1708" s="141"/>
      <c r="I1708" s="158" t="s">
        <v>18</v>
      </c>
      <c r="J1708" s="158">
        <v>1</v>
      </c>
      <c r="K1708" s="142" t="s">
        <v>730</v>
      </c>
      <c r="L1708" s="43" t="s">
        <v>2982</v>
      </c>
      <c r="M1708" s="276" t="s">
        <v>3253</v>
      </c>
      <c r="N1708" s="43" t="s">
        <v>2983</v>
      </c>
      <c r="O1708" s="66"/>
      <c r="P1708" s="43"/>
      <c r="Q1708" s="43"/>
      <c r="R1708" s="193"/>
    </row>
    <row r="1709" spans="1:18" ht="35.25" customHeight="1">
      <c r="A1709" s="15">
        <f t="shared" si="26"/>
        <v>1699</v>
      </c>
      <c r="B1709" s="146" t="s">
        <v>2720</v>
      </c>
      <c r="C1709" s="64" t="s">
        <v>2719</v>
      </c>
      <c r="D1709" s="19"/>
      <c r="E1709" s="19"/>
      <c r="F1709" s="19"/>
      <c r="G1709" s="64"/>
      <c r="H1709" s="141"/>
      <c r="I1709" s="158" t="s">
        <v>18</v>
      </c>
      <c r="J1709" s="158">
        <v>1</v>
      </c>
      <c r="K1709" s="142" t="s">
        <v>730</v>
      </c>
      <c r="L1709" s="43" t="s">
        <v>2982</v>
      </c>
      <c r="M1709" s="276" t="s">
        <v>3253</v>
      </c>
      <c r="N1709" s="43" t="s">
        <v>2983</v>
      </c>
      <c r="O1709" s="66"/>
      <c r="P1709" s="43"/>
      <c r="Q1709" s="43"/>
      <c r="R1709" s="193"/>
    </row>
    <row r="1710" spans="1:18" ht="35.25" customHeight="1">
      <c r="A1710" s="15">
        <f t="shared" si="26"/>
        <v>1700</v>
      </c>
      <c r="B1710" s="146" t="s">
        <v>2721</v>
      </c>
      <c r="C1710" s="64" t="s">
        <v>2719</v>
      </c>
      <c r="D1710" s="19"/>
      <c r="E1710" s="19"/>
      <c r="F1710" s="19"/>
      <c r="G1710" s="64"/>
      <c r="H1710" s="141"/>
      <c r="I1710" s="158" t="s">
        <v>18</v>
      </c>
      <c r="J1710" s="158">
        <v>1</v>
      </c>
      <c r="K1710" s="142" t="s">
        <v>730</v>
      </c>
      <c r="L1710" s="43" t="s">
        <v>2982</v>
      </c>
      <c r="M1710" s="276" t="s">
        <v>3253</v>
      </c>
      <c r="N1710" s="43" t="s">
        <v>2983</v>
      </c>
      <c r="O1710" s="66"/>
      <c r="P1710" s="43"/>
      <c r="Q1710" s="43"/>
      <c r="R1710" s="193"/>
    </row>
    <row r="1711" spans="1:18" ht="35.25" customHeight="1">
      <c r="A1711" s="15">
        <f t="shared" si="26"/>
        <v>1701</v>
      </c>
      <c r="B1711" s="146" t="s">
        <v>2722</v>
      </c>
      <c r="C1711" s="64" t="s">
        <v>2719</v>
      </c>
      <c r="D1711" s="19"/>
      <c r="E1711" s="19"/>
      <c r="F1711" s="19"/>
      <c r="G1711" s="64"/>
      <c r="H1711" s="141"/>
      <c r="I1711" s="158" t="s">
        <v>18</v>
      </c>
      <c r="J1711" s="158">
        <v>1</v>
      </c>
      <c r="K1711" s="142" t="s">
        <v>730</v>
      </c>
      <c r="L1711" s="43" t="s">
        <v>2982</v>
      </c>
      <c r="M1711" s="276" t="s">
        <v>3253</v>
      </c>
      <c r="N1711" s="43" t="s">
        <v>2983</v>
      </c>
      <c r="O1711" s="66"/>
      <c r="P1711" s="43"/>
      <c r="Q1711" s="43"/>
      <c r="R1711" s="193"/>
    </row>
    <row r="1712" spans="1:18" ht="35.25" customHeight="1">
      <c r="A1712" s="15">
        <f t="shared" si="26"/>
        <v>1702</v>
      </c>
      <c r="B1712" s="146" t="s">
        <v>2723</v>
      </c>
      <c r="C1712" s="64" t="s">
        <v>2719</v>
      </c>
      <c r="D1712" s="19"/>
      <c r="E1712" s="19"/>
      <c r="F1712" s="19"/>
      <c r="G1712" s="64"/>
      <c r="H1712" s="141"/>
      <c r="I1712" s="158" t="s">
        <v>18</v>
      </c>
      <c r="J1712" s="158">
        <v>1</v>
      </c>
      <c r="K1712" s="142" t="s">
        <v>730</v>
      </c>
      <c r="L1712" s="43" t="s">
        <v>2982</v>
      </c>
      <c r="M1712" s="276" t="s">
        <v>3253</v>
      </c>
      <c r="N1712" s="43" t="s">
        <v>2983</v>
      </c>
      <c r="O1712" s="66"/>
      <c r="P1712" s="43"/>
      <c r="Q1712" s="43"/>
      <c r="R1712" s="193"/>
    </row>
    <row r="1713" spans="1:18" ht="35.25" customHeight="1">
      <c r="A1713" s="15">
        <f t="shared" si="26"/>
        <v>1703</v>
      </c>
      <c r="B1713" s="146" t="s">
        <v>2724</v>
      </c>
      <c r="C1713" s="64" t="s">
        <v>2719</v>
      </c>
      <c r="D1713" s="19"/>
      <c r="E1713" s="19"/>
      <c r="F1713" s="19"/>
      <c r="G1713" s="64"/>
      <c r="H1713" s="141"/>
      <c r="I1713" s="158" t="s">
        <v>18</v>
      </c>
      <c r="J1713" s="158">
        <v>1</v>
      </c>
      <c r="K1713" s="142" t="s">
        <v>730</v>
      </c>
      <c r="L1713" s="43" t="s">
        <v>2982</v>
      </c>
      <c r="M1713" s="276" t="s">
        <v>3253</v>
      </c>
      <c r="N1713" s="43" t="s">
        <v>2983</v>
      </c>
      <c r="O1713" s="66"/>
      <c r="P1713" s="43"/>
      <c r="Q1713" s="43"/>
      <c r="R1713" s="193"/>
    </row>
    <row r="1714" spans="1:18" ht="35.25" customHeight="1">
      <c r="A1714" s="15">
        <f t="shared" si="26"/>
        <v>1704</v>
      </c>
      <c r="B1714" s="146" t="s">
        <v>2725</v>
      </c>
      <c r="C1714" s="64" t="s">
        <v>2719</v>
      </c>
      <c r="D1714" s="19"/>
      <c r="E1714" s="19"/>
      <c r="F1714" s="19"/>
      <c r="G1714" s="64"/>
      <c r="H1714" s="141"/>
      <c r="I1714" s="158" t="s">
        <v>18</v>
      </c>
      <c r="J1714" s="158">
        <v>1</v>
      </c>
      <c r="K1714" s="142" t="s">
        <v>730</v>
      </c>
      <c r="L1714" s="43" t="s">
        <v>2982</v>
      </c>
      <c r="M1714" s="276" t="s">
        <v>3253</v>
      </c>
      <c r="N1714" s="43" t="s">
        <v>2983</v>
      </c>
      <c r="O1714" s="66"/>
      <c r="P1714" s="43"/>
      <c r="Q1714" s="43"/>
      <c r="R1714" s="193"/>
    </row>
    <row r="1715" spans="1:18" ht="35.25" customHeight="1">
      <c r="A1715" s="15">
        <f t="shared" si="26"/>
        <v>1705</v>
      </c>
      <c r="B1715" s="146" t="s">
        <v>2726</v>
      </c>
      <c r="C1715" s="64" t="s">
        <v>2719</v>
      </c>
      <c r="D1715" s="19"/>
      <c r="E1715" s="19"/>
      <c r="F1715" s="19"/>
      <c r="G1715" s="64"/>
      <c r="H1715" s="141"/>
      <c r="I1715" s="158" t="s">
        <v>18</v>
      </c>
      <c r="J1715" s="158">
        <v>1</v>
      </c>
      <c r="K1715" s="142" t="s">
        <v>730</v>
      </c>
      <c r="L1715" s="43" t="s">
        <v>2982</v>
      </c>
      <c r="M1715" s="276" t="s">
        <v>3253</v>
      </c>
      <c r="N1715" s="43" t="s">
        <v>2983</v>
      </c>
      <c r="O1715" s="66"/>
      <c r="P1715" s="43"/>
      <c r="Q1715" s="43"/>
      <c r="R1715" s="193"/>
    </row>
    <row r="1716" spans="1:18" ht="35.25" customHeight="1">
      <c r="A1716" s="15">
        <f t="shared" si="26"/>
        <v>1706</v>
      </c>
      <c r="B1716" s="146" t="s">
        <v>2727</v>
      </c>
      <c r="C1716" s="64" t="s">
        <v>2719</v>
      </c>
      <c r="D1716" s="19"/>
      <c r="E1716" s="19"/>
      <c r="F1716" s="19"/>
      <c r="G1716" s="64"/>
      <c r="H1716" s="141"/>
      <c r="I1716" s="158" t="s">
        <v>18</v>
      </c>
      <c r="J1716" s="158">
        <v>1</v>
      </c>
      <c r="K1716" s="142" t="s">
        <v>730</v>
      </c>
      <c r="L1716" s="43" t="s">
        <v>2982</v>
      </c>
      <c r="M1716" s="276" t="s">
        <v>3253</v>
      </c>
      <c r="N1716" s="43" t="s">
        <v>2983</v>
      </c>
      <c r="O1716" s="66"/>
      <c r="P1716" s="43"/>
      <c r="Q1716" s="43"/>
      <c r="R1716" s="193"/>
    </row>
    <row r="1717" spans="1:18" ht="35.25" customHeight="1">
      <c r="A1717" s="15">
        <f t="shared" si="26"/>
        <v>1707</v>
      </c>
      <c r="B1717" s="146" t="s">
        <v>2728</v>
      </c>
      <c r="C1717" s="64" t="s">
        <v>2719</v>
      </c>
      <c r="D1717" s="19"/>
      <c r="E1717" s="19"/>
      <c r="F1717" s="19"/>
      <c r="G1717" s="64"/>
      <c r="H1717" s="141"/>
      <c r="I1717" s="158" t="s">
        <v>18</v>
      </c>
      <c r="J1717" s="158">
        <v>1</v>
      </c>
      <c r="K1717" s="142" t="s">
        <v>730</v>
      </c>
      <c r="L1717" s="43" t="s">
        <v>2982</v>
      </c>
      <c r="M1717" s="276" t="s">
        <v>3253</v>
      </c>
      <c r="N1717" s="43" t="s">
        <v>2983</v>
      </c>
      <c r="O1717" s="66"/>
      <c r="P1717" s="43"/>
      <c r="Q1717" s="43"/>
      <c r="R1717" s="193"/>
    </row>
    <row r="1718" spans="1:18" ht="35.25" customHeight="1">
      <c r="A1718" s="15">
        <f t="shared" si="26"/>
        <v>1708</v>
      </c>
      <c r="B1718" s="146" t="s">
        <v>2729</v>
      </c>
      <c r="C1718" s="64" t="s">
        <v>2730</v>
      </c>
      <c r="D1718" s="19"/>
      <c r="E1718" s="19"/>
      <c r="F1718" s="19"/>
      <c r="G1718" s="64"/>
      <c r="H1718" s="141"/>
      <c r="I1718" s="158" t="s">
        <v>18</v>
      </c>
      <c r="J1718" s="158">
        <v>1</v>
      </c>
      <c r="K1718" s="142" t="s">
        <v>730</v>
      </c>
      <c r="L1718" s="43" t="s">
        <v>2982</v>
      </c>
      <c r="M1718" s="276" t="s">
        <v>3253</v>
      </c>
      <c r="N1718" s="43" t="s">
        <v>2983</v>
      </c>
      <c r="O1718" s="66"/>
      <c r="P1718" s="43"/>
      <c r="Q1718" s="43"/>
      <c r="R1718" s="193"/>
    </row>
    <row r="1719" spans="1:18" ht="35.25" customHeight="1">
      <c r="A1719" s="15">
        <f t="shared" si="26"/>
        <v>1709</v>
      </c>
      <c r="B1719" s="146" t="s">
        <v>2731</v>
      </c>
      <c r="C1719" s="64" t="s">
        <v>2732</v>
      </c>
      <c r="D1719" s="19"/>
      <c r="E1719" s="19"/>
      <c r="F1719" s="19"/>
      <c r="G1719" s="64"/>
      <c r="H1719" s="141"/>
      <c r="I1719" s="158" t="s">
        <v>18</v>
      </c>
      <c r="J1719" s="158">
        <v>1</v>
      </c>
      <c r="K1719" s="142" t="s">
        <v>730</v>
      </c>
      <c r="L1719" s="43" t="s">
        <v>2982</v>
      </c>
      <c r="M1719" s="276" t="s">
        <v>3253</v>
      </c>
      <c r="N1719" s="43" t="s">
        <v>2983</v>
      </c>
      <c r="O1719" s="66"/>
      <c r="P1719" s="43"/>
      <c r="Q1719" s="43"/>
      <c r="R1719" s="193"/>
    </row>
    <row r="1720" spans="1:18" ht="35.25" customHeight="1">
      <c r="A1720" s="15">
        <f t="shared" si="26"/>
        <v>1710</v>
      </c>
      <c r="B1720" s="146" t="s">
        <v>2733</v>
      </c>
      <c r="C1720" s="64" t="s">
        <v>2734</v>
      </c>
      <c r="D1720" s="19"/>
      <c r="E1720" s="19"/>
      <c r="F1720" s="19"/>
      <c r="G1720" s="64"/>
      <c r="H1720" s="141"/>
      <c r="I1720" s="158" t="s">
        <v>18</v>
      </c>
      <c r="J1720" s="158">
        <v>1</v>
      </c>
      <c r="K1720" s="142" t="s">
        <v>730</v>
      </c>
      <c r="L1720" s="43" t="s">
        <v>2982</v>
      </c>
      <c r="M1720" s="276" t="s">
        <v>3253</v>
      </c>
      <c r="N1720" s="43" t="s">
        <v>2983</v>
      </c>
      <c r="O1720" s="66"/>
      <c r="P1720" s="43"/>
      <c r="Q1720" s="43"/>
      <c r="R1720" s="193"/>
    </row>
    <row r="1721" spans="1:18" ht="35.25" customHeight="1">
      <c r="A1721" s="15">
        <f t="shared" si="26"/>
        <v>1711</v>
      </c>
      <c r="B1721" s="146" t="s">
        <v>2735</v>
      </c>
      <c r="C1721" s="64" t="s">
        <v>2734</v>
      </c>
      <c r="D1721" s="19"/>
      <c r="E1721" s="19"/>
      <c r="F1721" s="19"/>
      <c r="G1721" s="64"/>
      <c r="H1721" s="141"/>
      <c r="I1721" s="158" t="s">
        <v>18</v>
      </c>
      <c r="J1721" s="158">
        <v>1</v>
      </c>
      <c r="K1721" s="142" t="s">
        <v>730</v>
      </c>
      <c r="L1721" s="43" t="s">
        <v>2982</v>
      </c>
      <c r="M1721" s="276" t="s">
        <v>3253</v>
      </c>
      <c r="N1721" s="43" t="s">
        <v>2983</v>
      </c>
      <c r="O1721" s="66"/>
      <c r="P1721" s="43"/>
      <c r="Q1721" s="43"/>
      <c r="R1721" s="193"/>
    </row>
    <row r="1722" spans="1:18" ht="35.25" customHeight="1">
      <c r="A1722" s="15">
        <f t="shared" si="26"/>
        <v>1712</v>
      </c>
      <c r="B1722" s="146" t="s">
        <v>2736</v>
      </c>
      <c r="C1722" s="64" t="s">
        <v>2734</v>
      </c>
      <c r="D1722" s="19"/>
      <c r="E1722" s="19"/>
      <c r="F1722" s="19"/>
      <c r="G1722" s="64"/>
      <c r="H1722" s="141"/>
      <c r="I1722" s="158" t="s">
        <v>18</v>
      </c>
      <c r="J1722" s="158">
        <v>1</v>
      </c>
      <c r="K1722" s="142" t="s">
        <v>730</v>
      </c>
      <c r="L1722" s="43" t="s">
        <v>2982</v>
      </c>
      <c r="M1722" s="276" t="s">
        <v>3253</v>
      </c>
      <c r="N1722" s="43" t="s">
        <v>2983</v>
      </c>
      <c r="O1722" s="66"/>
      <c r="P1722" s="43"/>
      <c r="Q1722" s="43"/>
      <c r="R1722" s="193"/>
    </row>
    <row r="1723" spans="1:18" ht="35.25" customHeight="1">
      <c r="A1723" s="15">
        <f t="shared" si="26"/>
        <v>1713</v>
      </c>
      <c r="B1723" s="146" t="s">
        <v>2737</v>
      </c>
      <c r="C1723" s="64" t="s">
        <v>2734</v>
      </c>
      <c r="D1723" s="19"/>
      <c r="E1723" s="19"/>
      <c r="F1723" s="19"/>
      <c r="G1723" s="64"/>
      <c r="H1723" s="141"/>
      <c r="I1723" s="158" t="s">
        <v>18</v>
      </c>
      <c r="J1723" s="158">
        <v>1</v>
      </c>
      <c r="K1723" s="142" t="s">
        <v>730</v>
      </c>
      <c r="L1723" s="43" t="s">
        <v>2982</v>
      </c>
      <c r="M1723" s="276" t="s">
        <v>3253</v>
      </c>
      <c r="N1723" s="43" t="s">
        <v>2983</v>
      </c>
      <c r="O1723" s="66"/>
      <c r="P1723" s="43"/>
      <c r="Q1723" s="43"/>
      <c r="R1723" s="193"/>
    </row>
    <row r="1724" spans="1:18" ht="35.25" customHeight="1">
      <c r="A1724" s="15">
        <f t="shared" si="26"/>
        <v>1714</v>
      </c>
      <c r="B1724" s="146" t="s">
        <v>2738</v>
      </c>
      <c r="C1724" s="64" t="s">
        <v>2739</v>
      </c>
      <c r="D1724" s="19"/>
      <c r="E1724" s="19"/>
      <c r="F1724" s="19"/>
      <c r="G1724" s="64"/>
      <c r="H1724" s="141"/>
      <c r="I1724" s="158" t="s">
        <v>18</v>
      </c>
      <c r="J1724" s="158">
        <v>3</v>
      </c>
      <c r="K1724" s="142" t="s">
        <v>730</v>
      </c>
      <c r="L1724" s="43" t="s">
        <v>2982</v>
      </c>
      <c r="M1724" s="276" t="s">
        <v>3253</v>
      </c>
      <c r="N1724" s="43" t="s">
        <v>2983</v>
      </c>
      <c r="O1724" s="66"/>
      <c r="P1724" s="43"/>
      <c r="Q1724" s="43"/>
      <c r="R1724" s="193"/>
    </row>
    <row r="1725" spans="1:18" ht="35.25" customHeight="1">
      <c r="A1725" s="15">
        <f t="shared" si="26"/>
        <v>1715</v>
      </c>
      <c r="B1725" s="146" t="s">
        <v>2740</v>
      </c>
      <c r="C1725" s="64" t="s">
        <v>2741</v>
      </c>
      <c r="D1725" s="19"/>
      <c r="E1725" s="19"/>
      <c r="F1725" s="19"/>
      <c r="G1725" s="64"/>
      <c r="H1725" s="141"/>
      <c r="I1725" s="158" t="s">
        <v>18</v>
      </c>
      <c r="J1725" s="158">
        <v>1</v>
      </c>
      <c r="K1725" s="142" t="s">
        <v>730</v>
      </c>
      <c r="L1725" s="43" t="s">
        <v>2982</v>
      </c>
      <c r="M1725" s="276" t="s">
        <v>3253</v>
      </c>
      <c r="N1725" s="43" t="s">
        <v>2983</v>
      </c>
      <c r="O1725" s="66"/>
      <c r="P1725" s="43"/>
      <c r="Q1725" s="43"/>
      <c r="R1725" s="193"/>
    </row>
    <row r="1726" spans="1:18" ht="35.25" customHeight="1">
      <c r="A1726" s="15">
        <f t="shared" si="26"/>
        <v>1716</v>
      </c>
      <c r="B1726" s="146" t="s">
        <v>2742</v>
      </c>
      <c r="C1726" s="64" t="s">
        <v>2743</v>
      </c>
      <c r="D1726" s="19"/>
      <c r="E1726" s="19"/>
      <c r="F1726" s="19"/>
      <c r="G1726" s="64"/>
      <c r="H1726" s="141"/>
      <c r="I1726" s="158" t="s">
        <v>18</v>
      </c>
      <c r="J1726" s="158">
        <v>2</v>
      </c>
      <c r="K1726" s="142" t="s">
        <v>730</v>
      </c>
      <c r="L1726" s="43" t="s">
        <v>2982</v>
      </c>
      <c r="M1726" s="276" t="s">
        <v>3253</v>
      </c>
      <c r="N1726" s="43" t="s">
        <v>2983</v>
      </c>
      <c r="O1726" s="66"/>
      <c r="P1726" s="43"/>
      <c r="Q1726" s="43"/>
      <c r="R1726" s="193"/>
    </row>
    <row r="1727" spans="1:18" ht="35.25" customHeight="1">
      <c r="A1727" s="15">
        <f t="shared" si="26"/>
        <v>1717</v>
      </c>
      <c r="B1727" s="146" t="s">
        <v>2744</v>
      </c>
      <c r="C1727" s="64" t="s">
        <v>562</v>
      </c>
      <c r="D1727" s="19"/>
      <c r="E1727" s="19"/>
      <c r="F1727" s="19"/>
      <c r="G1727" s="64"/>
      <c r="H1727" s="141"/>
      <c r="I1727" s="158" t="s">
        <v>18</v>
      </c>
      <c r="J1727" s="158">
        <v>1</v>
      </c>
      <c r="K1727" s="142" t="s">
        <v>730</v>
      </c>
      <c r="L1727" s="43" t="s">
        <v>2982</v>
      </c>
      <c r="M1727" s="276" t="s">
        <v>3253</v>
      </c>
      <c r="N1727" s="43" t="s">
        <v>2983</v>
      </c>
      <c r="O1727" s="66"/>
      <c r="P1727" s="43"/>
      <c r="Q1727" s="43"/>
      <c r="R1727" s="169"/>
    </row>
    <row r="1728" spans="1:18" ht="35.25" customHeight="1">
      <c r="A1728" s="15">
        <f t="shared" si="26"/>
        <v>1718</v>
      </c>
      <c r="B1728" s="146" t="s">
        <v>2745</v>
      </c>
      <c r="C1728" s="64" t="s">
        <v>562</v>
      </c>
      <c r="D1728" s="19"/>
      <c r="E1728" s="19"/>
      <c r="F1728" s="19"/>
      <c r="G1728" s="64"/>
      <c r="H1728" s="141"/>
      <c r="I1728" s="158" t="s">
        <v>18</v>
      </c>
      <c r="J1728" s="158">
        <v>1</v>
      </c>
      <c r="K1728" s="142" t="s">
        <v>730</v>
      </c>
      <c r="L1728" s="43" t="s">
        <v>2982</v>
      </c>
      <c r="M1728" s="276" t="s">
        <v>3253</v>
      </c>
      <c r="N1728" s="43" t="s">
        <v>2983</v>
      </c>
      <c r="O1728" s="66"/>
      <c r="P1728" s="43"/>
      <c r="Q1728" s="43"/>
      <c r="R1728" s="169"/>
    </row>
    <row r="1729" spans="1:18" ht="35.25" customHeight="1">
      <c r="A1729" s="15">
        <f t="shared" si="26"/>
        <v>1719</v>
      </c>
      <c r="B1729" s="146" t="s">
        <v>2746</v>
      </c>
      <c r="C1729" s="64" t="s">
        <v>562</v>
      </c>
      <c r="D1729" s="19"/>
      <c r="E1729" s="19"/>
      <c r="F1729" s="19"/>
      <c r="G1729" s="64"/>
      <c r="H1729" s="141"/>
      <c r="I1729" s="158" t="s">
        <v>18</v>
      </c>
      <c r="J1729" s="158">
        <v>1</v>
      </c>
      <c r="K1729" s="142" t="s">
        <v>730</v>
      </c>
      <c r="L1729" s="43" t="s">
        <v>2982</v>
      </c>
      <c r="M1729" s="276" t="s">
        <v>3253</v>
      </c>
      <c r="N1729" s="43" t="s">
        <v>2983</v>
      </c>
      <c r="O1729" s="66"/>
      <c r="P1729" s="43"/>
      <c r="Q1729" s="43"/>
      <c r="R1729" s="169"/>
    </row>
    <row r="1730" spans="1:18" ht="35.25" customHeight="1">
      <c r="A1730" s="15">
        <f t="shared" si="26"/>
        <v>1720</v>
      </c>
      <c r="B1730" s="146" t="s">
        <v>2747</v>
      </c>
      <c r="C1730" s="64" t="s">
        <v>562</v>
      </c>
      <c r="D1730" s="19"/>
      <c r="E1730" s="19"/>
      <c r="F1730" s="19"/>
      <c r="G1730" s="64"/>
      <c r="H1730" s="141"/>
      <c r="I1730" s="158" t="s">
        <v>18</v>
      </c>
      <c r="J1730" s="158">
        <v>1</v>
      </c>
      <c r="K1730" s="142" t="s">
        <v>730</v>
      </c>
      <c r="L1730" s="43" t="s">
        <v>2982</v>
      </c>
      <c r="M1730" s="276" t="s">
        <v>3253</v>
      </c>
      <c r="N1730" s="43" t="s">
        <v>2983</v>
      </c>
      <c r="O1730" s="66"/>
      <c r="P1730" s="43"/>
      <c r="Q1730" s="43"/>
      <c r="R1730" s="169"/>
    </row>
    <row r="1731" spans="1:18" ht="35.25" customHeight="1">
      <c r="A1731" s="15">
        <f t="shared" si="26"/>
        <v>1721</v>
      </c>
      <c r="B1731" s="146" t="s">
        <v>2748</v>
      </c>
      <c r="C1731" s="64" t="s">
        <v>562</v>
      </c>
      <c r="D1731" s="19"/>
      <c r="E1731" s="19"/>
      <c r="F1731" s="19"/>
      <c r="G1731" s="64"/>
      <c r="H1731" s="141"/>
      <c r="I1731" s="158" t="s">
        <v>18</v>
      </c>
      <c r="J1731" s="158">
        <v>1</v>
      </c>
      <c r="K1731" s="142" t="s">
        <v>730</v>
      </c>
      <c r="L1731" s="43" t="s">
        <v>2982</v>
      </c>
      <c r="M1731" s="276" t="s">
        <v>3253</v>
      </c>
      <c r="N1731" s="43" t="s">
        <v>2983</v>
      </c>
      <c r="O1731" s="66"/>
      <c r="P1731" s="43"/>
      <c r="Q1731" s="43"/>
      <c r="R1731" s="169"/>
    </row>
    <row r="1732" spans="1:18" ht="35.25" customHeight="1">
      <c r="A1732" s="15">
        <f t="shared" si="26"/>
        <v>1722</v>
      </c>
      <c r="B1732" s="146" t="s">
        <v>2749</v>
      </c>
      <c r="C1732" s="64" t="s">
        <v>562</v>
      </c>
      <c r="D1732" s="19"/>
      <c r="E1732" s="19"/>
      <c r="F1732" s="19"/>
      <c r="G1732" s="64"/>
      <c r="H1732" s="141"/>
      <c r="I1732" s="158" t="s">
        <v>18</v>
      </c>
      <c r="J1732" s="158">
        <v>1</v>
      </c>
      <c r="K1732" s="142" t="s">
        <v>730</v>
      </c>
      <c r="L1732" s="43" t="s">
        <v>2982</v>
      </c>
      <c r="M1732" s="276" t="s">
        <v>3253</v>
      </c>
      <c r="N1732" s="43" t="s">
        <v>2983</v>
      </c>
      <c r="O1732" s="66"/>
      <c r="P1732" s="43"/>
      <c r="Q1732" s="43"/>
      <c r="R1732" s="169"/>
    </row>
    <row r="1733" spans="1:18" ht="35.25" customHeight="1">
      <c r="A1733" s="15">
        <f t="shared" si="26"/>
        <v>1723</v>
      </c>
      <c r="B1733" s="146" t="s">
        <v>2750</v>
      </c>
      <c r="C1733" s="64" t="s">
        <v>562</v>
      </c>
      <c r="D1733" s="19"/>
      <c r="E1733" s="19"/>
      <c r="F1733" s="19"/>
      <c r="G1733" s="64"/>
      <c r="H1733" s="141"/>
      <c r="I1733" s="158" t="s">
        <v>18</v>
      </c>
      <c r="J1733" s="158">
        <v>1</v>
      </c>
      <c r="K1733" s="142" t="s">
        <v>730</v>
      </c>
      <c r="L1733" s="43" t="s">
        <v>2982</v>
      </c>
      <c r="M1733" s="276" t="s">
        <v>3253</v>
      </c>
      <c r="N1733" s="43" t="s">
        <v>2983</v>
      </c>
      <c r="O1733" s="66"/>
      <c r="P1733" s="43"/>
      <c r="Q1733" s="43"/>
      <c r="R1733" s="169"/>
    </row>
    <row r="1734" spans="1:18" ht="35.25" customHeight="1">
      <c r="A1734" s="15">
        <f t="shared" si="26"/>
        <v>1724</v>
      </c>
      <c r="B1734" s="146" t="s">
        <v>2751</v>
      </c>
      <c r="C1734" s="64" t="s">
        <v>562</v>
      </c>
      <c r="D1734" s="19"/>
      <c r="E1734" s="19"/>
      <c r="F1734" s="19"/>
      <c r="G1734" s="64"/>
      <c r="H1734" s="141"/>
      <c r="I1734" s="158" t="s">
        <v>18</v>
      </c>
      <c r="J1734" s="158">
        <v>1</v>
      </c>
      <c r="K1734" s="142" t="s">
        <v>730</v>
      </c>
      <c r="L1734" s="43" t="s">
        <v>2982</v>
      </c>
      <c r="M1734" s="276" t="s">
        <v>3253</v>
      </c>
      <c r="N1734" s="43" t="s">
        <v>2983</v>
      </c>
      <c r="O1734" s="66"/>
      <c r="P1734" s="43"/>
      <c r="Q1734" s="43"/>
      <c r="R1734" s="169"/>
    </row>
    <row r="1735" spans="1:18" ht="35.25" customHeight="1">
      <c r="A1735" s="15">
        <f t="shared" si="26"/>
        <v>1725</v>
      </c>
      <c r="B1735" s="146" t="s">
        <v>2752</v>
      </c>
      <c r="C1735" s="64" t="s">
        <v>562</v>
      </c>
      <c r="D1735" s="19"/>
      <c r="E1735" s="19"/>
      <c r="F1735" s="19"/>
      <c r="G1735" s="64"/>
      <c r="H1735" s="141"/>
      <c r="I1735" s="158" t="s">
        <v>18</v>
      </c>
      <c r="J1735" s="158">
        <v>1</v>
      </c>
      <c r="K1735" s="142" t="s">
        <v>730</v>
      </c>
      <c r="L1735" s="43" t="s">
        <v>2982</v>
      </c>
      <c r="M1735" s="276" t="s">
        <v>3253</v>
      </c>
      <c r="N1735" s="43" t="s">
        <v>2983</v>
      </c>
      <c r="O1735" s="66"/>
      <c r="P1735" s="43"/>
      <c r="Q1735" s="43"/>
      <c r="R1735" s="169"/>
    </row>
    <row r="1736" spans="1:18" ht="35.25" customHeight="1">
      <c r="A1736" s="15">
        <f t="shared" si="26"/>
        <v>1726</v>
      </c>
      <c r="B1736" s="146" t="s">
        <v>2753</v>
      </c>
      <c r="C1736" s="64" t="s">
        <v>562</v>
      </c>
      <c r="D1736" s="19"/>
      <c r="E1736" s="19"/>
      <c r="F1736" s="19"/>
      <c r="G1736" s="64"/>
      <c r="H1736" s="141"/>
      <c r="I1736" s="158" t="s">
        <v>18</v>
      </c>
      <c r="J1736" s="158">
        <v>1</v>
      </c>
      <c r="K1736" s="142" t="s">
        <v>730</v>
      </c>
      <c r="L1736" s="43" t="s">
        <v>2982</v>
      </c>
      <c r="M1736" s="276" t="s">
        <v>3253</v>
      </c>
      <c r="N1736" s="43" t="s">
        <v>2983</v>
      </c>
      <c r="O1736" s="66"/>
      <c r="P1736" s="43"/>
      <c r="Q1736" s="43"/>
      <c r="R1736" s="169"/>
    </row>
    <row r="1737" spans="1:18" ht="35.25" customHeight="1">
      <c r="A1737" s="15">
        <f t="shared" si="26"/>
        <v>1727</v>
      </c>
      <c r="B1737" s="146" t="s">
        <v>2754</v>
      </c>
      <c r="C1737" s="64" t="s">
        <v>562</v>
      </c>
      <c r="D1737" s="19"/>
      <c r="E1737" s="19"/>
      <c r="F1737" s="19"/>
      <c r="G1737" s="64"/>
      <c r="H1737" s="141"/>
      <c r="I1737" s="158" t="s">
        <v>18</v>
      </c>
      <c r="J1737" s="158">
        <v>1</v>
      </c>
      <c r="K1737" s="142" t="s">
        <v>730</v>
      </c>
      <c r="L1737" s="43" t="s">
        <v>2982</v>
      </c>
      <c r="M1737" s="276" t="s">
        <v>3253</v>
      </c>
      <c r="N1737" s="43" t="s">
        <v>2983</v>
      </c>
      <c r="O1737" s="66"/>
      <c r="P1737" s="43"/>
      <c r="Q1737" s="43"/>
      <c r="R1737" s="169"/>
    </row>
    <row r="1738" spans="1:18" ht="35.25" customHeight="1">
      <c r="A1738" s="15">
        <f t="shared" si="26"/>
        <v>1728</v>
      </c>
      <c r="B1738" s="146" t="s">
        <v>2755</v>
      </c>
      <c r="C1738" s="64" t="s">
        <v>562</v>
      </c>
      <c r="D1738" s="19"/>
      <c r="E1738" s="19"/>
      <c r="F1738" s="19"/>
      <c r="G1738" s="64"/>
      <c r="H1738" s="141"/>
      <c r="I1738" s="158" t="s">
        <v>18</v>
      </c>
      <c r="J1738" s="158">
        <v>1</v>
      </c>
      <c r="K1738" s="142" t="s">
        <v>730</v>
      </c>
      <c r="L1738" s="43" t="s">
        <v>2982</v>
      </c>
      <c r="M1738" s="276" t="s">
        <v>3253</v>
      </c>
      <c r="N1738" s="43" t="s">
        <v>2983</v>
      </c>
      <c r="O1738" s="66"/>
      <c r="P1738" s="43"/>
      <c r="Q1738" s="43"/>
      <c r="R1738" s="169"/>
    </row>
    <row r="1739" spans="1:18" ht="35.25" customHeight="1">
      <c r="A1739" s="15">
        <f t="shared" si="26"/>
        <v>1729</v>
      </c>
      <c r="B1739" s="146" t="s">
        <v>2756</v>
      </c>
      <c r="C1739" s="64" t="s">
        <v>562</v>
      </c>
      <c r="D1739" s="19"/>
      <c r="E1739" s="19"/>
      <c r="F1739" s="19"/>
      <c r="G1739" s="64"/>
      <c r="H1739" s="141"/>
      <c r="I1739" s="158" t="s">
        <v>18</v>
      </c>
      <c r="J1739" s="158">
        <v>1</v>
      </c>
      <c r="K1739" s="142" t="s">
        <v>730</v>
      </c>
      <c r="L1739" s="43" t="s">
        <v>2982</v>
      </c>
      <c r="M1739" s="276" t="s">
        <v>3253</v>
      </c>
      <c r="N1739" s="43" t="s">
        <v>2983</v>
      </c>
      <c r="O1739" s="66"/>
      <c r="P1739" s="43"/>
      <c r="Q1739" s="43"/>
      <c r="R1739" s="169"/>
    </row>
    <row r="1740" spans="1:18" ht="35.25" customHeight="1">
      <c r="A1740" s="15">
        <f t="shared" si="26"/>
        <v>1730</v>
      </c>
      <c r="B1740" s="146" t="s">
        <v>2757</v>
      </c>
      <c r="C1740" s="64" t="s">
        <v>562</v>
      </c>
      <c r="D1740" s="19"/>
      <c r="E1740" s="19"/>
      <c r="F1740" s="19"/>
      <c r="G1740" s="64"/>
      <c r="H1740" s="141"/>
      <c r="I1740" s="158" t="s">
        <v>18</v>
      </c>
      <c r="J1740" s="158">
        <v>1</v>
      </c>
      <c r="K1740" s="142" t="s">
        <v>730</v>
      </c>
      <c r="L1740" s="43" t="s">
        <v>2982</v>
      </c>
      <c r="M1740" s="276" t="s">
        <v>3253</v>
      </c>
      <c r="N1740" s="43" t="s">
        <v>2983</v>
      </c>
      <c r="O1740" s="66"/>
      <c r="P1740" s="43"/>
      <c r="Q1740" s="43"/>
      <c r="R1740" s="169"/>
    </row>
    <row r="1741" spans="1:18" ht="35.25" customHeight="1">
      <c r="A1741" s="15">
        <f t="shared" si="26"/>
        <v>1731</v>
      </c>
      <c r="B1741" s="146" t="s">
        <v>2758</v>
      </c>
      <c r="C1741" s="64" t="s">
        <v>562</v>
      </c>
      <c r="D1741" s="19"/>
      <c r="E1741" s="19"/>
      <c r="F1741" s="19"/>
      <c r="G1741" s="64"/>
      <c r="H1741" s="141"/>
      <c r="I1741" s="158" t="s">
        <v>18</v>
      </c>
      <c r="J1741" s="158">
        <v>1</v>
      </c>
      <c r="K1741" s="142" t="s">
        <v>730</v>
      </c>
      <c r="L1741" s="43" t="s">
        <v>2982</v>
      </c>
      <c r="M1741" s="276" t="s">
        <v>3253</v>
      </c>
      <c r="N1741" s="43" t="s">
        <v>2983</v>
      </c>
      <c r="O1741" s="66"/>
      <c r="P1741" s="43"/>
      <c r="Q1741" s="43"/>
      <c r="R1741" s="169"/>
    </row>
    <row r="1742" spans="1:18" ht="35.25" customHeight="1">
      <c r="A1742" s="15">
        <f t="shared" si="26"/>
        <v>1732</v>
      </c>
      <c r="B1742" s="146" t="s">
        <v>2759</v>
      </c>
      <c r="C1742" s="64" t="s">
        <v>562</v>
      </c>
      <c r="D1742" s="19"/>
      <c r="E1742" s="19"/>
      <c r="F1742" s="19"/>
      <c r="G1742" s="64"/>
      <c r="H1742" s="141"/>
      <c r="I1742" s="158" t="s">
        <v>18</v>
      </c>
      <c r="J1742" s="158">
        <v>1</v>
      </c>
      <c r="K1742" s="142" t="s">
        <v>730</v>
      </c>
      <c r="L1742" s="43" t="s">
        <v>2982</v>
      </c>
      <c r="M1742" s="276" t="s">
        <v>3253</v>
      </c>
      <c r="N1742" s="43" t="s">
        <v>2983</v>
      </c>
      <c r="O1742" s="66"/>
      <c r="P1742" s="43"/>
      <c r="Q1742" s="43"/>
      <c r="R1742" s="169"/>
    </row>
    <row r="1743" spans="1:18" ht="35.25" customHeight="1">
      <c r="A1743" s="15">
        <f t="shared" si="26"/>
        <v>1733</v>
      </c>
      <c r="B1743" s="146" t="s">
        <v>2760</v>
      </c>
      <c r="C1743" s="64" t="s">
        <v>562</v>
      </c>
      <c r="D1743" s="19"/>
      <c r="E1743" s="19"/>
      <c r="F1743" s="19"/>
      <c r="G1743" s="64"/>
      <c r="H1743" s="141"/>
      <c r="I1743" s="158" t="s">
        <v>18</v>
      </c>
      <c r="J1743" s="158">
        <v>1</v>
      </c>
      <c r="K1743" s="142" t="s">
        <v>730</v>
      </c>
      <c r="L1743" s="43" t="s">
        <v>2982</v>
      </c>
      <c r="M1743" s="276" t="s">
        <v>3253</v>
      </c>
      <c r="N1743" s="43" t="s">
        <v>2983</v>
      </c>
      <c r="O1743" s="66"/>
      <c r="P1743" s="43"/>
      <c r="Q1743" s="43"/>
      <c r="R1743" s="169"/>
    </row>
    <row r="1744" spans="1:18" ht="35.25" customHeight="1">
      <c r="A1744" s="15">
        <f t="shared" si="26"/>
        <v>1734</v>
      </c>
      <c r="B1744" s="146" t="s">
        <v>2761</v>
      </c>
      <c r="C1744" s="64" t="s">
        <v>562</v>
      </c>
      <c r="D1744" s="19"/>
      <c r="E1744" s="19"/>
      <c r="F1744" s="19"/>
      <c r="G1744" s="64"/>
      <c r="H1744" s="141"/>
      <c r="I1744" s="158" t="s">
        <v>18</v>
      </c>
      <c r="J1744" s="158">
        <v>1</v>
      </c>
      <c r="K1744" s="142" t="s">
        <v>730</v>
      </c>
      <c r="L1744" s="43" t="s">
        <v>2982</v>
      </c>
      <c r="M1744" s="276" t="s">
        <v>3253</v>
      </c>
      <c r="N1744" s="43" t="s">
        <v>2983</v>
      </c>
      <c r="O1744" s="66"/>
      <c r="P1744" s="43"/>
      <c r="Q1744" s="43"/>
      <c r="R1744" s="169"/>
    </row>
    <row r="1745" spans="1:18" ht="35.25" customHeight="1">
      <c r="A1745" s="15">
        <f t="shared" si="26"/>
        <v>1735</v>
      </c>
      <c r="B1745" s="146" t="s">
        <v>2762</v>
      </c>
      <c r="C1745" s="64" t="s">
        <v>562</v>
      </c>
      <c r="D1745" s="19"/>
      <c r="E1745" s="19"/>
      <c r="F1745" s="19"/>
      <c r="G1745" s="64"/>
      <c r="H1745" s="141"/>
      <c r="I1745" s="158" t="s">
        <v>18</v>
      </c>
      <c r="J1745" s="158">
        <v>1</v>
      </c>
      <c r="K1745" s="142" t="s">
        <v>730</v>
      </c>
      <c r="L1745" s="43" t="s">
        <v>2982</v>
      </c>
      <c r="M1745" s="276" t="s">
        <v>3253</v>
      </c>
      <c r="N1745" s="43" t="s">
        <v>2983</v>
      </c>
      <c r="O1745" s="66"/>
      <c r="P1745" s="43"/>
      <c r="Q1745" s="43"/>
      <c r="R1745" s="169"/>
    </row>
    <row r="1746" spans="1:18" ht="35.25" customHeight="1">
      <c r="A1746" s="15">
        <f t="shared" si="26"/>
        <v>1736</v>
      </c>
      <c r="B1746" s="146" t="s">
        <v>2763</v>
      </c>
      <c r="C1746" s="64" t="s">
        <v>562</v>
      </c>
      <c r="D1746" s="19"/>
      <c r="E1746" s="19"/>
      <c r="F1746" s="19"/>
      <c r="G1746" s="64"/>
      <c r="H1746" s="141"/>
      <c r="I1746" s="158" t="s">
        <v>18</v>
      </c>
      <c r="J1746" s="158">
        <v>1</v>
      </c>
      <c r="K1746" s="142" t="s">
        <v>730</v>
      </c>
      <c r="L1746" s="43" t="s">
        <v>2982</v>
      </c>
      <c r="M1746" s="276" t="s">
        <v>3253</v>
      </c>
      <c r="N1746" s="43" t="s">
        <v>2983</v>
      </c>
      <c r="O1746" s="66"/>
      <c r="P1746" s="43"/>
      <c r="Q1746" s="43"/>
      <c r="R1746" s="169"/>
    </row>
    <row r="1747" spans="1:18" ht="35.25" customHeight="1">
      <c r="A1747" s="15">
        <f t="shared" ref="A1747:A1810" si="27">A1746+1</f>
        <v>1737</v>
      </c>
      <c r="B1747" s="146" t="s">
        <v>2764</v>
      </c>
      <c r="C1747" s="64" t="s">
        <v>562</v>
      </c>
      <c r="D1747" s="19"/>
      <c r="E1747" s="19"/>
      <c r="F1747" s="19"/>
      <c r="G1747" s="64"/>
      <c r="H1747" s="141"/>
      <c r="I1747" s="158" t="s">
        <v>18</v>
      </c>
      <c r="J1747" s="158">
        <v>1</v>
      </c>
      <c r="K1747" s="142" t="s">
        <v>730</v>
      </c>
      <c r="L1747" s="43" t="s">
        <v>2982</v>
      </c>
      <c r="M1747" s="276" t="s">
        <v>3253</v>
      </c>
      <c r="N1747" s="43" t="s">
        <v>2983</v>
      </c>
      <c r="O1747" s="66"/>
      <c r="P1747" s="43"/>
      <c r="Q1747" s="43"/>
      <c r="R1747" s="169"/>
    </row>
    <row r="1748" spans="1:18" ht="35.25" customHeight="1">
      <c r="A1748" s="15">
        <f t="shared" si="27"/>
        <v>1738</v>
      </c>
      <c r="B1748" s="146" t="s">
        <v>2765</v>
      </c>
      <c r="C1748" s="64" t="s">
        <v>562</v>
      </c>
      <c r="D1748" s="19"/>
      <c r="E1748" s="19"/>
      <c r="F1748" s="19"/>
      <c r="G1748" s="64"/>
      <c r="H1748" s="141"/>
      <c r="I1748" s="158" t="s">
        <v>18</v>
      </c>
      <c r="J1748" s="158">
        <v>1</v>
      </c>
      <c r="K1748" s="142" t="s">
        <v>730</v>
      </c>
      <c r="L1748" s="43" t="s">
        <v>2982</v>
      </c>
      <c r="M1748" s="276" t="s">
        <v>3253</v>
      </c>
      <c r="N1748" s="43" t="s">
        <v>2983</v>
      </c>
      <c r="O1748" s="66"/>
      <c r="P1748" s="43"/>
      <c r="Q1748" s="43"/>
      <c r="R1748" s="169"/>
    </row>
    <row r="1749" spans="1:18" ht="35.25" customHeight="1">
      <c r="A1749" s="15">
        <f t="shared" si="27"/>
        <v>1739</v>
      </c>
      <c r="B1749" s="146" t="s">
        <v>2766</v>
      </c>
      <c r="C1749" s="64" t="s">
        <v>562</v>
      </c>
      <c r="D1749" s="19"/>
      <c r="E1749" s="19"/>
      <c r="F1749" s="19"/>
      <c r="G1749" s="64"/>
      <c r="H1749" s="141"/>
      <c r="I1749" s="158" t="s">
        <v>18</v>
      </c>
      <c r="J1749" s="158">
        <v>1</v>
      </c>
      <c r="K1749" s="142" t="s">
        <v>730</v>
      </c>
      <c r="L1749" s="43" t="s">
        <v>2982</v>
      </c>
      <c r="M1749" s="276" t="s">
        <v>3253</v>
      </c>
      <c r="N1749" s="43" t="s">
        <v>2983</v>
      </c>
      <c r="O1749" s="66"/>
      <c r="P1749" s="43"/>
      <c r="Q1749" s="43"/>
      <c r="R1749" s="169"/>
    </row>
    <row r="1750" spans="1:18" ht="35.25" customHeight="1">
      <c r="A1750" s="15">
        <f t="shared" si="27"/>
        <v>1740</v>
      </c>
      <c r="B1750" s="146" t="s">
        <v>2767</v>
      </c>
      <c r="C1750" s="64" t="s">
        <v>562</v>
      </c>
      <c r="D1750" s="19"/>
      <c r="E1750" s="19"/>
      <c r="F1750" s="19"/>
      <c r="G1750" s="64"/>
      <c r="H1750" s="141"/>
      <c r="I1750" s="158" t="s">
        <v>18</v>
      </c>
      <c r="J1750" s="158">
        <v>1</v>
      </c>
      <c r="K1750" s="142" t="s">
        <v>730</v>
      </c>
      <c r="L1750" s="43" t="s">
        <v>2982</v>
      </c>
      <c r="M1750" s="276" t="s">
        <v>3253</v>
      </c>
      <c r="N1750" s="43" t="s">
        <v>2983</v>
      </c>
      <c r="O1750" s="66"/>
      <c r="P1750" s="43"/>
      <c r="Q1750" s="43"/>
      <c r="R1750" s="169"/>
    </row>
    <row r="1751" spans="1:18" ht="35.25" customHeight="1">
      <c r="A1751" s="15">
        <f t="shared" si="27"/>
        <v>1741</v>
      </c>
      <c r="B1751" s="146" t="s">
        <v>2768</v>
      </c>
      <c r="C1751" s="64" t="s">
        <v>562</v>
      </c>
      <c r="D1751" s="19"/>
      <c r="E1751" s="19"/>
      <c r="F1751" s="19"/>
      <c r="G1751" s="64"/>
      <c r="H1751" s="141"/>
      <c r="I1751" s="158" t="s">
        <v>18</v>
      </c>
      <c r="J1751" s="158">
        <v>1</v>
      </c>
      <c r="K1751" s="142" t="s">
        <v>730</v>
      </c>
      <c r="L1751" s="43" t="s">
        <v>2982</v>
      </c>
      <c r="M1751" s="276" t="s">
        <v>3253</v>
      </c>
      <c r="N1751" s="43" t="s">
        <v>2983</v>
      </c>
      <c r="O1751" s="66"/>
      <c r="P1751" s="43"/>
      <c r="Q1751" s="43"/>
      <c r="R1751" s="169"/>
    </row>
    <row r="1752" spans="1:18" ht="35.25" customHeight="1">
      <c r="A1752" s="15">
        <f t="shared" si="27"/>
        <v>1742</v>
      </c>
      <c r="B1752" s="146" t="s">
        <v>2769</v>
      </c>
      <c r="C1752" s="64" t="s">
        <v>562</v>
      </c>
      <c r="D1752" s="19"/>
      <c r="E1752" s="19"/>
      <c r="F1752" s="19"/>
      <c r="G1752" s="64"/>
      <c r="H1752" s="141"/>
      <c r="I1752" s="158" t="s">
        <v>18</v>
      </c>
      <c r="J1752" s="158">
        <v>1</v>
      </c>
      <c r="K1752" s="142" t="s">
        <v>730</v>
      </c>
      <c r="L1752" s="43" t="s">
        <v>2982</v>
      </c>
      <c r="M1752" s="276" t="s">
        <v>3253</v>
      </c>
      <c r="N1752" s="43" t="s">
        <v>2983</v>
      </c>
      <c r="O1752" s="66"/>
      <c r="P1752" s="43"/>
      <c r="Q1752" s="43"/>
      <c r="R1752" s="169"/>
    </row>
    <row r="1753" spans="1:18" ht="35.25" customHeight="1">
      <c r="A1753" s="15">
        <f t="shared" si="27"/>
        <v>1743</v>
      </c>
      <c r="B1753" s="146" t="s">
        <v>2770</v>
      </c>
      <c r="C1753" s="64" t="s">
        <v>562</v>
      </c>
      <c r="D1753" s="19"/>
      <c r="E1753" s="19"/>
      <c r="F1753" s="19"/>
      <c r="G1753" s="64"/>
      <c r="H1753" s="141"/>
      <c r="I1753" s="158" t="s">
        <v>18</v>
      </c>
      <c r="J1753" s="158">
        <v>1</v>
      </c>
      <c r="K1753" s="142" t="s">
        <v>730</v>
      </c>
      <c r="L1753" s="43" t="s">
        <v>2982</v>
      </c>
      <c r="M1753" s="276" t="s">
        <v>3253</v>
      </c>
      <c r="N1753" s="43" t="s">
        <v>2983</v>
      </c>
      <c r="O1753" s="66"/>
      <c r="P1753" s="43"/>
      <c r="Q1753" s="43"/>
      <c r="R1753" s="169"/>
    </row>
    <row r="1754" spans="1:18" ht="35.25" customHeight="1">
      <c r="A1754" s="15">
        <f t="shared" si="27"/>
        <v>1744</v>
      </c>
      <c r="B1754" s="146" t="s">
        <v>2771</v>
      </c>
      <c r="C1754" s="64" t="s">
        <v>562</v>
      </c>
      <c r="D1754" s="19"/>
      <c r="E1754" s="19"/>
      <c r="F1754" s="19"/>
      <c r="G1754" s="64"/>
      <c r="H1754" s="141"/>
      <c r="I1754" s="158" t="s">
        <v>18</v>
      </c>
      <c r="J1754" s="158">
        <v>1</v>
      </c>
      <c r="K1754" s="142" t="s">
        <v>730</v>
      </c>
      <c r="L1754" s="43" t="s">
        <v>2982</v>
      </c>
      <c r="M1754" s="276" t="s">
        <v>3253</v>
      </c>
      <c r="N1754" s="43" t="s">
        <v>2983</v>
      </c>
      <c r="O1754" s="66"/>
      <c r="P1754" s="43"/>
      <c r="Q1754" s="43"/>
      <c r="R1754" s="169"/>
    </row>
    <row r="1755" spans="1:18" ht="35.25" customHeight="1">
      <c r="A1755" s="15">
        <f t="shared" si="27"/>
        <v>1745</v>
      </c>
      <c r="B1755" s="146" t="s">
        <v>2772</v>
      </c>
      <c r="C1755" s="64" t="s">
        <v>562</v>
      </c>
      <c r="D1755" s="19"/>
      <c r="E1755" s="19"/>
      <c r="F1755" s="19"/>
      <c r="G1755" s="64"/>
      <c r="H1755" s="141"/>
      <c r="I1755" s="158" t="s">
        <v>18</v>
      </c>
      <c r="J1755" s="158">
        <v>1</v>
      </c>
      <c r="K1755" s="142" t="s">
        <v>730</v>
      </c>
      <c r="L1755" s="43" t="s">
        <v>2982</v>
      </c>
      <c r="M1755" s="276" t="s">
        <v>3253</v>
      </c>
      <c r="N1755" s="43" t="s">
        <v>2983</v>
      </c>
      <c r="O1755" s="66"/>
      <c r="P1755" s="43"/>
      <c r="Q1755" s="43"/>
      <c r="R1755" s="169"/>
    </row>
    <row r="1756" spans="1:18" ht="35.25" customHeight="1">
      <c r="A1756" s="15">
        <f t="shared" si="27"/>
        <v>1746</v>
      </c>
      <c r="B1756" s="146" t="s">
        <v>2773</v>
      </c>
      <c r="C1756" s="64" t="s">
        <v>562</v>
      </c>
      <c r="D1756" s="19"/>
      <c r="E1756" s="19"/>
      <c r="F1756" s="19"/>
      <c r="G1756" s="64"/>
      <c r="H1756" s="141"/>
      <c r="I1756" s="158" t="s">
        <v>18</v>
      </c>
      <c r="J1756" s="158">
        <v>1</v>
      </c>
      <c r="K1756" s="142" t="s">
        <v>730</v>
      </c>
      <c r="L1756" s="43" t="s">
        <v>2982</v>
      </c>
      <c r="M1756" s="276" t="s">
        <v>3253</v>
      </c>
      <c r="N1756" s="43" t="s">
        <v>2983</v>
      </c>
      <c r="O1756" s="66"/>
      <c r="P1756" s="43"/>
      <c r="Q1756" s="43"/>
      <c r="R1756" s="169"/>
    </row>
    <row r="1757" spans="1:18" ht="35.25" customHeight="1">
      <c r="A1757" s="15">
        <f t="shared" si="27"/>
        <v>1747</v>
      </c>
      <c r="B1757" s="146" t="s">
        <v>2774</v>
      </c>
      <c r="C1757" s="64" t="s">
        <v>562</v>
      </c>
      <c r="D1757" s="19"/>
      <c r="E1757" s="19"/>
      <c r="F1757" s="19"/>
      <c r="G1757" s="64"/>
      <c r="H1757" s="141"/>
      <c r="I1757" s="158" t="s">
        <v>18</v>
      </c>
      <c r="J1757" s="158">
        <v>1</v>
      </c>
      <c r="K1757" s="142" t="s">
        <v>730</v>
      </c>
      <c r="L1757" s="43" t="s">
        <v>2982</v>
      </c>
      <c r="M1757" s="276" t="s">
        <v>3253</v>
      </c>
      <c r="N1757" s="43" t="s">
        <v>2983</v>
      </c>
      <c r="O1757" s="66"/>
      <c r="P1757" s="43"/>
      <c r="Q1757" s="43"/>
      <c r="R1757" s="169"/>
    </row>
    <row r="1758" spans="1:18" ht="35.25" customHeight="1">
      <c r="A1758" s="15">
        <f t="shared" si="27"/>
        <v>1748</v>
      </c>
      <c r="B1758" s="146" t="s">
        <v>2775</v>
      </c>
      <c r="C1758" s="64" t="s">
        <v>562</v>
      </c>
      <c r="D1758" s="19"/>
      <c r="E1758" s="19"/>
      <c r="F1758" s="19"/>
      <c r="G1758" s="64"/>
      <c r="H1758" s="141"/>
      <c r="I1758" s="158" t="s">
        <v>18</v>
      </c>
      <c r="J1758" s="158">
        <v>1</v>
      </c>
      <c r="K1758" s="142" t="s">
        <v>730</v>
      </c>
      <c r="L1758" s="43" t="s">
        <v>2982</v>
      </c>
      <c r="M1758" s="276" t="s">
        <v>3253</v>
      </c>
      <c r="N1758" s="43" t="s">
        <v>2983</v>
      </c>
      <c r="O1758" s="66"/>
      <c r="P1758" s="43"/>
      <c r="Q1758" s="43"/>
      <c r="R1758" s="169"/>
    </row>
    <row r="1759" spans="1:18" ht="35.25" customHeight="1">
      <c r="A1759" s="15">
        <f t="shared" si="27"/>
        <v>1749</v>
      </c>
      <c r="B1759" s="146" t="s">
        <v>2776</v>
      </c>
      <c r="C1759" s="64" t="s">
        <v>562</v>
      </c>
      <c r="D1759" s="19"/>
      <c r="E1759" s="19"/>
      <c r="F1759" s="19"/>
      <c r="G1759" s="64"/>
      <c r="H1759" s="141"/>
      <c r="I1759" s="158" t="s">
        <v>18</v>
      </c>
      <c r="J1759" s="158">
        <v>1</v>
      </c>
      <c r="K1759" s="142" t="s">
        <v>730</v>
      </c>
      <c r="L1759" s="43" t="s">
        <v>2982</v>
      </c>
      <c r="M1759" s="276" t="s">
        <v>3253</v>
      </c>
      <c r="N1759" s="43" t="s">
        <v>2983</v>
      </c>
      <c r="O1759" s="66"/>
      <c r="P1759" s="43"/>
      <c r="Q1759" s="43"/>
      <c r="R1759" s="169"/>
    </row>
    <row r="1760" spans="1:18" ht="35.25" customHeight="1">
      <c r="A1760" s="15">
        <f t="shared" si="27"/>
        <v>1750</v>
      </c>
      <c r="B1760" s="146" t="s">
        <v>2777</v>
      </c>
      <c r="C1760" s="64" t="s">
        <v>562</v>
      </c>
      <c r="D1760" s="19"/>
      <c r="E1760" s="19"/>
      <c r="F1760" s="19"/>
      <c r="G1760" s="64"/>
      <c r="H1760" s="141"/>
      <c r="I1760" s="158" t="s">
        <v>18</v>
      </c>
      <c r="J1760" s="158">
        <v>1</v>
      </c>
      <c r="K1760" s="142" t="s">
        <v>730</v>
      </c>
      <c r="L1760" s="43" t="s">
        <v>2982</v>
      </c>
      <c r="M1760" s="276" t="s">
        <v>3253</v>
      </c>
      <c r="N1760" s="43" t="s">
        <v>2983</v>
      </c>
      <c r="O1760" s="66"/>
      <c r="P1760" s="43"/>
      <c r="Q1760" s="43"/>
      <c r="R1760" s="169"/>
    </row>
    <row r="1761" spans="1:18" ht="35.25" customHeight="1">
      <c r="A1761" s="15">
        <f t="shared" si="27"/>
        <v>1751</v>
      </c>
      <c r="B1761" s="146" t="s">
        <v>2778</v>
      </c>
      <c r="C1761" s="64" t="s">
        <v>562</v>
      </c>
      <c r="D1761" s="19"/>
      <c r="E1761" s="19"/>
      <c r="F1761" s="19"/>
      <c r="G1761" s="64"/>
      <c r="H1761" s="141"/>
      <c r="I1761" s="158" t="s">
        <v>18</v>
      </c>
      <c r="J1761" s="158">
        <v>1</v>
      </c>
      <c r="K1761" s="142" t="s">
        <v>730</v>
      </c>
      <c r="L1761" s="43" t="s">
        <v>2982</v>
      </c>
      <c r="M1761" s="276" t="s">
        <v>3253</v>
      </c>
      <c r="N1761" s="43" t="s">
        <v>2983</v>
      </c>
      <c r="O1761" s="66"/>
      <c r="P1761" s="43"/>
      <c r="Q1761" s="43"/>
      <c r="R1761" s="169"/>
    </row>
    <row r="1762" spans="1:18" ht="35.25" customHeight="1">
      <c r="A1762" s="15">
        <f t="shared" si="27"/>
        <v>1752</v>
      </c>
      <c r="B1762" s="146" t="s">
        <v>2779</v>
      </c>
      <c r="C1762" s="64" t="s">
        <v>562</v>
      </c>
      <c r="D1762" s="19"/>
      <c r="E1762" s="19"/>
      <c r="F1762" s="19"/>
      <c r="G1762" s="64"/>
      <c r="H1762" s="141"/>
      <c r="I1762" s="158" t="s">
        <v>18</v>
      </c>
      <c r="J1762" s="158">
        <v>1</v>
      </c>
      <c r="K1762" s="142" t="s">
        <v>730</v>
      </c>
      <c r="L1762" s="43" t="s">
        <v>2982</v>
      </c>
      <c r="M1762" s="276" t="s">
        <v>3253</v>
      </c>
      <c r="N1762" s="43" t="s">
        <v>2983</v>
      </c>
      <c r="O1762" s="66"/>
      <c r="P1762" s="43"/>
      <c r="Q1762" s="43"/>
      <c r="R1762" s="169"/>
    </row>
    <row r="1763" spans="1:18" ht="35.25" customHeight="1">
      <c r="A1763" s="15">
        <f t="shared" si="27"/>
        <v>1753</v>
      </c>
      <c r="B1763" s="146" t="s">
        <v>2780</v>
      </c>
      <c r="C1763" s="64" t="s">
        <v>562</v>
      </c>
      <c r="D1763" s="19"/>
      <c r="E1763" s="19"/>
      <c r="F1763" s="19"/>
      <c r="G1763" s="64"/>
      <c r="H1763" s="141"/>
      <c r="I1763" s="158" t="s">
        <v>18</v>
      </c>
      <c r="J1763" s="158">
        <v>1</v>
      </c>
      <c r="K1763" s="142" t="s">
        <v>730</v>
      </c>
      <c r="L1763" s="43" t="s">
        <v>2982</v>
      </c>
      <c r="M1763" s="276" t="s">
        <v>3253</v>
      </c>
      <c r="N1763" s="43" t="s">
        <v>2983</v>
      </c>
      <c r="O1763" s="66"/>
      <c r="P1763" s="43"/>
      <c r="Q1763" s="43"/>
      <c r="R1763" s="169"/>
    </row>
    <row r="1764" spans="1:18" ht="35.25" customHeight="1">
      <c r="A1764" s="15">
        <f t="shared" si="27"/>
        <v>1754</v>
      </c>
      <c r="B1764" s="146" t="s">
        <v>2781</v>
      </c>
      <c r="C1764" s="64" t="s">
        <v>562</v>
      </c>
      <c r="D1764" s="19"/>
      <c r="E1764" s="19"/>
      <c r="F1764" s="19"/>
      <c r="G1764" s="64"/>
      <c r="H1764" s="141"/>
      <c r="I1764" s="158" t="s">
        <v>18</v>
      </c>
      <c r="J1764" s="158">
        <v>1</v>
      </c>
      <c r="K1764" s="142" t="s">
        <v>730</v>
      </c>
      <c r="L1764" s="43" t="s">
        <v>2982</v>
      </c>
      <c r="M1764" s="276" t="s">
        <v>3253</v>
      </c>
      <c r="N1764" s="43" t="s">
        <v>2983</v>
      </c>
      <c r="O1764" s="66"/>
      <c r="P1764" s="43"/>
      <c r="Q1764" s="43"/>
      <c r="R1764" s="169"/>
    </row>
    <row r="1765" spans="1:18" ht="35.25" customHeight="1">
      <c r="A1765" s="15">
        <f t="shared" si="27"/>
        <v>1755</v>
      </c>
      <c r="B1765" s="146" t="s">
        <v>2782</v>
      </c>
      <c r="C1765" s="64" t="s">
        <v>562</v>
      </c>
      <c r="D1765" s="19"/>
      <c r="E1765" s="19"/>
      <c r="F1765" s="19"/>
      <c r="G1765" s="64"/>
      <c r="H1765" s="141"/>
      <c r="I1765" s="158" t="s">
        <v>18</v>
      </c>
      <c r="J1765" s="158">
        <v>1</v>
      </c>
      <c r="K1765" s="142" t="s">
        <v>730</v>
      </c>
      <c r="L1765" s="43" t="s">
        <v>2982</v>
      </c>
      <c r="M1765" s="276" t="s">
        <v>3253</v>
      </c>
      <c r="N1765" s="43" t="s">
        <v>2983</v>
      </c>
      <c r="O1765" s="66"/>
      <c r="P1765" s="43"/>
      <c r="Q1765" s="43"/>
      <c r="R1765" s="169"/>
    </row>
    <row r="1766" spans="1:18" ht="35.25" customHeight="1">
      <c r="A1766" s="15">
        <f t="shared" si="27"/>
        <v>1756</v>
      </c>
      <c r="B1766" s="146" t="s">
        <v>2783</v>
      </c>
      <c r="C1766" s="64" t="s">
        <v>562</v>
      </c>
      <c r="D1766" s="19"/>
      <c r="E1766" s="19"/>
      <c r="F1766" s="19"/>
      <c r="G1766" s="64"/>
      <c r="H1766" s="141"/>
      <c r="I1766" s="158" t="s">
        <v>18</v>
      </c>
      <c r="J1766" s="158">
        <v>1</v>
      </c>
      <c r="K1766" s="142" t="s">
        <v>730</v>
      </c>
      <c r="L1766" s="43" t="s">
        <v>2982</v>
      </c>
      <c r="M1766" s="276" t="s">
        <v>3253</v>
      </c>
      <c r="N1766" s="43" t="s">
        <v>2983</v>
      </c>
      <c r="O1766" s="66"/>
      <c r="P1766" s="43"/>
      <c r="Q1766" s="43"/>
      <c r="R1766" s="169"/>
    </row>
    <row r="1767" spans="1:18" ht="35.25" customHeight="1">
      <c r="A1767" s="15">
        <f t="shared" si="27"/>
        <v>1757</v>
      </c>
      <c r="B1767" s="146" t="s">
        <v>2784</v>
      </c>
      <c r="C1767" s="64" t="s">
        <v>562</v>
      </c>
      <c r="D1767" s="19"/>
      <c r="E1767" s="19"/>
      <c r="F1767" s="19"/>
      <c r="G1767" s="64"/>
      <c r="H1767" s="141"/>
      <c r="I1767" s="158" t="s">
        <v>18</v>
      </c>
      <c r="J1767" s="158">
        <v>1</v>
      </c>
      <c r="K1767" s="142" t="s">
        <v>730</v>
      </c>
      <c r="L1767" s="43" t="s">
        <v>2982</v>
      </c>
      <c r="M1767" s="276" t="s">
        <v>3253</v>
      </c>
      <c r="N1767" s="43" t="s">
        <v>2983</v>
      </c>
      <c r="O1767" s="66"/>
      <c r="P1767" s="43"/>
      <c r="Q1767" s="43"/>
      <c r="R1767" s="169"/>
    </row>
    <row r="1768" spans="1:18" ht="35.25" customHeight="1">
      <c r="A1768" s="15">
        <f t="shared" si="27"/>
        <v>1758</v>
      </c>
      <c r="B1768" s="146" t="s">
        <v>2785</v>
      </c>
      <c r="C1768" s="64" t="s">
        <v>562</v>
      </c>
      <c r="D1768" s="19"/>
      <c r="E1768" s="19"/>
      <c r="F1768" s="19"/>
      <c r="G1768" s="64"/>
      <c r="H1768" s="141"/>
      <c r="I1768" s="158" t="s">
        <v>18</v>
      </c>
      <c r="J1768" s="158">
        <v>1</v>
      </c>
      <c r="K1768" s="142" t="s">
        <v>730</v>
      </c>
      <c r="L1768" s="43" t="s">
        <v>2982</v>
      </c>
      <c r="M1768" s="276" t="s">
        <v>3253</v>
      </c>
      <c r="N1768" s="43" t="s">
        <v>2983</v>
      </c>
      <c r="O1768" s="66"/>
      <c r="P1768" s="43"/>
      <c r="Q1768" s="43"/>
      <c r="R1768" s="169"/>
    </row>
    <row r="1769" spans="1:18" ht="35.25" customHeight="1">
      <c r="A1769" s="15">
        <f t="shared" si="27"/>
        <v>1759</v>
      </c>
      <c r="B1769" s="146" t="s">
        <v>2786</v>
      </c>
      <c r="C1769" s="64" t="s">
        <v>562</v>
      </c>
      <c r="D1769" s="19"/>
      <c r="E1769" s="19"/>
      <c r="F1769" s="19"/>
      <c r="G1769" s="64"/>
      <c r="H1769" s="141"/>
      <c r="I1769" s="158" t="s">
        <v>18</v>
      </c>
      <c r="J1769" s="158">
        <v>1</v>
      </c>
      <c r="K1769" s="142" t="s">
        <v>730</v>
      </c>
      <c r="L1769" s="43" t="s">
        <v>2982</v>
      </c>
      <c r="M1769" s="276" t="s">
        <v>3253</v>
      </c>
      <c r="N1769" s="43" t="s">
        <v>2983</v>
      </c>
      <c r="O1769" s="66"/>
      <c r="P1769" s="43"/>
      <c r="Q1769" s="43"/>
      <c r="R1769" s="169"/>
    </row>
    <row r="1770" spans="1:18" ht="35.25" customHeight="1">
      <c r="A1770" s="15">
        <f t="shared" si="27"/>
        <v>1760</v>
      </c>
      <c r="B1770" s="146" t="s">
        <v>2787</v>
      </c>
      <c r="C1770" s="64" t="s">
        <v>562</v>
      </c>
      <c r="D1770" s="19"/>
      <c r="E1770" s="19"/>
      <c r="F1770" s="19"/>
      <c r="G1770" s="64"/>
      <c r="H1770" s="141"/>
      <c r="I1770" s="158" t="s">
        <v>18</v>
      </c>
      <c r="J1770" s="158">
        <v>1</v>
      </c>
      <c r="K1770" s="142" t="s">
        <v>730</v>
      </c>
      <c r="L1770" s="43" t="s">
        <v>2982</v>
      </c>
      <c r="M1770" s="276" t="s">
        <v>3253</v>
      </c>
      <c r="N1770" s="43" t="s">
        <v>2983</v>
      </c>
      <c r="O1770" s="66"/>
      <c r="P1770" s="43"/>
      <c r="Q1770" s="43"/>
      <c r="R1770" s="169"/>
    </row>
    <row r="1771" spans="1:18" ht="35.25" customHeight="1">
      <c r="A1771" s="15">
        <f t="shared" si="27"/>
        <v>1761</v>
      </c>
      <c r="B1771" s="146" t="s">
        <v>2788</v>
      </c>
      <c r="C1771" s="64" t="s">
        <v>562</v>
      </c>
      <c r="D1771" s="19"/>
      <c r="E1771" s="19"/>
      <c r="F1771" s="19"/>
      <c r="G1771" s="64"/>
      <c r="H1771" s="141"/>
      <c r="I1771" s="158" t="s">
        <v>18</v>
      </c>
      <c r="J1771" s="158">
        <v>1</v>
      </c>
      <c r="K1771" s="142" t="s">
        <v>730</v>
      </c>
      <c r="L1771" s="43" t="s">
        <v>2982</v>
      </c>
      <c r="M1771" s="276" t="s">
        <v>3253</v>
      </c>
      <c r="N1771" s="43" t="s">
        <v>2983</v>
      </c>
      <c r="O1771" s="66"/>
      <c r="P1771" s="43"/>
      <c r="Q1771" s="43"/>
      <c r="R1771" s="169"/>
    </row>
    <row r="1772" spans="1:18" ht="35.25" customHeight="1">
      <c r="A1772" s="15">
        <f t="shared" si="27"/>
        <v>1762</v>
      </c>
      <c r="B1772" s="146" t="s">
        <v>2789</v>
      </c>
      <c r="C1772" s="64" t="s">
        <v>562</v>
      </c>
      <c r="D1772" s="19"/>
      <c r="E1772" s="19"/>
      <c r="F1772" s="19"/>
      <c r="G1772" s="64"/>
      <c r="H1772" s="141"/>
      <c r="I1772" s="158" t="s">
        <v>18</v>
      </c>
      <c r="J1772" s="158">
        <v>1</v>
      </c>
      <c r="K1772" s="142" t="s">
        <v>730</v>
      </c>
      <c r="L1772" s="43" t="s">
        <v>2982</v>
      </c>
      <c r="M1772" s="276" t="s">
        <v>3253</v>
      </c>
      <c r="N1772" s="43" t="s">
        <v>2983</v>
      </c>
      <c r="O1772" s="66"/>
      <c r="P1772" s="43"/>
      <c r="Q1772" s="43"/>
      <c r="R1772" s="169"/>
    </row>
    <row r="1773" spans="1:18" ht="35.25" customHeight="1">
      <c r="A1773" s="15">
        <f t="shared" si="27"/>
        <v>1763</v>
      </c>
      <c r="B1773" s="146" t="s">
        <v>2790</v>
      </c>
      <c r="C1773" s="64" t="s">
        <v>562</v>
      </c>
      <c r="D1773" s="19"/>
      <c r="E1773" s="19"/>
      <c r="F1773" s="19"/>
      <c r="G1773" s="64"/>
      <c r="H1773" s="141"/>
      <c r="I1773" s="158" t="s">
        <v>18</v>
      </c>
      <c r="J1773" s="158">
        <v>1</v>
      </c>
      <c r="K1773" s="142" t="s">
        <v>730</v>
      </c>
      <c r="L1773" s="43" t="s">
        <v>2982</v>
      </c>
      <c r="M1773" s="276" t="s">
        <v>3253</v>
      </c>
      <c r="N1773" s="43" t="s">
        <v>2983</v>
      </c>
      <c r="O1773" s="66"/>
      <c r="P1773" s="43"/>
      <c r="Q1773" s="43"/>
      <c r="R1773" s="169"/>
    </row>
    <row r="1774" spans="1:18" ht="35.25" customHeight="1">
      <c r="A1774" s="15">
        <f t="shared" si="27"/>
        <v>1764</v>
      </c>
      <c r="B1774" s="146" t="s">
        <v>2791</v>
      </c>
      <c r="C1774" s="64" t="s">
        <v>562</v>
      </c>
      <c r="D1774" s="19"/>
      <c r="E1774" s="19"/>
      <c r="F1774" s="19"/>
      <c r="G1774" s="64"/>
      <c r="H1774" s="141"/>
      <c r="I1774" s="158" t="s">
        <v>18</v>
      </c>
      <c r="J1774" s="158">
        <v>1</v>
      </c>
      <c r="K1774" s="142" t="s">
        <v>730</v>
      </c>
      <c r="L1774" s="43" t="s">
        <v>2982</v>
      </c>
      <c r="M1774" s="276" t="s">
        <v>3253</v>
      </c>
      <c r="N1774" s="43" t="s">
        <v>2983</v>
      </c>
      <c r="O1774" s="66"/>
      <c r="P1774" s="43"/>
      <c r="Q1774" s="43"/>
      <c r="R1774" s="169"/>
    </row>
    <row r="1775" spans="1:18" ht="35.25" customHeight="1">
      <c r="A1775" s="15">
        <f t="shared" si="27"/>
        <v>1765</v>
      </c>
      <c r="B1775" s="146" t="s">
        <v>2792</v>
      </c>
      <c r="C1775" s="64" t="s">
        <v>562</v>
      </c>
      <c r="D1775" s="19"/>
      <c r="E1775" s="19"/>
      <c r="F1775" s="19"/>
      <c r="G1775" s="64"/>
      <c r="H1775" s="141"/>
      <c r="I1775" s="158" t="s">
        <v>18</v>
      </c>
      <c r="J1775" s="158">
        <v>1</v>
      </c>
      <c r="K1775" s="142" t="s">
        <v>730</v>
      </c>
      <c r="L1775" s="43" t="s">
        <v>2982</v>
      </c>
      <c r="M1775" s="276" t="s">
        <v>3253</v>
      </c>
      <c r="N1775" s="43" t="s">
        <v>2983</v>
      </c>
      <c r="O1775" s="66"/>
      <c r="P1775" s="43"/>
      <c r="Q1775" s="43"/>
      <c r="R1775" s="169"/>
    </row>
    <row r="1776" spans="1:18" ht="35.25" customHeight="1">
      <c r="A1776" s="15">
        <f t="shared" si="27"/>
        <v>1766</v>
      </c>
      <c r="B1776" s="146" t="s">
        <v>2793</v>
      </c>
      <c r="C1776" s="64" t="s">
        <v>562</v>
      </c>
      <c r="D1776" s="19"/>
      <c r="E1776" s="19"/>
      <c r="F1776" s="19"/>
      <c r="G1776" s="64"/>
      <c r="H1776" s="141"/>
      <c r="I1776" s="158" t="s">
        <v>18</v>
      </c>
      <c r="J1776" s="158">
        <v>1</v>
      </c>
      <c r="K1776" s="142" t="s">
        <v>730</v>
      </c>
      <c r="L1776" s="43" t="s">
        <v>2982</v>
      </c>
      <c r="M1776" s="276" t="s">
        <v>3253</v>
      </c>
      <c r="N1776" s="43" t="s">
        <v>2983</v>
      </c>
      <c r="O1776" s="66"/>
      <c r="P1776" s="43"/>
      <c r="Q1776" s="43"/>
      <c r="R1776" s="169"/>
    </row>
    <row r="1777" spans="1:18" ht="35.25" customHeight="1">
      <c r="A1777" s="15">
        <f t="shared" si="27"/>
        <v>1767</v>
      </c>
      <c r="B1777" s="146" t="s">
        <v>2794</v>
      </c>
      <c r="C1777" s="64" t="s">
        <v>562</v>
      </c>
      <c r="D1777" s="19"/>
      <c r="E1777" s="19"/>
      <c r="F1777" s="19"/>
      <c r="G1777" s="64"/>
      <c r="H1777" s="141"/>
      <c r="I1777" s="158" t="s">
        <v>18</v>
      </c>
      <c r="J1777" s="158">
        <v>1</v>
      </c>
      <c r="K1777" s="142" t="s">
        <v>730</v>
      </c>
      <c r="L1777" s="43" t="s">
        <v>2982</v>
      </c>
      <c r="M1777" s="276" t="s">
        <v>3253</v>
      </c>
      <c r="N1777" s="43" t="s">
        <v>2983</v>
      </c>
      <c r="O1777" s="66"/>
      <c r="P1777" s="43"/>
      <c r="Q1777" s="43"/>
      <c r="R1777" s="169"/>
    </row>
    <row r="1778" spans="1:18" ht="35.25" customHeight="1">
      <c r="A1778" s="15">
        <f t="shared" si="27"/>
        <v>1768</v>
      </c>
      <c r="B1778" s="146" t="s">
        <v>2795</v>
      </c>
      <c r="C1778" s="64" t="s">
        <v>562</v>
      </c>
      <c r="D1778" s="19"/>
      <c r="E1778" s="19"/>
      <c r="F1778" s="19"/>
      <c r="G1778" s="64"/>
      <c r="H1778" s="141"/>
      <c r="I1778" s="158" t="s">
        <v>18</v>
      </c>
      <c r="J1778" s="158">
        <v>1</v>
      </c>
      <c r="K1778" s="142" t="s">
        <v>730</v>
      </c>
      <c r="L1778" s="43" t="s">
        <v>2982</v>
      </c>
      <c r="M1778" s="276" t="s">
        <v>3253</v>
      </c>
      <c r="N1778" s="43" t="s">
        <v>2983</v>
      </c>
      <c r="O1778" s="66"/>
      <c r="P1778" s="43"/>
      <c r="Q1778" s="43"/>
      <c r="R1778" s="169"/>
    </row>
    <row r="1779" spans="1:18" ht="35.25" customHeight="1">
      <c r="A1779" s="15">
        <f t="shared" si="27"/>
        <v>1769</v>
      </c>
      <c r="B1779" s="146" t="s">
        <v>2796</v>
      </c>
      <c r="C1779" s="64" t="s">
        <v>562</v>
      </c>
      <c r="D1779" s="19"/>
      <c r="E1779" s="19"/>
      <c r="F1779" s="19"/>
      <c r="G1779" s="64"/>
      <c r="H1779" s="141"/>
      <c r="I1779" s="158" t="s">
        <v>18</v>
      </c>
      <c r="J1779" s="158">
        <v>1</v>
      </c>
      <c r="K1779" s="142" t="s">
        <v>730</v>
      </c>
      <c r="L1779" s="43" t="s">
        <v>2982</v>
      </c>
      <c r="M1779" s="276" t="s">
        <v>3253</v>
      </c>
      <c r="N1779" s="43" t="s">
        <v>2983</v>
      </c>
      <c r="O1779" s="66"/>
      <c r="P1779" s="43"/>
      <c r="Q1779" s="43"/>
      <c r="R1779" s="169"/>
    </row>
    <row r="1780" spans="1:18" ht="35.25" customHeight="1">
      <c r="A1780" s="15">
        <f t="shared" si="27"/>
        <v>1770</v>
      </c>
      <c r="B1780" s="146" t="s">
        <v>2797</v>
      </c>
      <c r="C1780" s="64" t="s">
        <v>562</v>
      </c>
      <c r="D1780" s="19"/>
      <c r="E1780" s="19"/>
      <c r="F1780" s="19"/>
      <c r="G1780" s="64"/>
      <c r="H1780" s="141"/>
      <c r="I1780" s="158" t="s">
        <v>18</v>
      </c>
      <c r="J1780" s="158">
        <v>1</v>
      </c>
      <c r="K1780" s="142" t="s">
        <v>730</v>
      </c>
      <c r="L1780" s="43" t="s">
        <v>2982</v>
      </c>
      <c r="M1780" s="276" t="s">
        <v>3253</v>
      </c>
      <c r="N1780" s="43" t="s">
        <v>2983</v>
      </c>
      <c r="O1780" s="66"/>
      <c r="P1780" s="43"/>
      <c r="Q1780" s="43"/>
      <c r="R1780" s="169"/>
    </row>
    <row r="1781" spans="1:18" ht="35.25" customHeight="1">
      <c r="A1781" s="15">
        <f t="shared" si="27"/>
        <v>1771</v>
      </c>
      <c r="B1781" s="146" t="s">
        <v>2798</v>
      </c>
      <c r="C1781" s="64" t="s">
        <v>562</v>
      </c>
      <c r="D1781" s="19"/>
      <c r="E1781" s="19"/>
      <c r="F1781" s="19"/>
      <c r="G1781" s="64"/>
      <c r="H1781" s="141"/>
      <c r="I1781" s="158" t="s">
        <v>18</v>
      </c>
      <c r="J1781" s="158">
        <v>1</v>
      </c>
      <c r="K1781" s="142" t="s">
        <v>730</v>
      </c>
      <c r="L1781" s="43" t="s">
        <v>2982</v>
      </c>
      <c r="M1781" s="276" t="s">
        <v>3253</v>
      </c>
      <c r="N1781" s="43" t="s">
        <v>2983</v>
      </c>
      <c r="O1781" s="66"/>
      <c r="P1781" s="43"/>
      <c r="Q1781" s="43"/>
      <c r="R1781" s="169"/>
    </row>
    <row r="1782" spans="1:18" ht="35.25" customHeight="1">
      <c r="A1782" s="15">
        <f t="shared" si="27"/>
        <v>1772</v>
      </c>
      <c r="B1782" s="146" t="s">
        <v>2799</v>
      </c>
      <c r="C1782" s="64" t="s">
        <v>2800</v>
      </c>
      <c r="D1782" s="19"/>
      <c r="E1782" s="19"/>
      <c r="F1782" s="19"/>
      <c r="G1782" s="64"/>
      <c r="H1782" s="141"/>
      <c r="I1782" s="158" t="s">
        <v>18</v>
      </c>
      <c r="J1782" s="158">
        <v>1</v>
      </c>
      <c r="K1782" s="142" t="s">
        <v>730</v>
      </c>
      <c r="L1782" s="43" t="s">
        <v>2982</v>
      </c>
      <c r="M1782" s="276" t="s">
        <v>3253</v>
      </c>
      <c r="N1782" s="43" t="s">
        <v>2983</v>
      </c>
      <c r="O1782" s="66"/>
      <c r="P1782" s="43"/>
      <c r="Q1782" s="43"/>
      <c r="R1782" s="193"/>
    </row>
    <row r="1783" spans="1:18" ht="35.25" customHeight="1">
      <c r="A1783" s="15">
        <f t="shared" si="27"/>
        <v>1773</v>
      </c>
      <c r="B1783" s="146" t="s">
        <v>2801</v>
      </c>
      <c r="C1783" s="64" t="s">
        <v>2802</v>
      </c>
      <c r="D1783" s="19"/>
      <c r="E1783" s="19"/>
      <c r="F1783" s="19"/>
      <c r="G1783" s="64"/>
      <c r="H1783" s="141"/>
      <c r="I1783" s="158" t="s">
        <v>18</v>
      </c>
      <c r="J1783" s="158">
        <v>1</v>
      </c>
      <c r="K1783" s="142" t="s">
        <v>730</v>
      </c>
      <c r="L1783" s="43" t="s">
        <v>2982</v>
      </c>
      <c r="M1783" s="276" t="s">
        <v>3253</v>
      </c>
      <c r="N1783" s="43" t="s">
        <v>2983</v>
      </c>
      <c r="O1783" s="66"/>
      <c r="P1783" s="43"/>
      <c r="Q1783" s="43"/>
      <c r="R1783" s="193"/>
    </row>
    <row r="1784" spans="1:18" ht="35.25" customHeight="1">
      <c r="A1784" s="15">
        <f t="shared" si="27"/>
        <v>1774</v>
      </c>
      <c r="B1784" s="146" t="s">
        <v>2803</v>
      </c>
      <c r="C1784" s="64" t="s">
        <v>2804</v>
      </c>
      <c r="D1784" s="19"/>
      <c r="E1784" s="19"/>
      <c r="F1784" s="19"/>
      <c r="G1784" s="64"/>
      <c r="H1784" s="141"/>
      <c r="I1784" s="158" t="s">
        <v>18</v>
      </c>
      <c r="J1784" s="158">
        <v>1</v>
      </c>
      <c r="K1784" s="142" t="s">
        <v>730</v>
      </c>
      <c r="L1784" s="43" t="s">
        <v>2982</v>
      </c>
      <c r="M1784" s="276" t="s">
        <v>3253</v>
      </c>
      <c r="N1784" s="43" t="s">
        <v>2983</v>
      </c>
      <c r="O1784" s="66"/>
      <c r="P1784" s="43"/>
      <c r="Q1784" s="43"/>
      <c r="R1784" s="193"/>
    </row>
    <row r="1785" spans="1:18" ht="35.25" customHeight="1">
      <c r="A1785" s="15">
        <f t="shared" si="27"/>
        <v>1775</v>
      </c>
      <c r="B1785" s="146" t="s">
        <v>2805</v>
      </c>
      <c r="C1785" s="64" t="s">
        <v>2804</v>
      </c>
      <c r="D1785" s="19"/>
      <c r="E1785" s="19"/>
      <c r="F1785" s="19"/>
      <c r="G1785" s="64"/>
      <c r="H1785" s="141"/>
      <c r="I1785" s="158" t="s">
        <v>18</v>
      </c>
      <c r="J1785" s="158">
        <v>1</v>
      </c>
      <c r="K1785" s="142" t="s">
        <v>730</v>
      </c>
      <c r="L1785" s="43" t="s">
        <v>2982</v>
      </c>
      <c r="M1785" s="276" t="s">
        <v>3253</v>
      </c>
      <c r="N1785" s="43" t="s">
        <v>2983</v>
      </c>
      <c r="O1785" s="66"/>
      <c r="P1785" s="43"/>
      <c r="Q1785" s="43"/>
      <c r="R1785" s="193"/>
    </row>
    <row r="1786" spans="1:18" ht="35.25" customHeight="1">
      <c r="A1786" s="15">
        <f t="shared" si="27"/>
        <v>1776</v>
      </c>
      <c r="B1786" s="146" t="s">
        <v>2806</v>
      </c>
      <c r="C1786" s="64" t="s">
        <v>2804</v>
      </c>
      <c r="D1786" s="19"/>
      <c r="E1786" s="19"/>
      <c r="F1786" s="19"/>
      <c r="G1786" s="64"/>
      <c r="H1786" s="141"/>
      <c r="I1786" s="158" t="s">
        <v>18</v>
      </c>
      <c r="J1786" s="158">
        <v>1</v>
      </c>
      <c r="K1786" s="142" t="s">
        <v>730</v>
      </c>
      <c r="L1786" s="43" t="s">
        <v>2982</v>
      </c>
      <c r="M1786" s="276" t="s">
        <v>3253</v>
      </c>
      <c r="N1786" s="43" t="s">
        <v>2983</v>
      </c>
      <c r="O1786" s="66"/>
      <c r="P1786" s="43"/>
      <c r="Q1786" s="43"/>
      <c r="R1786" s="193"/>
    </row>
    <row r="1787" spans="1:18" ht="35.25" customHeight="1">
      <c r="A1787" s="15">
        <f t="shared" si="27"/>
        <v>1777</v>
      </c>
      <c r="B1787" s="146" t="s">
        <v>2807</v>
      </c>
      <c r="C1787" s="64" t="s">
        <v>2804</v>
      </c>
      <c r="D1787" s="19"/>
      <c r="E1787" s="19"/>
      <c r="F1787" s="19"/>
      <c r="G1787" s="64"/>
      <c r="H1787" s="141"/>
      <c r="I1787" s="158" t="s">
        <v>18</v>
      </c>
      <c r="J1787" s="158">
        <v>1</v>
      </c>
      <c r="K1787" s="142" t="s">
        <v>730</v>
      </c>
      <c r="L1787" s="43" t="s">
        <v>2982</v>
      </c>
      <c r="M1787" s="276" t="s">
        <v>3253</v>
      </c>
      <c r="N1787" s="43" t="s">
        <v>2983</v>
      </c>
      <c r="O1787" s="66"/>
      <c r="P1787" s="43"/>
      <c r="Q1787" s="43"/>
      <c r="R1787" s="193"/>
    </row>
    <row r="1788" spans="1:18" ht="35.25" customHeight="1">
      <c r="A1788" s="15">
        <f t="shared" si="27"/>
        <v>1778</v>
      </c>
      <c r="B1788" s="146" t="s">
        <v>2808</v>
      </c>
      <c r="C1788" s="64" t="s">
        <v>2804</v>
      </c>
      <c r="D1788" s="19"/>
      <c r="E1788" s="19"/>
      <c r="F1788" s="19"/>
      <c r="G1788" s="64"/>
      <c r="H1788" s="141"/>
      <c r="I1788" s="158" t="s">
        <v>18</v>
      </c>
      <c r="J1788" s="158">
        <v>1</v>
      </c>
      <c r="K1788" s="142" t="s">
        <v>730</v>
      </c>
      <c r="L1788" s="43" t="s">
        <v>2982</v>
      </c>
      <c r="M1788" s="276" t="s">
        <v>3253</v>
      </c>
      <c r="N1788" s="43" t="s">
        <v>2983</v>
      </c>
      <c r="O1788" s="66"/>
      <c r="P1788" s="43"/>
      <c r="Q1788" s="43"/>
      <c r="R1788" s="193"/>
    </row>
    <row r="1789" spans="1:18" ht="35.25" customHeight="1">
      <c r="A1789" s="15">
        <f t="shared" si="27"/>
        <v>1779</v>
      </c>
      <c r="B1789" s="146" t="s">
        <v>2809</v>
      </c>
      <c r="C1789" s="64" t="s">
        <v>2804</v>
      </c>
      <c r="D1789" s="19"/>
      <c r="E1789" s="19"/>
      <c r="F1789" s="19"/>
      <c r="G1789" s="64"/>
      <c r="H1789" s="141"/>
      <c r="I1789" s="158" t="s">
        <v>18</v>
      </c>
      <c r="J1789" s="158">
        <v>1</v>
      </c>
      <c r="K1789" s="142" t="s">
        <v>730</v>
      </c>
      <c r="L1789" s="43" t="s">
        <v>2982</v>
      </c>
      <c r="M1789" s="276" t="s">
        <v>3253</v>
      </c>
      <c r="N1789" s="43" t="s">
        <v>2983</v>
      </c>
      <c r="O1789" s="66"/>
      <c r="P1789" s="43"/>
      <c r="Q1789" s="43"/>
      <c r="R1789" s="193"/>
    </row>
    <row r="1790" spans="1:18" ht="35.25" customHeight="1">
      <c r="A1790" s="15">
        <f t="shared" si="27"/>
        <v>1780</v>
      </c>
      <c r="B1790" s="146" t="s">
        <v>2810</v>
      </c>
      <c r="C1790" s="64" t="s">
        <v>2804</v>
      </c>
      <c r="D1790" s="19"/>
      <c r="E1790" s="19"/>
      <c r="F1790" s="19"/>
      <c r="G1790" s="64"/>
      <c r="H1790" s="141"/>
      <c r="I1790" s="158" t="s">
        <v>18</v>
      </c>
      <c r="J1790" s="158">
        <v>1</v>
      </c>
      <c r="K1790" s="142" t="s">
        <v>730</v>
      </c>
      <c r="L1790" s="43" t="s">
        <v>2982</v>
      </c>
      <c r="M1790" s="276" t="s">
        <v>3253</v>
      </c>
      <c r="N1790" s="43" t="s">
        <v>2983</v>
      </c>
      <c r="O1790" s="66"/>
      <c r="P1790" s="43"/>
      <c r="Q1790" s="43"/>
      <c r="R1790" s="193"/>
    </row>
    <row r="1791" spans="1:18" ht="35.25" customHeight="1">
      <c r="A1791" s="15">
        <f t="shared" si="27"/>
        <v>1781</v>
      </c>
      <c r="B1791" s="146" t="s">
        <v>2811</v>
      </c>
      <c r="C1791" s="64" t="s">
        <v>2804</v>
      </c>
      <c r="D1791" s="19"/>
      <c r="E1791" s="19"/>
      <c r="F1791" s="19"/>
      <c r="G1791" s="64"/>
      <c r="H1791" s="141"/>
      <c r="I1791" s="158" t="s">
        <v>18</v>
      </c>
      <c r="J1791" s="158">
        <v>1</v>
      </c>
      <c r="K1791" s="142" t="s">
        <v>730</v>
      </c>
      <c r="L1791" s="43" t="s">
        <v>2982</v>
      </c>
      <c r="M1791" s="276" t="s">
        <v>3253</v>
      </c>
      <c r="N1791" s="43" t="s">
        <v>2983</v>
      </c>
      <c r="O1791" s="66"/>
      <c r="P1791" s="43"/>
      <c r="Q1791" s="43"/>
      <c r="R1791" s="193"/>
    </row>
    <row r="1792" spans="1:18" ht="35.25" customHeight="1">
      <c r="A1792" s="15">
        <f t="shared" si="27"/>
        <v>1782</v>
      </c>
      <c r="B1792" s="146" t="s">
        <v>2812</v>
      </c>
      <c r="C1792" s="64" t="s">
        <v>2804</v>
      </c>
      <c r="D1792" s="19"/>
      <c r="E1792" s="19"/>
      <c r="F1792" s="19"/>
      <c r="G1792" s="64"/>
      <c r="H1792" s="141"/>
      <c r="I1792" s="158" t="s">
        <v>18</v>
      </c>
      <c r="J1792" s="158">
        <v>1</v>
      </c>
      <c r="K1792" s="142" t="s">
        <v>730</v>
      </c>
      <c r="L1792" s="43" t="s">
        <v>2982</v>
      </c>
      <c r="M1792" s="276" t="s">
        <v>3253</v>
      </c>
      <c r="N1792" s="43" t="s">
        <v>2983</v>
      </c>
      <c r="O1792" s="66"/>
      <c r="P1792" s="43"/>
      <c r="Q1792" s="43"/>
      <c r="R1792" s="193"/>
    </row>
    <row r="1793" spans="1:18" ht="35.25" customHeight="1">
      <c r="A1793" s="15">
        <f t="shared" si="27"/>
        <v>1783</v>
      </c>
      <c r="B1793" s="146" t="s">
        <v>2813</v>
      </c>
      <c r="C1793" s="64" t="s">
        <v>2804</v>
      </c>
      <c r="D1793" s="19"/>
      <c r="E1793" s="19"/>
      <c r="F1793" s="19"/>
      <c r="G1793" s="64"/>
      <c r="H1793" s="141"/>
      <c r="I1793" s="158" t="s">
        <v>18</v>
      </c>
      <c r="J1793" s="158">
        <v>1</v>
      </c>
      <c r="K1793" s="142" t="s">
        <v>730</v>
      </c>
      <c r="L1793" s="43" t="s">
        <v>2982</v>
      </c>
      <c r="M1793" s="276" t="s">
        <v>3253</v>
      </c>
      <c r="N1793" s="43" t="s">
        <v>2983</v>
      </c>
      <c r="O1793" s="66"/>
      <c r="P1793" s="43"/>
      <c r="Q1793" s="43"/>
      <c r="R1793" s="193"/>
    </row>
    <row r="1794" spans="1:18" ht="35.25" customHeight="1">
      <c r="A1794" s="15">
        <f t="shared" si="27"/>
        <v>1784</v>
      </c>
      <c r="B1794" s="146" t="s">
        <v>2814</v>
      </c>
      <c r="C1794" s="64" t="s">
        <v>2804</v>
      </c>
      <c r="D1794" s="19"/>
      <c r="E1794" s="19"/>
      <c r="F1794" s="19"/>
      <c r="G1794" s="64"/>
      <c r="H1794" s="141"/>
      <c r="I1794" s="158" t="s">
        <v>18</v>
      </c>
      <c r="J1794" s="158">
        <v>1</v>
      </c>
      <c r="K1794" s="142" t="s">
        <v>730</v>
      </c>
      <c r="L1794" s="43" t="s">
        <v>2982</v>
      </c>
      <c r="M1794" s="276" t="s">
        <v>3253</v>
      </c>
      <c r="N1794" s="43" t="s">
        <v>2983</v>
      </c>
      <c r="O1794" s="66"/>
      <c r="P1794" s="43"/>
      <c r="Q1794" s="43"/>
      <c r="R1794" s="193"/>
    </row>
    <row r="1795" spans="1:18" ht="35.25" customHeight="1">
      <c r="A1795" s="15">
        <f t="shared" si="27"/>
        <v>1785</v>
      </c>
      <c r="B1795" s="146" t="s">
        <v>2815</v>
      </c>
      <c r="C1795" s="64" t="s">
        <v>2804</v>
      </c>
      <c r="D1795" s="19"/>
      <c r="E1795" s="19"/>
      <c r="F1795" s="19"/>
      <c r="G1795" s="64"/>
      <c r="H1795" s="141"/>
      <c r="I1795" s="158" t="s">
        <v>18</v>
      </c>
      <c r="J1795" s="158">
        <v>1</v>
      </c>
      <c r="K1795" s="142" t="s">
        <v>730</v>
      </c>
      <c r="L1795" s="43" t="s">
        <v>2982</v>
      </c>
      <c r="M1795" s="276" t="s">
        <v>3253</v>
      </c>
      <c r="N1795" s="43" t="s">
        <v>2983</v>
      </c>
      <c r="O1795" s="66"/>
      <c r="P1795" s="43"/>
      <c r="Q1795" s="43"/>
      <c r="R1795" s="193"/>
    </row>
    <row r="1796" spans="1:18" ht="35.25" customHeight="1">
      <c r="A1796" s="15">
        <f t="shared" si="27"/>
        <v>1786</v>
      </c>
      <c r="B1796" s="146" t="s">
        <v>2816</v>
      </c>
      <c r="C1796" s="64" t="s">
        <v>2804</v>
      </c>
      <c r="D1796" s="19"/>
      <c r="E1796" s="19"/>
      <c r="F1796" s="19"/>
      <c r="G1796" s="64"/>
      <c r="H1796" s="141"/>
      <c r="I1796" s="158" t="s">
        <v>18</v>
      </c>
      <c r="J1796" s="158">
        <v>1</v>
      </c>
      <c r="K1796" s="142" t="s">
        <v>730</v>
      </c>
      <c r="L1796" s="43" t="s">
        <v>2982</v>
      </c>
      <c r="M1796" s="276" t="s">
        <v>3253</v>
      </c>
      <c r="N1796" s="43" t="s">
        <v>2983</v>
      </c>
      <c r="O1796" s="66"/>
      <c r="P1796" s="43"/>
      <c r="Q1796" s="43"/>
      <c r="R1796" s="193"/>
    </row>
    <row r="1797" spans="1:18" ht="35.25" customHeight="1">
      <c r="A1797" s="15">
        <f t="shared" si="27"/>
        <v>1787</v>
      </c>
      <c r="B1797" s="146" t="s">
        <v>2817</v>
      </c>
      <c r="C1797" s="64" t="s">
        <v>2818</v>
      </c>
      <c r="D1797" s="19"/>
      <c r="E1797" s="19"/>
      <c r="F1797" s="19"/>
      <c r="G1797" s="64"/>
      <c r="H1797" s="141"/>
      <c r="I1797" s="158" t="s">
        <v>18</v>
      </c>
      <c r="J1797" s="158">
        <v>1</v>
      </c>
      <c r="K1797" s="142" t="s">
        <v>730</v>
      </c>
      <c r="L1797" s="43" t="s">
        <v>2982</v>
      </c>
      <c r="M1797" s="276" t="s">
        <v>3253</v>
      </c>
      <c r="N1797" s="43" t="s">
        <v>2983</v>
      </c>
      <c r="O1797" s="66"/>
      <c r="P1797" s="43"/>
      <c r="Q1797" s="43"/>
      <c r="R1797" s="193"/>
    </row>
    <row r="1798" spans="1:18" ht="35.25" customHeight="1">
      <c r="A1798" s="15">
        <f t="shared" si="27"/>
        <v>1788</v>
      </c>
      <c r="B1798" s="146" t="s">
        <v>2819</v>
      </c>
      <c r="C1798" s="64" t="s">
        <v>2818</v>
      </c>
      <c r="D1798" s="19"/>
      <c r="E1798" s="19"/>
      <c r="F1798" s="19"/>
      <c r="G1798" s="64"/>
      <c r="H1798" s="141"/>
      <c r="I1798" s="158" t="s">
        <v>18</v>
      </c>
      <c r="J1798" s="158">
        <v>1</v>
      </c>
      <c r="K1798" s="142" t="s">
        <v>730</v>
      </c>
      <c r="L1798" s="43" t="s">
        <v>2982</v>
      </c>
      <c r="M1798" s="276" t="s">
        <v>3253</v>
      </c>
      <c r="N1798" s="43" t="s">
        <v>2983</v>
      </c>
      <c r="O1798" s="66"/>
      <c r="P1798" s="43"/>
      <c r="Q1798" s="43"/>
      <c r="R1798" s="193"/>
    </row>
    <row r="1799" spans="1:18" ht="35.25" customHeight="1">
      <c r="A1799" s="15">
        <f t="shared" si="27"/>
        <v>1789</v>
      </c>
      <c r="B1799" s="146" t="s">
        <v>2820</v>
      </c>
      <c r="C1799" s="64" t="s">
        <v>2818</v>
      </c>
      <c r="D1799" s="19"/>
      <c r="E1799" s="19"/>
      <c r="F1799" s="19"/>
      <c r="G1799" s="64"/>
      <c r="H1799" s="141"/>
      <c r="I1799" s="158" t="s">
        <v>18</v>
      </c>
      <c r="J1799" s="158">
        <v>1</v>
      </c>
      <c r="K1799" s="142" t="s">
        <v>730</v>
      </c>
      <c r="L1799" s="43" t="s">
        <v>2982</v>
      </c>
      <c r="M1799" s="276" t="s">
        <v>3253</v>
      </c>
      <c r="N1799" s="43" t="s">
        <v>2983</v>
      </c>
      <c r="O1799" s="66"/>
      <c r="P1799" s="43"/>
      <c r="Q1799" s="43"/>
      <c r="R1799" s="193"/>
    </row>
    <row r="1800" spans="1:18" ht="35.25" customHeight="1">
      <c r="A1800" s="15">
        <f t="shared" si="27"/>
        <v>1790</v>
      </c>
      <c r="B1800" s="146" t="s">
        <v>2821</v>
      </c>
      <c r="C1800" s="64" t="s">
        <v>2818</v>
      </c>
      <c r="D1800" s="19"/>
      <c r="E1800" s="19"/>
      <c r="F1800" s="19"/>
      <c r="G1800" s="64"/>
      <c r="H1800" s="141"/>
      <c r="I1800" s="158" t="s">
        <v>18</v>
      </c>
      <c r="J1800" s="158">
        <v>1</v>
      </c>
      <c r="K1800" s="142" t="s">
        <v>730</v>
      </c>
      <c r="L1800" s="43" t="s">
        <v>2982</v>
      </c>
      <c r="M1800" s="276" t="s">
        <v>3253</v>
      </c>
      <c r="N1800" s="43" t="s">
        <v>2983</v>
      </c>
      <c r="O1800" s="66"/>
      <c r="P1800" s="43"/>
      <c r="Q1800" s="43"/>
      <c r="R1800" s="193"/>
    </row>
    <row r="1801" spans="1:18" ht="35.25" customHeight="1">
      <c r="A1801" s="15">
        <f t="shared" si="27"/>
        <v>1791</v>
      </c>
      <c r="B1801" s="146" t="s">
        <v>2822</v>
      </c>
      <c r="C1801" s="64" t="s">
        <v>2818</v>
      </c>
      <c r="D1801" s="19"/>
      <c r="E1801" s="19"/>
      <c r="F1801" s="19"/>
      <c r="G1801" s="64"/>
      <c r="H1801" s="141"/>
      <c r="I1801" s="158" t="s">
        <v>18</v>
      </c>
      <c r="J1801" s="158">
        <v>1</v>
      </c>
      <c r="K1801" s="142" t="s">
        <v>730</v>
      </c>
      <c r="L1801" s="43" t="s">
        <v>2982</v>
      </c>
      <c r="M1801" s="276" t="s">
        <v>3253</v>
      </c>
      <c r="N1801" s="43" t="s">
        <v>2983</v>
      </c>
      <c r="O1801" s="66"/>
      <c r="P1801" s="43"/>
      <c r="Q1801" s="43"/>
      <c r="R1801" s="193"/>
    </row>
    <row r="1802" spans="1:18" ht="35.25" customHeight="1">
      <c r="A1802" s="15">
        <f t="shared" si="27"/>
        <v>1792</v>
      </c>
      <c r="B1802" s="146" t="s">
        <v>2823</v>
      </c>
      <c r="C1802" s="64" t="s">
        <v>2818</v>
      </c>
      <c r="D1802" s="19"/>
      <c r="E1802" s="19"/>
      <c r="F1802" s="19"/>
      <c r="G1802" s="64"/>
      <c r="H1802" s="141"/>
      <c r="I1802" s="158" t="s">
        <v>18</v>
      </c>
      <c r="J1802" s="158">
        <v>1</v>
      </c>
      <c r="K1802" s="142" t="s">
        <v>730</v>
      </c>
      <c r="L1802" s="43" t="s">
        <v>2982</v>
      </c>
      <c r="M1802" s="276" t="s">
        <v>3253</v>
      </c>
      <c r="N1802" s="43" t="s">
        <v>2983</v>
      </c>
      <c r="O1802" s="66"/>
      <c r="P1802" s="43"/>
      <c r="Q1802" s="43"/>
      <c r="R1802" s="193"/>
    </row>
    <row r="1803" spans="1:18" ht="35.25" customHeight="1">
      <c r="A1803" s="15">
        <f t="shared" si="27"/>
        <v>1793</v>
      </c>
      <c r="B1803" s="146" t="s">
        <v>2824</v>
      </c>
      <c r="C1803" s="64" t="s">
        <v>2818</v>
      </c>
      <c r="D1803" s="19"/>
      <c r="E1803" s="19"/>
      <c r="F1803" s="19"/>
      <c r="G1803" s="64"/>
      <c r="H1803" s="141"/>
      <c r="I1803" s="158" t="s">
        <v>18</v>
      </c>
      <c r="J1803" s="158">
        <v>1</v>
      </c>
      <c r="K1803" s="142" t="s">
        <v>730</v>
      </c>
      <c r="L1803" s="43" t="s">
        <v>2982</v>
      </c>
      <c r="M1803" s="276" t="s">
        <v>3253</v>
      </c>
      <c r="N1803" s="43" t="s">
        <v>2983</v>
      </c>
      <c r="O1803" s="66"/>
      <c r="P1803" s="43"/>
      <c r="Q1803" s="43"/>
      <c r="R1803" s="193"/>
    </row>
    <row r="1804" spans="1:18" ht="35.25" customHeight="1">
      <c r="A1804" s="15">
        <f t="shared" si="27"/>
        <v>1794</v>
      </c>
      <c r="B1804" s="146" t="s">
        <v>2825</v>
      </c>
      <c r="C1804" s="64" t="s">
        <v>2818</v>
      </c>
      <c r="D1804" s="19"/>
      <c r="E1804" s="19"/>
      <c r="F1804" s="19"/>
      <c r="G1804" s="64"/>
      <c r="H1804" s="141"/>
      <c r="I1804" s="158" t="s">
        <v>18</v>
      </c>
      <c r="J1804" s="158">
        <v>1</v>
      </c>
      <c r="K1804" s="142" t="s">
        <v>730</v>
      </c>
      <c r="L1804" s="43" t="s">
        <v>2982</v>
      </c>
      <c r="M1804" s="276" t="s">
        <v>3253</v>
      </c>
      <c r="N1804" s="43" t="s">
        <v>2983</v>
      </c>
      <c r="O1804" s="66"/>
      <c r="P1804" s="43"/>
      <c r="Q1804" s="43"/>
      <c r="R1804" s="193"/>
    </row>
    <row r="1805" spans="1:18" ht="35.25" customHeight="1">
      <c r="A1805" s="15">
        <f t="shared" si="27"/>
        <v>1795</v>
      </c>
      <c r="B1805" s="146" t="s">
        <v>2826</v>
      </c>
      <c r="C1805" s="64" t="s">
        <v>2818</v>
      </c>
      <c r="D1805" s="19"/>
      <c r="E1805" s="19"/>
      <c r="F1805" s="19"/>
      <c r="G1805" s="64"/>
      <c r="H1805" s="141"/>
      <c r="I1805" s="158" t="s">
        <v>18</v>
      </c>
      <c r="J1805" s="158">
        <v>1</v>
      </c>
      <c r="K1805" s="142" t="s">
        <v>730</v>
      </c>
      <c r="L1805" s="43" t="s">
        <v>2982</v>
      </c>
      <c r="M1805" s="276" t="s">
        <v>3253</v>
      </c>
      <c r="N1805" s="43" t="s">
        <v>2983</v>
      </c>
      <c r="O1805" s="66"/>
      <c r="P1805" s="43"/>
      <c r="Q1805" s="43"/>
      <c r="R1805" s="193"/>
    </row>
    <row r="1806" spans="1:18" ht="35.25" customHeight="1">
      <c r="A1806" s="15">
        <f t="shared" si="27"/>
        <v>1796</v>
      </c>
      <c r="B1806" s="146" t="s">
        <v>2827</v>
      </c>
      <c r="C1806" s="64" t="s">
        <v>2493</v>
      </c>
      <c r="D1806" s="19"/>
      <c r="E1806" s="19"/>
      <c r="F1806" s="19"/>
      <c r="G1806" s="64"/>
      <c r="H1806" s="141"/>
      <c r="I1806" s="158" t="s">
        <v>18</v>
      </c>
      <c r="J1806" s="158">
        <v>1</v>
      </c>
      <c r="K1806" s="142" t="s">
        <v>730</v>
      </c>
      <c r="L1806" s="43" t="s">
        <v>2982</v>
      </c>
      <c r="M1806" s="276" t="s">
        <v>3253</v>
      </c>
      <c r="N1806" s="43" t="s">
        <v>2983</v>
      </c>
      <c r="O1806" s="66"/>
      <c r="P1806" s="43"/>
      <c r="Q1806" s="43"/>
      <c r="R1806" s="193"/>
    </row>
    <row r="1807" spans="1:18" ht="35.25" customHeight="1">
      <c r="A1807" s="15">
        <f t="shared" si="27"/>
        <v>1797</v>
      </c>
      <c r="B1807" s="146" t="s">
        <v>2828</v>
      </c>
      <c r="C1807" s="64" t="s">
        <v>2493</v>
      </c>
      <c r="D1807" s="19"/>
      <c r="E1807" s="19"/>
      <c r="F1807" s="19"/>
      <c r="G1807" s="64"/>
      <c r="H1807" s="141"/>
      <c r="I1807" s="158" t="s">
        <v>18</v>
      </c>
      <c r="J1807" s="158">
        <v>1</v>
      </c>
      <c r="K1807" s="142" t="s">
        <v>730</v>
      </c>
      <c r="L1807" s="43" t="s">
        <v>2982</v>
      </c>
      <c r="M1807" s="276" t="s">
        <v>3253</v>
      </c>
      <c r="N1807" s="43" t="s">
        <v>2983</v>
      </c>
      <c r="O1807" s="66"/>
      <c r="P1807" s="43"/>
      <c r="Q1807" s="43"/>
      <c r="R1807" s="193"/>
    </row>
    <row r="1808" spans="1:18" ht="35.25" customHeight="1">
      <c r="A1808" s="15">
        <f t="shared" si="27"/>
        <v>1798</v>
      </c>
      <c r="B1808" s="146" t="s">
        <v>2829</v>
      </c>
      <c r="C1808" s="64" t="s">
        <v>2493</v>
      </c>
      <c r="D1808" s="19"/>
      <c r="E1808" s="19"/>
      <c r="F1808" s="19"/>
      <c r="G1808" s="64"/>
      <c r="H1808" s="141"/>
      <c r="I1808" s="158" t="s">
        <v>18</v>
      </c>
      <c r="J1808" s="158">
        <v>1</v>
      </c>
      <c r="K1808" s="142" t="s">
        <v>730</v>
      </c>
      <c r="L1808" s="43" t="s">
        <v>2982</v>
      </c>
      <c r="M1808" s="276" t="s">
        <v>3253</v>
      </c>
      <c r="N1808" s="43" t="s">
        <v>2983</v>
      </c>
      <c r="O1808" s="66"/>
      <c r="P1808" s="43"/>
      <c r="Q1808" s="43"/>
      <c r="R1808" s="193"/>
    </row>
    <row r="1809" spans="1:18" ht="35.25" customHeight="1">
      <c r="A1809" s="15">
        <f t="shared" si="27"/>
        <v>1799</v>
      </c>
      <c r="B1809" s="146" t="s">
        <v>2830</v>
      </c>
      <c r="C1809" s="64" t="s">
        <v>2493</v>
      </c>
      <c r="D1809" s="19"/>
      <c r="E1809" s="19"/>
      <c r="F1809" s="19"/>
      <c r="G1809" s="64"/>
      <c r="H1809" s="141"/>
      <c r="I1809" s="158" t="s">
        <v>18</v>
      </c>
      <c r="J1809" s="158">
        <v>1</v>
      </c>
      <c r="K1809" s="142" t="s">
        <v>730</v>
      </c>
      <c r="L1809" s="43" t="s">
        <v>2982</v>
      </c>
      <c r="M1809" s="276" t="s">
        <v>3253</v>
      </c>
      <c r="N1809" s="43" t="s">
        <v>2983</v>
      </c>
      <c r="O1809" s="66"/>
      <c r="P1809" s="43"/>
      <c r="Q1809" s="43"/>
      <c r="R1809" s="193"/>
    </row>
    <row r="1810" spans="1:18" ht="35.25" customHeight="1">
      <c r="A1810" s="15">
        <f t="shared" si="27"/>
        <v>1800</v>
      </c>
      <c r="B1810" s="146" t="s">
        <v>2831</v>
      </c>
      <c r="C1810" s="64" t="s">
        <v>2493</v>
      </c>
      <c r="D1810" s="19"/>
      <c r="E1810" s="19"/>
      <c r="F1810" s="19"/>
      <c r="G1810" s="64"/>
      <c r="H1810" s="141"/>
      <c r="I1810" s="158" t="s">
        <v>18</v>
      </c>
      <c r="J1810" s="158">
        <v>1</v>
      </c>
      <c r="K1810" s="142" t="s">
        <v>730</v>
      </c>
      <c r="L1810" s="43" t="s">
        <v>2982</v>
      </c>
      <c r="M1810" s="276" t="s">
        <v>3253</v>
      </c>
      <c r="N1810" s="43" t="s">
        <v>2983</v>
      </c>
      <c r="O1810" s="66"/>
      <c r="P1810" s="43"/>
      <c r="Q1810" s="43"/>
      <c r="R1810" s="193"/>
    </row>
    <row r="1811" spans="1:18" ht="35.25" customHeight="1">
      <c r="A1811" s="15">
        <f t="shared" ref="A1811:A1874" si="28">A1810+1</f>
        <v>1801</v>
      </c>
      <c r="B1811" s="146" t="s">
        <v>2832</v>
      </c>
      <c r="C1811" s="64" t="s">
        <v>2493</v>
      </c>
      <c r="D1811" s="19"/>
      <c r="E1811" s="19"/>
      <c r="F1811" s="19"/>
      <c r="G1811" s="64"/>
      <c r="H1811" s="141"/>
      <c r="I1811" s="158" t="s">
        <v>18</v>
      </c>
      <c r="J1811" s="158">
        <v>1</v>
      </c>
      <c r="K1811" s="142" t="s">
        <v>730</v>
      </c>
      <c r="L1811" s="43" t="s">
        <v>2982</v>
      </c>
      <c r="M1811" s="276" t="s">
        <v>3253</v>
      </c>
      <c r="N1811" s="43" t="s">
        <v>2983</v>
      </c>
      <c r="O1811" s="66"/>
      <c r="P1811" s="43"/>
      <c r="Q1811" s="43"/>
      <c r="R1811" s="193"/>
    </row>
    <row r="1812" spans="1:18" ht="35.25" customHeight="1">
      <c r="A1812" s="15">
        <f t="shared" si="28"/>
        <v>1802</v>
      </c>
      <c r="B1812" s="146" t="s">
        <v>2833</v>
      </c>
      <c r="C1812" s="64" t="s">
        <v>2493</v>
      </c>
      <c r="D1812" s="19"/>
      <c r="E1812" s="19"/>
      <c r="F1812" s="19"/>
      <c r="G1812" s="64"/>
      <c r="H1812" s="141"/>
      <c r="I1812" s="158" t="s">
        <v>18</v>
      </c>
      <c r="J1812" s="158">
        <v>1</v>
      </c>
      <c r="K1812" s="142" t="s">
        <v>730</v>
      </c>
      <c r="L1812" s="43" t="s">
        <v>2982</v>
      </c>
      <c r="M1812" s="276" t="s">
        <v>3253</v>
      </c>
      <c r="N1812" s="43" t="s">
        <v>2983</v>
      </c>
      <c r="O1812" s="66"/>
      <c r="P1812" s="43"/>
      <c r="Q1812" s="43"/>
      <c r="R1812" s="193"/>
    </row>
    <row r="1813" spans="1:18" ht="35.25" customHeight="1">
      <c r="A1813" s="15">
        <f t="shared" si="28"/>
        <v>1803</v>
      </c>
      <c r="B1813" s="146" t="s">
        <v>2834</v>
      </c>
      <c r="C1813" s="64" t="s">
        <v>2493</v>
      </c>
      <c r="D1813" s="19"/>
      <c r="E1813" s="19"/>
      <c r="F1813" s="19"/>
      <c r="G1813" s="64"/>
      <c r="H1813" s="141"/>
      <c r="I1813" s="158" t="s">
        <v>18</v>
      </c>
      <c r="J1813" s="158">
        <v>1</v>
      </c>
      <c r="K1813" s="142" t="s">
        <v>730</v>
      </c>
      <c r="L1813" s="43" t="s">
        <v>2982</v>
      </c>
      <c r="M1813" s="276" t="s">
        <v>3253</v>
      </c>
      <c r="N1813" s="43" t="s">
        <v>2983</v>
      </c>
      <c r="O1813" s="66"/>
      <c r="P1813" s="43"/>
      <c r="Q1813" s="43"/>
      <c r="R1813" s="193"/>
    </row>
    <row r="1814" spans="1:18" ht="35.25" customHeight="1">
      <c r="A1814" s="15">
        <f t="shared" si="28"/>
        <v>1804</v>
      </c>
      <c r="B1814" s="146" t="s">
        <v>2835</v>
      </c>
      <c r="C1814" s="64" t="s">
        <v>2493</v>
      </c>
      <c r="D1814" s="19"/>
      <c r="E1814" s="19"/>
      <c r="F1814" s="19"/>
      <c r="G1814" s="64"/>
      <c r="H1814" s="141"/>
      <c r="I1814" s="158" t="s">
        <v>18</v>
      </c>
      <c r="J1814" s="158">
        <v>1</v>
      </c>
      <c r="K1814" s="142" t="s">
        <v>730</v>
      </c>
      <c r="L1814" s="43" t="s">
        <v>2982</v>
      </c>
      <c r="M1814" s="276" t="s">
        <v>3253</v>
      </c>
      <c r="N1814" s="43" t="s">
        <v>2983</v>
      </c>
      <c r="O1814" s="66"/>
      <c r="P1814" s="43"/>
      <c r="Q1814" s="43"/>
      <c r="R1814" s="193"/>
    </row>
    <row r="1815" spans="1:18" ht="35.25" customHeight="1">
      <c r="A1815" s="15">
        <f t="shared" si="28"/>
        <v>1805</v>
      </c>
      <c r="B1815" s="146" t="s">
        <v>2836</v>
      </c>
      <c r="C1815" s="64" t="s">
        <v>2493</v>
      </c>
      <c r="D1815" s="19"/>
      <c r="E1815" s="19"/>
      <c r="F1815" s="19"/>
      <c r="G1815" s="64"/>
      <c r="H1815" s="141"/>
      <c r="I1815" s="158" t="s">
        <v>18</v>
      </c>
      <c r="J1815" s="158">
        <v>1</v>
      </c>
      <c r="K1815" s="142" t="s">
        <v>730</v>
      </c>
      <c r="L1815" s="43" t="s">
        <v>2982</v>
      </c>
      <c r="M1815" s="276" t="s">
        <v>3253</v>
      </c>
      <c r="N1815" s="43" t="s">
        <v>2983</v>
      </c>
      <c r="O1815" s="66"/>
      <c r="P1815" s="43"/>
      <c r="Q1815" s="43"/>
      <c r="R1815" s="193"/>
    </row>
    <row r="1816" spans="1:18" ht="35.25" customHeight="1">
      <c r="A1816" s="15">
        <f t="shared" si="28"/>
        <v>1806</v>
      </c>
      <c r="B1816" s="146" t="s">
        <v>2837</v>
      </c>
      <c r="C1816" s="64" t="s">
        <v>2493</v>
      </c>
      <c r="D1816" s="19"/>
      <c r="E1816" s="19"/>
      <c r="F1816" s="19"/>
      <c r="G1816" s="64"/>
      <c r="H1816" s="141"/>
      <c r="I1816" s="158" t="s">
        <v>18</v>
      </c>
      <c r="J1816" s="158">
        <v>1</v>
      </c>
      <c r="K1816" s="142" t="s">
        <v>730</v>
      </c>
      <c r="L1816" s="43" t="s">
        <v>2982</v>
      </c>
      <c r="M1816" s="276" t="s">
        <v>3253</v>
      </c>
      <c r="N1816" s="43" t="s">
        <v>2983</v>
      </c>
      <c r="O1816" s="66"/>
      <c r="P1816" s="43"/>
      <c r="Q1816" s="43"/>
      <c r="R1816" s="193"/>
    </row>
    <row r="1817" spans="1:18" ht="35.25" customHeight="1">
      <c r="A1817" s="15">
        <f t="shared" si="28"/>
        <v>1807</v>
      </c>
      <c r="B1817" s="146" t="s">
        <v>2838</v>
      </c>
      <c r="C1817" s="64" t="s">
        <v>2839</v>
      </c>
      <c r="D1817" s="19"/>
      <c r="E1817" s="19"/>
      <c r="F1817" s="19"/>
      <c r="G1817" s="64"/>
      <c r="H1817" s="141"/>
      <c r="I1817" s="158" t="s">
        <v>18</v>
      </c>
      <c r="J1817" s="158">
        <v>1</v>
      </c>
      <c r="K1817" s="142" t="s">
        <v>730</v>
      </c>
      <c r="L1817" s="43" t="s">
        <v>2982</v>
      </c>
      <c r="M1817" s="276" t="s">
        <v>3253</v>
      </c>
      <c r="N1817" s="43" t="s">
        <v>2983</v>
      </c>
      <c r="O1817" s="66"/>
      <c r="P1817" s="43"/>
      <c r="Q1817" s="43"/>
      <c r="R1817" s="193"/>
    </row>
    <row r="1818" spans="1:18" ht="35.25" customHeight="1">
      <c r="A1818" s="15">
        <f t="shared" si="28"/>
        <v>1808</v>
      </c>
      <c r="B1818" s="146" t="s">
        <v>2840</v>
      </c>
      <c r="C1818" s="64" t="s">
        <v>2839</v>
      </c>
      <c r="D1818" s="19"/>
      <c r="E1818" s="19"/>
      <c r="F1818" s="19"/>
      <c r="G1818" s="64"/>
      <c r="H1818" s="141"/>
      <c r="I1818" s="158" t="s">
        <v>18</v>
      </c>
      <c r="J1818" s="158">
        <v>1</v>
      </c>
      <c r="K1818" s="142" t="s">
        <v>730</v>
      </c>
      <c r="L1818" s="43" t="s">
        <v>2982</v>
      </c>
      <c r="M1818" s="276" t="s">
        <v>3253</v>
      </c>
      <c r="N1818" s="43" t="s">
        <v>2983</v>
      </c>
      <c r="O1818" s="66"/>
      <c r="P1818" s="43"/>
      <c r="Q1818" s="43"/>
      <c r="R1818" s="193"/>
    </row>
    <row r="1819" spans="1:18" ht="35.25" customHeight="1">
      <c r="A1819" s="15">
        <f t="shared" si="28"/>
        <v>1809</v>
      </c>
      <c r="B1819" s="146" t="s">
        <v>2841</v>
      </c>
      <c r="C1819" s="64" t="s">
        <v>2842</v>
      </c>
      <c r="D1819" s="19"/>
      <c r="E1819" s="19"/>
      <c r="F1819" s="19"/>
      <c r="G1819" s="64"/>
      <c r="H1819" s="141"/>
      <c r="I1819" s="158" t="s">
        <v>18</v>
      </c>
      <c r="J1819" s="158">
        <v>1</v>
      </c>
      <c r="K1819" s="142" t="s">
        <v>730</v>
      </c>
      <c r="L1819" s="43" t="s">
        <v>2982</v>
      </c>
      <c r="M1819" s="276" t="s">
        <v>3253</v>
      </c>
      <c r="N1819" s="43" t="s">
        <v>2983</v>
      </c>
      <c r="O1819" s="66"/>
      <c r="P1819" s="43"/>
      <c r="Q1819" s="43"/>
      <c r="R1819" s="193"/>
    </row>
    <row r="1820" spans="1:18" ht="35.25" customHeight="1">
      <c r="A1820" s="15">
        <f t="shared" si="28"/>
        <v>1810</v>
      </c>
      <c r="B1820" s="146" t="s">
        <v>2843</v>
      </c>
      <c r="C1820" s="64" t="s">
        <v>2842</v>
      </c>
      <c r="D1820" s="19"/>
      <c r="E1820" s="19"/>
      <c r="F1820" s="19"/>
      <c r="G1820" s="64"/>
      <c r="H1820" s="141"/>
      <c r="I1820" s="158" t="s">
        <v>18</v>
      </c>
      <c r="J1820" s="158">
        <v>1</v>
      </c>
      <c r="K1820" s="142" t="s">
        <v>730</v>
      </c>
      <c r="L1820" s="43" t="s">
        <v>2982</v>
      </c>
      <c r="M1820" s="276" t="s">
        <v>3253</v>
      </c>
      <c r="N1820" s="43" t="s">
        <v>2983</v>
      </c>
      <c r="O1820" s="66"/>
      <c r="P1820" s="43"/>
      <c r="Q1820" s="43"/>
      <c r="R1820" s="193"/>
    </row>
    <row r="1821" spans="1:18" ht="35.25" customHeight="1">
      <c r="A1821" s="15">
        <f t="shared" si="28"/>
        <v>1811</v>
      </c>
      <c r="B1821" s="146" t="s">
        <v>2844</v>
      </c>
      <c r="C1821" s="64" t="s">
        <v>2842</v>
      </c>
      <c r="D1821" s="19"/>
      <c r="E1821" s="19"/>
      <c r="F1821" s="19"/>
      <c r="G1821" s="64"/>
      <c r="H1821" s="141"/>
      <c r="I1821" s="158" t="s">
        <v>18</v>
      </c>
      <c r="J1821" s="158">
        <v>1</v>
      </c>
      <c r="K1821" s="142" t="s">
        <v>730</v>
      </c>
      <c r="L1821" s="43" t="s">
        <v>2982</v>
      </c>
      <c r="M1821" s="276" t="s">
        <v>3253</v>
      </c>
      <c r="N1821" s="43" t="s">
        <v>2983</v>
      </c>
      <c r="O1821" s="66"/>
      <c r="P1821" s="43"/>
      <c r="Q1821" s="43"/>
      <c r="R1821" s="193"/>
    </row>
    <row r="1822" spans="1:18" ht="35.25" customHeight="1">
      <c r="A1822" s="15">
        <f t="shared" si="28"/>
        <v>1812</v>
      </c>
      <c r="B1822" s="146" t="s">
        <v>2845</v>
      </c>
      <c r="C1822" s="64" t="s">
        <v>2842</v>
      </c>
      <c r="D1822" s="19"/>
      <c r="E1822" s="19"/>
      <c r="F1822" s="19"/>
      <c r="G1822" s="64"/>
      <c r="H1822" s="141"/>
      <c r="I1822" s="158" t="s">
        <v>18</v>
      </c>
      <c r="J1822" s="158">
        <v>1</v>
      </c>
      <c r="K1822" s="142" t="s">
        <v>730</v>
      </c>
      <c r="L1822" s="43" t="s">
        <v>2982</v>
      </c>
      <c r="M1822" s="276" t="s">
        <v>3253</v>
      </c>
      <c r="N1822" s="43" t="s">
        <v>2983</v>
      </c>
      <c r="O1822" s="66"/>
      <c r="P1822" s="43"/>
      <c r="Q1822" s="43"/>
      <c r="R1822" s="193"/>
    </row>
    <row r="1823" spans="1:18" ht="35.25" customHeight="1">
      <c r="A1823" s="15">
        <f t="shared" si="28"/>
        <v>1813</v>
      </c>
      <c r="B1823" s="146" t="s">
        <v>2846</v>
      </c>
      <c r="C1823" s="64" t="s">
        <v>2842</v>
      </c>
      <c r="D1823" s="19"/>
      <c r="E1823" s="19"/>
      <c r="F1823" s="19"/>
      <c r="G1823" s="64"/>
      <c r="H1823" s="141"/>
      <c r="I1823" s="158" t="s">
        <v>18</v>
      </c>
      <c r="J1823" s="158">
        <v>1</v>
      </c>
      <c r="K1823" s="142" t="s">
        <v>730</v>
      </c>
      <c r="L1823" s="43" t="s">
        <v>2982</v>
      </c>
      <c r="M1823" s="276" t="s">
        <v>3253</v>
      </c>
      <c r="N1823" s="43" t="s">
        <v>2983</v>
      </c>
      <c r="O1823" s="66"/>
      <c r="P1823" s="43"/>
      <c r="Q1823" s="43"/>
      <c r="R1823" s="193"/>
    </row>
    <row r="1824" spans="1:18" ht="35.25" customHeight="1">
      <c r="A1824" s="15">
        <f t="shared" si="28"/>
        <v>1814</v>
      </c>
      <c r="B1824" s="146" t="s">
        <v>2847</v>
      </c>
      <c r="C1824" s="64" t="s">
        <v>2842</v>
      </c>
      <c r="D1824" s="19"/>
      <c r="E1824" s="19"/>
      <c r="F1824" s="19"/>
      <c r="G1824" s="64"/>
      <c r="H1824" s="141"/>
      <c r="I1824" s="158" t="s">
        <v>18</v>
      </c>
      <c r="J1824" s="158">
        <v>1</v>
      </c>
      <c r="K1824" s="142" t="s">
        <v>730</v>
      </c>
      <c r="L1824" s="43" t="s">
        <v>2982</v>
      </c>
      <c r="M1824" s="276" t="s">
        <v>3253</v>
      </c>
      <c r="N1824" s="43" t="s">
        <v>2983</v>
      </c>
      <c r="O1824" s="66"/>
      <c r="P1824" s="43"/>
      <c r="Q1824" s="43"/>
      <c r="R1824" s="193"/>
    </row>
    <row r="1825" spans="1:18" ht="35.25" customHeight="1">
      <c r="A1825" s="15">
        <f t="shared" si="28"/>
        <v>1815</v>
      </c>
      <c r="B1825" s="146" t="s">
        <v>2848</v>
      </c>
      <c r="C1825" s="64" t="s">
        <v>2842</v>
      </c>
      <c r="D1825" s="19"/>
      <c r="E1825" s="19"/>
      <c r="F1825" s="19"/>
      <c r="G1825" s="64"/>
      <c r="H1825" s="141"/>
      <c r="I1825" s="158" t="s">
        <v>18</v>
      </c>
      <c r="J1825" s="158">
        <v>1</v>
      </c>
      <c r="K1825" s="142" t="s">
        <v>730</v>
      </c>
      <c r="L1825" s="43" t="s">
        <v>2982</v>
      </c>
      <c r="M1825" s="276" t="s">
        <v>3253</v>
      </c>
      <c r="N1825" s="43" t="s">
        <v>2983</v>
      </c>
      <c r="O1825" s="66"/>
      <c r="P1825" s="43"/>
      <c r="Q1825" s="43"/>
      <c r="R1825" s="193"/>
    </row>
    <row r="1826" spans="1:18" ht="35.25" customHeight="1">
      <c r="A1826" s="15">
        <f t="shared" si="28"/>
        <v>1816</v>
      </c>
      <c r="B1826" s="146" t="s">
        <v>2849</v>
      </c>
      <c r="C1826" s="64" t="s">
        <v>2842</v>
      </c>
      <c r="D1826" s="19"/>
      <c r="E1826" s="19"/>
      <c r="F1826" s="19"/>
      <c r="G1826" s="64"/>
      <c r="H1826" s="141"/>
      <c r="I1826" s="158" t="s">
        <v>18</v>
      </c>
      <c r="J1826" s="158">
        <v>1</v>
      </c>
      <c r="K1826" s="142" t="s">
        <v>730</v>
      </c>
      <c r="L1826" s="43" t="s">
        <v>2982</v>
      </c>
      <c r="M1826" s="276" t="s">
        <v>3253</v>
      </c>
      <c r="N1826" s="43" t="s">
        <v>2983</v>
      </c>
      <c r="O1826" s="66"/>
      <c r="P1826" s="43"/>
      <c r="Q1826" s="43"/>
      <c r="R1826" s="193"/>
    </row>
    <row r="1827" spans="1:18" ht="35.25" customHeight="1">
      <c r="A1827" s="15">
        <f t="shared" si="28"/>
        <v>1817</v>
      </c>
      <c r="B1827" s="146" t="s">
        <v>2850</v>
      </c>
      <c r="C1827" s="64" t="s">
        <v>2842</v>
      </c>
      <c r="D1827" s="19"/>
      <c r="E1827" s="19"/>
      <c r="F1827" s="19"/>
      <c r="G1827" s="64"/>
      <c r="H1827" s="141"/>
      <c r="I1827" s="158" t="s">
        <v>18</v>
      </c>
      <c r="J1827" s="158">
        <v>1</v>
      </c>
      <c r="K1827" s="142" t="s">
        <v>730</v>
      </c>
      <c r="L1827" s="43" t="s">
        <v>2982</v>
      </c>
      <c r="M1827" s="276" t="s">
        <v>3253</v>
      </c>
      <c r="N1827" s="43" t="s">
        <v>2983</v>
      </c>
      <c r="O1827" s="66"/>
      <c r="P1827" s="43"/>
      <c r="Q1827" s="43"/>
      <c r="R1827" s="193"/>
    </row>
    <row r="1828" spans="1:18" ht="35.25" customHeight="1">
      <c r="A1828" s="15">
        <f t="shared" si="28"/>
        <v>1818</v>
      </c>
      <c r="B1828" s="146" t="s">
        <v>2851</v>
      </c>
      <c r="C1828" s="64" t="s">
        <v>2852</v>
      </c>
      <c r="D1828" s="19"/>
      <c r="E1828" s="19"/>
      <c r="F1828" s="19"/>
      <c r="G1828" s="64"/>
      <c r="H1828" s="141"/>
      <c r="I1828" s="158" t="s">
        <v>18</v>
      </c>
      <c r="J1828" s="158">
        <v>1</v>
      </c>
      <c r="K1828" s="142" t="s">
        <v>730</v>
      </c>
      <c r="L1828" s="43" t="s">
        <v>2982</v>
      </c>
      <c r="M1828" s="276" t="s">
        <v>3253</v>
      </c>
      <c r="N1828" s="43" t="s">
        <v>2983</v>
      </c>
      <c r="O1828" s="66"/>
      <c r="P1828" s="43"/>
      <c r="Q1828" s="43"/>
      <c r="R1828" s="193"/>
    </row>
    <row r="1829" spans="1:18" ht="35.25" customHeight="1">
      <c r="A1829" s="15">
        <f t="shared" si="28"/>
        <v>1819</v>
      </c>
      <c r="B1829" s="146" t="s">
        <v>2853</v>
      </c>
      <c r="C1829" s="64" t="s">
        <v>2854</v>
      </c>
      <c r="D1829" s="19"/>
      <c r="E1829" s="19"/>
      <c r="F1829" s="19"/>
      <c r="G1829" s="64"/>
      <c r="H1829" s="141"/>
      <c r="I1829" s="158" t="s">
        <v>18</v>
      </c>
      <c r="J1829" s="158">
        <v>10</v>
      </c>
      <c r="K1829" s="142" t="s">
        <v>730</v>
      </c>
      <c r="L1829" s="43" t="s">
        <v>2982</v>
      </c>
      <c r="M1829" s="276" t="s">
        <v>3253</v>
      </c>
      <c r="N1829" s="43" t="s">
        <v>2983</v>
      </c>
      <c r="O1829" s="66"/>
      <c r="P1829" s="43"/>
      <c r="Q1829" s="43"/>
      <c r="R1829" s="169" t="s">
        <v>2986</v>
      </c>
    </row>
    <row r="1830" spans="1:18" ht="35.25" customHeight="1">
      <c r="A1830" s="15">
        <f t="shared" si="28"/>
        <v>1820</v>
      </c>
      <c r="B1830" s="141" t="s">
        <v>2855</v>
      </c>
      <c r="C1830" s="64" t="s">
        <v>2856</v>
      </c>
      <c r="D1830" s="19"/>
      <c r="E1830" s="19"/>
      <c r="F1830" s="19"/>
      <c r="G1830" s="64"/>
      <c r="H1830" s="141"/>
      <c r="I1830" s="158" t="s">
        <v>18</v>
      </c>
      <c r="J1830" s="158">
        <v>1</v>
      </c>
      <c r="K1830" s="142" t="s">
        <v>730</v>
      </c>
      <c r="L1830" s="43" t="s">
        <v>2982</v>
      </c>
      <c r="M1830" s="276" t="s">
        <v>3253</v>
      </c>
      <c r="N1830" s="43" t="s">
        <v>2983</v>
      </c>
      <c r="O1830" s="66"/>
      <c r="P1830" s="43"/>
      <c r="Q1830" s="43"/>
      <c r="R1830" s="193"/>
    </row>
    <row r="1831" spans="1:18" ht="35.25" customHeight="1">
      <c r="A1831" s="15">
        <f t="shared" si="28"/>
        <v>1821</v>
      </c>
      <c r="B1831" s="141" t="s">
        <v>2857</v>
      </c>
      <c r="C1831" s="64" t="s">
        <v>2858</v>
      </c>
      <c r="D1831" s="19"/>
      <c r="E1831" s="19"/>
      <c r="F1831" s="19"/>
      <c r="G1831" s="64"/>
      <c r="H1831" s="141"/>
      <c r="I1831" s="158" t="s">
        <v>18</v>
      </c>
      <c r="J1831" s="158">
        <v>1</v>
      </c>
      <c r="K1831" s="142" t="s">
        <v>730</v>
      </c>
      <c r="L1831" s="43" t="s">
        <v>2982</v>
      </c>
      <c r="M1831" s="276" t="s">
        <v>3253</v>
      </c>
      <c r="N1831" s="43" t="s">
        <v>2983</v>
      </c>
      <c r="O1831" s="66"/>
      <c r="P1831" s="43"/>
      <c r="Q1831" s="43"/>
      <c r="R1831" s="193"/>
    </row>
    <row r="1832" spans="1:18" ht="35.25" customHeight="1">
      <c r="A1832" s="15">
        <f t="shared" si="28"/>
        <v>1822</v>
      </c>
      <c r="B1832" s="141" t="s">
        <v>2859</v>
      </c>
      <c r="C1832" s="64" t="s">
        <v>2858</v>
      </c>
      <c r="D1832" s="19"/>
      <c r="E1832" s="19"/>
      <c r="F1832" s="19"/>
      <c r="G1832" s="64"/>
      <c r="H1832" s="141"/>
      <c r="I1832" s="158" t="s">
        <v>18</v>
      </c>
      <c r="J1832" s="158">
        <v>1</v>
      </c>
      <c r="K1832" s="142" t="s">
        <v>730</v>
      </c>
      <c r="L1832" s="43" t="s">
        <v>2982</v>
      </c>
      <c r="M1832" s="276" t="s">
        <v>3253</v>
      </c>
      <c r="N1832" s="43" t="s">
        <v>2983</v>
      </c>
      <c r="O1832" s="66"/>
      <c r="P1832" s="43"/>
      <c r="Q1832" s="43"/>
      <c r="R1832" s="193"/>
    </row>
    <row r="1833" spans="1:18" ht="35.25" customHeight="1">
      <c r="A1833" s="15">
        <f t="shared" si="28"/>
        <v>1823</v>
      </c>
      <c r="B1833" s="141" t="s">
        <v>2860</v>
      </c>
      <c r="C1833" s="64" t="s">
        <v>2858</v>
      </c>
      <c r="D1833" s="19"/>
      <c r="E1833" s="19"/>
      <c r="F1833" s="19"/>
      <c r="G1833" s="64"/>
      <c r="H1833" s="141"/>
      <c r="I1833" s="158" t="s">
        <v>18</v>
      </c>
      <c r="J1833" s="158">
        <v>1</v>
      </c>
      <c r="K1833" s="142" t="s">
        <v>730</v>
      </c>
      <c r="L1833" s="43" t="s">
        <v>2982</v>
      </c>
      <c r="M1833" s="276" t="s">
        <v>3253</v>
      </c>
      <c r="N1833" s="43" t="s">
        <v>2983</v>
      </c>
      <c r="O1833" s="66"/>
      <c r="P1833" s="43"/>
      <c r="Q1833" s="43"/>
      <c r="R1833" s="193"/>
    </row>
    <row r="1834" spans="1:18" ht="35.25" customHeight="1">
      <c r="A1834" s="15">
        <f t="shared" si="28"/>
        <v>1824</v>
      </c>
      <c r="B1834" s="141" t="s">
        <v>2861</v>
      </c>
      <c r="C1834" s="64" t="s">
        <v>2858</v>
      </c>
      <c r="D1834" s="19"/>
      <c r="E1834" s="19"/>
      <c r="F1834" s="19"/>
      <c r="G1834" s="64"/>
      <c r="H1834" s="141"/>
      <c r="I1834" s="158" t="s">
        <v>18</v>
      </c>
      <c r="J1834" s="158">
        <v>1</v>
      </c>
      <c r="K1834" s="142" t="s">
        <v>730</v>
      </c>
      <c r="L1834" s="43" t="s">
        <v>2982</v>
      </c>
      <c r="M1834" s="276" t="s">
        <v>3253</v>
      </c>
      <c r="N1834" s="43" t="s">
        <v>2983</v>
      </c>
      <c r="O1834" s="66"/>
      <c r="P1834" s="43"/>
      <c r="Q1834" s="43"/>
      <c r="R1834" s="193"/>
    </row>
    <row r="1835" spans="1:18" ht="35.25" customHeight="1">
      <c r="A1835" s="15">
        <f t="shared" si="28"/>
        <v>1825</v>
      </c>
      <c r="B1835" s="141" t="s">
        <v>2862</v>
      </c>
      <c r="C1835" s="64" t="s">
        <v>2863</v>
      </c>
      <c r="D1835" s="19"/>
      <c r="E1835" s="19"/>
      <c r="F1835" s="19"/>
      <c r="G1835" s="64"/>
      <c r="H1835" s="141"/>
      <c r="I1835" s="158" t="s">
        <v>18</v>
      </c>
      <c r="J1835" s="158">
        <v>1</v>
      </c>
      <c r="K1835" s="142" t="s">
        <v>730</v>
      </c>
      <c r="L1835" s="43" t="s">
        <v>2982</v>
      </c>
      <c r="M1835" s="276" t="s">
        <v>3253</v>
      </c>
      <c r="N1835" s="43" t="s">
        <v>2983</v>
      </c>
      <c r="O1835" s="66"/>
      <c r="P1835" s="43"/>
      <c r="Q1835" s="43"/>
      <c r="R1835" s="193"/>
    </row>
    <row r="1836" spans="1:18" ht="35.25" customHeight="1">
      <c r="A1836" s="15">
        <f t="shared" si="28"/>
        <v>1826</v>
      </c>
      <c r="B1836" s="141" t="s">
        <v>2864</v>
      </c>
      <c r="C1836" s="64" t="s">
        <v>2865</v>
      </c>
      <c r="D1836" s="19"/>
      <c r="E1836" s="19"/>
      <c r="F1836" s="19"/>
      <c r="G1836" s="64"/>
      <c r="H1836" s="141"/>
      <c r="I1836" s="158" t="s">
        <v>181</v>
      </c>
      <c r="J1836" s="158">
        <v>1</v>
      </c>
      <c r="K1836" s="142" t="s">
        <v>730</v>
      </c>
      <c r="L1836" s="43" t="s">
        <v>2982</v>
      </c>
      <c r="M1836" s="276" t="s">
        <v>3253</v>
      </c>
      <c r="N1836" s="43" t="s">
        <v>2983</v>
      </c>
      <c r="O1836" s="66"/>
      <c r="P1836" s="43"/>
      <c r="Q1836" s="43"/>
      <c r="R1836" s="193"/>
    </row>
    <row r="1837" spans="1:18" ht="35.25" customHeight="1">
      <c r="A1837" s="15">
        <f t="shared" si="28"/>
        <v>1827</v>
      </c>
      <c r="B1837" s="141" t="s">
        <v>2866</v>
      </c>
      <c r="C1837" s="64" t="s">
        <v>2867</v>
      </c>
      <c r="D1837" s="19"/>
      <c r="E1837" s="19"/>
      <c r="F1837" s="19"/>
      <c r="G1837" s="64"/>
      <c r="H1837" s="141"/>
      <c r="I1837" s="158" t="s">
        <v>18</v>
      </c>
      <c r="J1837" s="158">
        <v>1</v>
      </c>
      <c r="K1837" s="142" t="s">
        <v>730</v>
      </c>
      <c r="L1837" s="43" t="s">
        <v>2982</v>
      </c>
      <c r="M1837" s="276" t="s">
        <v>3253</v>
      </c>
      <c r="N1837" s="43" t="s">
        <v>2983</v>
      </c>
      <c r="O1837" s="66"/>
      <c r="P1837" s="43"/>
      <c r="Q1837" s="43"/>
      <c r="R1837" s="193"/>
    </row>
    <row r="1838" spans="1:18" ht="35.25" customHeight="1">
      <c r="A1838" s="15">
        <f t="shared" si="28"/>
        <v>1828</v>
      </c>
      <c r="B1838" s="141" t="s">
        <v>370</v>
      </c>
      <c r="C1838" s="64" t="s">
        <v>2868</v>
      </c>
      <c r="D1838" s="19"/>
      <c r="E1838" s="19"/>
      <c r="F1838" s="19"/>
      <c r="G1838" s="64"/>
      <c r="H1838" s="141"/>
      <c r="I1838" s="158" t="s">
        <v>18</v>
      </c>
      <c r="J1838" s="158">
        <v>1</v>
      </c>
      <c r="K1838" s="142" t="s">
        <v>730</v>
      </c>
      <c r="L1838" s="43" t="s">
        <v>2982</v>
      </c>
      <c r="M1838" s="276" t="s">
        <v>3253</v>
      </c>
      <c r="N1838" s="43" t="s">
        <v>2983</v>
      </c>
      <c r="O1838" s="66"/>
      <c r="P1838" s="43"/>
      <c r="Q1838" s="43"/>
      <c r="R1838" s="193"/>
    </row>
    <row r="1839" spans="1:18" ht="35.25" customHeight="1">
      <c r="A1839" s="15">
        <f t="shared" si="28"/>
        <v>1829</v>
      </c>
      <c r="B1839" s="141" t="s">
        <v>2869</v>
      </c>
      <c r="C1839" s="64" t="s">
        <v>2870</v>
      </c>
      <c r="D1839" s="19"/>
      <c r="E1839" s="19"/>
      <c r="F1839" s="19"/>
      <c r="G1839" s="64"/>
      <c r="H1839" s="141"/>
      <c r="I1839" s="158" t="s">
        <v>18</v>
      </c>
      <c r="J1839" s="158">
        <v>1</v>
      </c>
      <c r="K1839" s="142" t="s">
        <v>730</v>
      </c>
      <c r="L1839" s="43" t="s">
        <v>2982</v>
      </c>
      <c r="M1839" s="276" t="s">
        <v>3253</v>
      </c>
      <c r="N1839" s="43" t="s">
        <v>2983</v>
      </c>
      <c r="O1839" s="66"/>
      <c r="P1839" s="43"/>
      <c r="Q1839" s="43"/>
      <c r="R1839" s="193"/>
    </row>
    <row r="1840" spans="1:18" ht="35.25" customHeight="1">
      <c r="A1840" s="15">
        <f t="shared" si="28"/>
        <v>1830</v>
      </c>
      <c r="B1840" s="141" t="s">
        <v>2871</v>
      </c>
      <c r="C1840" s="64" t="s">
        <v>2872</v>
      </c>
      <c r="D1840" s="19"/>
      <c r="E1840" s="19"/>
      <c r="F1840" s="19"/>
      <c r="G1840" s="64"/>
      <c r="H1840" s="141"/>
      <c r="I1840" s="158" t="s">
        <v>18</v>
      </c>
      <c r="J1840" s="158">
        <v>1</v>
      </c>
      <c r="K1840" s="142" t="s">
        <v>730</v>
      </c>
      <c r="L1840" s="43" t="s">
        <v>2982</v>
      </c>
      <c r="M1840" s="276" t="s">
        <v>3253</v>
      </c>
      <c r="N1840" s="43" t="s">
        <v>2983</v>
      </c>
      <c r="O1840" s="66"/>
      <c r="P1840" s="43"/>
      <c r="Q1840" s="43"/>
      <c r="R1840" s="193"/>
    </row>
    <row r="1841" spans="1:18" ht="35.25" customHeight="1">
      <c r="A1841" s="15">
        <f t="shared" si="28"/>
        <v>1831</v>
      </c>
      <c r="B1841" s="141" t="s">
        <v>2873</v>
      </c>
      <c r="C1841" s="64" t="s">
        <v>2874</v>
      </c>
      <c r="D1841" s="19"/>
      <c r="E1841" s="19"/>
      <c r="F1841" s="19"/>
      <c r="G1841" s="64"/>
      <c r="H1841" s="141"/>
      <c r="I1841" s="158" t="s">
        <v>181</v>
      </c>
      <c r="J1841" s="158">
        <v>1</v>
      </c>
      <c r="K1841" s="142" t="s">
        <v>730</v>
      </c>
      <c r="L1841" s="43" t="s">
        <v>2982</v>
      </c>
      <c r="M1841" s="276" t="s">
        <v>3253</v>
      </c>
      <c r="N1841" s="43" t="s">
        <v>2983</v>
      </c>
      <c r="O1841" s="66"/>
      <c r="P1841" s="43"/>
      <c r="Q1841" s="43"/>
      <c r="R1841" s="193"/>
    </row>
    <row r="1842" spans="1:18" ht="35.25" customHeight="1">
      <c r="A1842" s="15">
        <f t="shared" si="28"/>
        <v>1832</v>
      </c>
      <c r="B1842" s="146" t="s">
        <v>2875</v>
      </c>
      <c r="C1842" s="64" t="s">
        <v>2876</v>
      </c>
      <c r="D1842" s="19"/>
      <c r="E1842" s="19"/>
      <c r="F1842" s="19"/>
      <c r="G1842" s="64"/>
      <c r="H1842" s="141"/>
      <c r="I1842" s="158" t="s">
        <v>89</v>
      </c>
      <c r="J1842" s="158">
        <v>1</v>
      </c>
      <c r="K1842" s="142" t="s">
        <v>730</v>
      </c>
      <c r="L1842" s="43" t="s">
        <v>2982</v>
      </c>
      <c r="M1842" s="276" t="s">
        <v>3253</v>
      </c>
      <c r="N1842" s="43" t="s">
        <v>2983</v>
      </c>
      <c r="O1842" s="66"/>
      <c r="P1842" s="43"/>
      <c r="Q1842" s="43"/>
      <c r="R1842" s="193"/>
    </row>
    <row r="1843" spans="1:18" ht="35.25" customHeight="1">
      <c r="A1843" s="15">
        <f t="shared" si="28"/>
        <v>1833</v>
      </c>
      <c r="B1843" s="146" t="s">
        <v>2877</v>
      </c>
      <c r="C1843" s="64" t="s">
        <v>2876</v>
      </c>
      <c r="D1843" s="19"/>
      <c r="E1843" s="19"/>
      <c r="F1843" s="19"/>
      <c r="G1843" s="64"/>
      <c r="H1843" s="141"/>
      <c r="I1843" s="158" t="s">
        <v>89</v>
      </c>
      <c r="J1843" s="158">
        <v>1</v>
      </c>
      <c r="K1843" s="142" t="s">
        <v>730</v>
      </c>
      <c r="L1843" s="43" t="s">
        <v>2982</v>
      </c>
      <c r="M1843" s="276" t="s">
        <v>3253</v>
      </c>
      <c r="N1843" s="43" t="s">
        <v>2983</v>
      </c>
      <c r="O1843" s="66"/>
      <c r="P1843" s="43"/>
      <c r="Q1843" s="43"/>
      <c r="R1843" s="193"/>
    </row>
    <row r="1844" spans="1:18" ht="35.25" customHeight="1">
      <c r="A1844" s="15">
        <f t="shared" si="28"/>
        <v>1834</v>
      </c>
      <c r="B1844" s="146" t="s">
        <v>2878</v>
      </c>
      <c r="C1844" s="64" t="s">
        <v>2876</v>
      </c>
      <c r="D1844" s="19"/>
      <c r="E1844" s="19"/>
      <c r="F1844" s="19"/>
      <c r="G1844" s="64"/>
      <c r="H1844" s="141"/>
      <c r="I1844" s="158" t="s">
        <v>89</v>
      </c>
      <c r="J1844" s="158">
        <v>1</v>
      </c>
      <c r="K1844" s="142" t="s">
        <v>730</v>
      </c>
      <c r="L1844" s="43" t="s">
        <v>2982</v>
      </c>
      <c r="M1844" s="276" t="s">
        <v>3253</v>
      </c>
      <c r="N1844" s="43" t="s">
        <v>2983</v>
      </c>
      <c r="O1844" s="66"/>
      <c r="P1844" s="43"/>
      <c r="Q1844" s="43"/>
      <c r="R1844" s="193"/>
    </row>
    <row r="1845" spans="1:18" ht="35.25" customHeight="1">
      <c r="A1845" s="15">
        <f t="shared" si="28"/>
        <v>1835</v>
      </c>
      <c r="B1845" s="146" t="s">
        <v>2879</v>
      </c>
      <c r="C1845" s="64" t="s">
        <v>2876</v>
      </c>
      <c r="D1845" s="19"/>
      <c r="E1845" s="19"/>
      <c r="F1845" s="19"/>
      <c r="G1845" s="64"/>
      <c r="H1845" s="141"/>
      <c r="I1845" s="158" t="s">
        <v>89</v>
      </c>
      <c r="J1845" s="158">
        <v>1</v>
      </c>
      <c r="K1845" s="142" t="s">
        <v>730</v>
      </c>
      <c r="L1845" s="43" t="s">
        <v>2982</v>
      </c>
      <c r="M1845" s="276" t="s">
        <v>3253</v>
      </c>
      <c r="N1845" s="43" t="s">
        <v>2983</v>
      </c>
      <c r="O1845" s="66"/>
      <c r="P1845" s="43"/>
      <c r="Q1845" s="43"/>
      <c r="R1845" s="193"/>
    </row>
    <row r="1846" spans="1:18" ht="35.25" customHeight="1">
      <c r="A1846" s="15">
        <f t="shared" si="28"/>
        <v>1836</v>
      </c>
      <c r="B1846" s="146" t="s">
        <v>2880</v>
      </c>
      <c r="C1846" s="64" t="s">
        <v>2876</v>
      </c>
      <c r="D1846" s="19"/>
      <c r="E1846" s="19"/>
      <c r="F1846" s="19"/>
      <c r="G1846" s="64"/>
      <c r="H1846" s="141"/>
      <c r="I1846" s="158" t="s">
        <v>89</v>
      </c>
      <c r="J1846" s="158">
        <v>1</v>
      </c>
      <c r="K1846" s="142" t="s">
        <v>730</v>
      </c>
      <c r="L1846" s="43" t="s">
        <v>2982</v>
      </c>
      <c r="M1846" s="276" t="s">
        <v>3253</v>
      </c>
      <c r="N1846" s="43" t="s">
        <v>2983</v>
      </c>
      <c r="O1846" s="66"/>
      <c r="P1846" s="43"/>
      <c r="Q1846" s="43"/>
      <c r="R1846" s="193"/>
    </row>
    <row r="1847" spans="1:18" ht="35.25" customHeight="1">
      <c r="A1847" s="15">
        <f t="shared" si="28"/>
        <v>1837</v>
      </c>
      <c r="B1847" s="141" t="s">
        <v>2881</v>
      </c>
      <c r="C1847" s="64" t="s">
        <v>2882</v>
      </c>
      <c r="D1847" s="19"/>
      <c r="E1847" s="19"/>
      <c r="F1847" s="19"/>
      <c r="G1847" s="64"/>
      <c r="H1847" s="141"/>
      <c r="I1847" s="158" t="s">
        <v>169</v>
      </c>
      <c r="J1847" s="158">
        <v>4</v>
      </c>
      <c r="K1847" s="142" t="s">
        <v>730</v>
      </c>
      <c r="L1847" s="43" t="s">
        <v>2982</v>
      </c>
      <c r="M1847" s="276" t="s">
        <v>3253</v>
      </c>
      <c r="N1847" s="43" t="s">
        <v>2983</v>
      </c>
      <c r="O1847" s="66"/>
      <c r="P1847" s="43"/>
      <c r="Q1847" s="43"/>
      <c r="R1847" s="193"/>
    </row>
    <row r="1848" spans="1:18" ht="35.25" customHeight="1">
      <c r="A1848" s="15">
        <f t="shared" si="28"/>
        <v>1838</v>
      </c>
      <c r="B1848" s="141" t="s">
        <v>2883</v>
      </c>
      <c r="C1848" s="64" t="s">
        <v>2884</v>
      </c>
      <c r="D1848" s="19"/>
      <c r="E1848" s="19"/>
      <c r="F1848" s="19"/>
      <c r="G1848" s="64"/>
      <c r="H1848" s="141"/>
      <c r="I1848" s="158" t="s">
        <v>18</v>
      </c>
      <c r="J1848" s="158">
        <v>1</v>
      </c>
      <c r="K1848" s="142" t="s">
        <v>730</v>
      </c>
      <c r="L1848" s="43" t="s">
        <v>2982</v>
      </c>
      <c r="M1848" s="276" t="s">
        <v>3253</v>
      </c>
      <c r="N1848" s="43" t="s">
        <v>2983</v>
      </c>
      <c r="O1848" s="66"/>
      <c r="P1848" s="43"/>
      <c r="Q1848" s="43"/>
      <c r="R1848" s="193"/>
    </row>
    <row r="1849" spans="1:18" ht="35.25" customHeight="1">
      <c r="A1849" s="15">
        <f t="shared" si="28"/>
        <v>1839</v>
      </c>
      <c r="B1849" s="141" t="s">
        <v>2885</v>
      </c>
      <c r="C1849" s="64" t="s">
        <v>2886</v>
      </c>
      <c r="D1849" s="19"/>
      <c r="E1849" s="19"/>
      <c r="F1849" s="19"/>
      <c r="G1849" s="64"/>
      <c r="H1849" s="141"/>
      <c r="I1849" s="158" t="s">
        <v>18</v>
      </c>
      <c r="J1849" s="158">
        <v>1</v>
      </c>
      <c r="K1849" s="142" t="s">
        <v>730</v>
      </c>
      <c r="L1849" s="43" t="s">
        <v>2982</v>
      </c>
      <c r="M1849" s="276" t="s">
        <v>3253</v>
      </c>
      <c r="N1849" s="43" t="s">
        <v>2983</v>
      </c>
      <c r="O1849" s="66"/>
      <c r="P1849" s="43"/>
      <c r="Q1849" s="43"/>
      <c r="R1849" s="193"/>
    </row>
    <row r="1850" spans="1:18" ht="35.25" customHeight="1">
      <c r="A1850" s="15">
        <f t="shared" si="28"/>
        <v>1840</v>
      </c>
      <c r="B1850" s="141" t="s">
        <v>2887</v>
      </c>
      <c r="C1850" s="64" t="s">
        <v>2888</v>
      </c>
      <c r="D1850" s="19"/>
      <c r="E1850" s="19"/>
      <c r="F1850" s="19"/>
      <c r="G1850" s="64"/>
      <c r="H1850" s="141"/>
      <c r="I1850" s="158" t="s">
        <v>181</v>
      </c>
      <c r="J1850" s="158">
        <v>1</v>
      </c>
      <c r="K1850" s="142" t="s">
        <v>730</v>
      </c>
      <c r="L1850" s="43" t="s">
        <v>2982</v>
      </c>
      <c r="M1850" s="276" t="s">
        <v>3253</v>
      </c>
      <c r="N1850" s="43" t="s">
        <v>2983</v>
      </c>
      <c r="O1850" s="66"/>
      <c r="P1850" s="43"/>
      <c r="Q1850" s="43"/>
      <c r="R1850" s="169" t="s">
        <v>2987</v>
      </c>
    </row>
    <row r="1851" spans="1:18" ht="35.25" customHeight="1">
      <c r="A1851" s="15">
        <f t="shared" si="28"/>
        <v>1841</v>
      </c>
      <c r="B1851" s="141" t="s">
        <v>2889</v>
      </c>
      <c r="C1851" s="64" t="s">
        <v>1071</v>
      </c>
      <c r="D1851" s="19"/>
      <c r="E1851" s="19"/>
      <c r="F1851" s="19"/>
      <c r="G1851" s="64"/>
      <c r="H1851" s="141"/>
      <c r="I1851" s="158" t="s">
        <v>18</v>
      </c>
      <c r="J1851" s="158">
        <v>1</v>
      </c>
      <c r="K1851" s="142" t="s">
        <v>730</v>
      </c>
      <c r="L1851" s="43" t="s">
        <v>2982</v>
      </c>
      <c r="M1851" s="276" t="s">
        <v>3253</v>
      </c>
      <c r="N1851" s="43" t="s">
        <v>2983</v>
      </c>
      <c r="O1851" s="269"/>
      <c r="P1851" s="43"/>
      <c r="Q1851" s="43"/>
      <c r="R1851" s="193"/>
    </row>
    <row r="1852" spans="1:18" ht="35.25" customHeight="1">
      <c r="A1852" s="15">
        <f t="shared" si="28"/>
        <v>1842</v>
      </c>
      <c r="B1852" s="146" t="s">
        <v>2890</v>
      </c>
      <c r="C1852" s="64" t="s">
        <v>2891</v>
      </c>
      <c r="D1852" s="19"/>
      <c r="E1852" s="19"/>
      <c r="F1852" s="19"/>
      <c r="G1852" s="64"/>
      <c r="H1852" s="141"/>
      <c r="I1852" s="158" t="s">
        <v>18</v>
      </c>
      <c r="J1852" s="158">
        <v>1</v>
      </c>
      <c r="K1852" s="142" t="s">
        <v>730</v>
      </c>
      <c r="L1852" s="43" t="s">
        <v>2982</v>
      </c>
      <c r="M1852" s="276" t="s">
        <v>3253</v>
      </c>
      <c r="N1852" s="43" t="s">
        <v>2983</v>
      </c>
      <c r="O1852" s="269"/>
      <c r="P1852" s="43"/>
      <c r="Q1852" s="43"/>
      <c r="R1852" s="156"/>
    </row>
    <row r="1853" spans="1:18" ht="35.25" customHeight="1">
      <c r="A1853" s="15">
        <f t="shared" si="28"/>
        <v>1843</v>
      </c>
      <c r="B1853" s="66" t="s">
        <v>2892</v>
      </c>
      <c r="C1853" s="46" t="s">
        <v>2893</v>
      </c>
      <c r="D1853" s="19"/>
      <c r="E1853" s="19"/>
      <c r="F1853" s="19"/>
      <c r="G1853" s="64"/>
      <c r="H1853" s="141"/>
      <c r="I1853" s="158" t="s">
        <v>18</v>
      </c>
      <c r="J1853" s="158">
        <v>1</v>
      </c>
      <c r="K1853" s="142" t="s">
        <v>730</v>
      </c>
      <c r="L1853" s="43" t="s">
        <v>2982</v>
      </c>
      <c r="M1853" s="276" t="s">
        <v>3253</v>
      </c>
      <c r="N1853" s="43" t="s">
        <v>2983</v>
      </c>
      <c r="O1853" s="269"/>
      <c r="P1853" s="43"/>
      <c r="Q1853" s="43"/>
      <c r="R1853" s="169" t="s">
        <v>2988</v>
      </c>
    </row>
    <row r="1854" spans="1:18" ht="35.25" customHeight="1">
      <c r="A1854" s="15">
        <f t="shared" si="28"/>
        <v>1844</v>
      </c>
      <c r="B1854" s="146" t="s">
        <v>2894</v>
      </c>
      <c r="C1854" s="64" t="s">
        <v>2895</v>
      </c>
      <c r="D1854" s="19"/>
      <c r="E1854" s="19"/>
      <c r="F1854" s="19"/>
      <c r="G1854" s="64"/>
      <c r="H1854" s="141"/>
      <c r="I1854" s="158" t="s">
        <v>18</v>
      </c>
      <c r="J1854" s="158">
        <v>1</v>
      </c>
      <c r="K1854" s="142" t="s">
        <v>730</v>
      </c>
      <c r="L1854" s="43" t="s">
        <v>2982</v>
      </c>
      <c r="M1854" s="276" t="s">
        <v>3253</v>
      </c>
      <c r="N1854" s="43" t="s">
        <v>2983</v>
      </c>
      <c r="O1854" s="269"/>
      <c r="P1854" s="43"/>
      <c r="Q1854" s="43"/>
      <c r="R1854" s="156"/>
    </row>
    <row r="1855" spans="1:18" ht="35.25" customHeight="1">
      <c r="A1855" s="15">
        <f t="shared" si="28"/>
        <v>1845</v>
      </c>
      <c r="B1855" s="146" t="s">
        <v>2896</v>
      </c>
      <c r="C1855" s="64" t="s">
        <v>2897</v>
      </c>
      <c r="D1855" s="19"/>
      <c r="E1855" s="19"/>
      <c r="F1855" s="19"/>
      <c r="G1855" s="64"/>
      <c r="H1855" s="141"/>
      <c r="I1855" s="158" t="s">
        <v>18</v>
      </c>
      <c r="J1855" s="158">
        <v>1</v>
      </c>
      <c r="K1855" s="142" t="s">
        <v>730</v>
      </c>
      <c r="L1855" s="43" t="s">
        <v>2982</v>
      </c>
      <c r="M1855" s="276" t="s">
        <v>3253</v>
      </c>
      <c r="N1855" s="43" t="s">
        <v>2983</v>
      </c>
      <c r="O1855" s="269"/>
      <c r="P1855" s="43"/>
      <c r="Q1855" s="43"/>
      <c r="R1855" s="156"/>
    </row>
    <row r="1856" spans="1:18" ht="35.25" customHeight="1">
      <c r="A1856" s="15">
        <f t="shared" si="28"/>
        <v>1846</v>
      </c>
      <c r="B1856" s="141" t="s">
        <v>2898</v>
      </c>
      <c r="C1856" s="64" t="s">
        <v>2899</v>
      </c>
      <c r="D1856" s="19"/>
      <c r="E1856" s="19"/>
      <c r="F1856" s="19"/>
      <c r="G1856" s="64"/>
      <c r="H1856" s="141"/>
      <c r="I1856" s="158" t="s">
        <v>181</v>
      </c>
      <c r="J1856" s="158">
        <v>1</v>
      </c>
      <c r="K1856" s="142" t="s">
        <v>730</v>
      </c>
      <c r="L1856" s="43" t="s">
        <v>2982</v>
      </c>
      <c r="M1856" s="276" t="s">
        <v>3253</v>
      </c>
      <c r="N1856" s="43" t="s">
        <v>2983</v>
      </c>
      <c r="O1856" s="66"/>
      <c r="P1856" s="43"/>
      <c r="Q1856" s="43"/>
      <c r="R1856" s="193"/>
    </row>
    <row r="1857" spans="1:18" ht="35.25" customHeight="1">
      <c r="A1857" s="15">
        <f t="shared" si="28"/>
        <v>1847</v>
      </c>
      <c r="B1857" s="141" t="s">
        <v>2900</v>
      </c>
      <c r="C1857" s="64" t="s">
        <v>2901</v>
      </c>
      <c r="D1857" s="19"/>
      <c r="E1857" s="19"/>
      <c r="F1857" s="19"/>
      <c r="G1857" s="64"/>
      <c r="H1857" s="141"/>
      <c r="I1857" s="158" t="s">
        <v>18</v>
      </c>
      <c r="J1857" s="158">
        <v>1</v>
      </c>
      <c r="K1857" s="142" t="s">
        <v>730</v>
      </c>
      <c r="L1857" s="43" t="s">
        <v>2982</v>
      </c>
      <c r="M1857" s="276" t="s">
        <v>3253</v>
      </c>
      <c r="N1857" s="43" t="s">
        <v>2983</v>
      </c>
      <c r="O1857" s="66"/>
      <c r="P1857" s="43"/>
      <c r="Q1857" s="43"/>
      <c r="R1857" s="193"/>
    </row>
    <row r="1858" spans="1:18" ht="35.25" customHeight="1">
      <c r="A1858" s="15">
        <f t="shared" si="28"/>
        <v>1848</v>
      </c>
      <c r="B1858" s="141" t="s">
        <v>27</v>
      </c>
      <c r="C1858" s="64" t="s">
        <v>2902</v>
      </c>
      <c r="D1858" s="19"/>
      <c r="E1858" s="19"/>
      <c r="F1858" s="19"/>
      <c r="G1858" s="64"/>
      <c r="H1858" s="141"/>
      <c r="I1858" s="158" t="s">
        <v>181</v>
      </c>
      <c r="J1858" s="158">
        <v>1</v>
      </c>
      <c r="K1858" s="142" t="s">
        <v>730</v>
      </c>
      <c r="L1858" s="43" t="s">
        <v>2982</v>
      </c>
      <c r="M1858" s="276" t="s">
        <v>3253</v>
      </c>
      <c r="N1858" s="43" t="s">
        <v>2983</v>
      </c>
      <c r="O1858" s="66"/>
      <c r="P1858" s="43"/>
      <c r="Q1858" s="43"/>
      <c r="R1858" s="156"/>
    </row>
    <row r="1859" spans="1:18" ht="35.25" customHeight="1">
      <c r="A1859" s="15">
        <f t="shared" si="28"/>
        <v>1849</v>
      </c>
      <c r="B1859" s="141" t="s">
        <v>185</v>
      </c>
      <c r="C1859" s="64" t="s">
        <v>184</v>
      </c>
      <c r="D1859" s="19"/>
      <c r="E1859" s="19"/>
      <c r="F1859" s="19"/>
      <c r="G1859" s="64"/>
      <c r="H1859" s="141"/>
      <c r="I1859" s="158" t="s">
        <v>18</v>
      </c>
      <c r="J1859" s="158">
        <v>8</v>
      </c>
      <c r="K1859" s="142" t="s">
        <v>730</v>
      </c>
      <c r="L1859" s="43" t="s">
        <v>2982</v>
      </c>
      <c r="M1859" s="276" t="s">
        <v>3253</v>
      </c>
      <c r="N1859" s="43" t="s">
        <v>2983</v>
      </c>
      <c r="O1859" s="66"/>
      <c r="P1859" s="43"/>
      <c r="Q1859" s="43"/>
      <c r="R1859" s="156"/>
    </row>
    <row r="1860" spans="1:18" ht="35.25" customHeight="1">
      <c r="A1860" s="15">
        <f t="shared" si="28"/>
        <v>1850</v>
      </c>
      <c r="B1860" s="141" t="s">
        <v>2903</v>
      </c>
      <c r="C1860" s="64" t="s">
        <v>2904</v>
      </c>
      <c r="D1860" s="19"/>
      <c r="E1860" s="19"/>
      <c r="F1860" s="19"/>
      <c r="G1860" s="64"/>
      <c r="H1860" s="141"/>
      <c r="I1860" s="158" t="s">
        <v>18</v>
      </c>
      <c r="J1860" s="158">
        <v>1</v>
      </c>
      <c r="K1860" s="142" t="s">
        <v>730</v>
      </c>
      <c r="L1860" s="43" t="s">
        <v>2982</v>
      </c>
      <c r="M1860" s="276" t="s">
        <v>3253</v>
      </c>
      <c r="N1860" s="43" t="s">
        <v>2983</v>
      </c>
      <c r="O1860" s="66"/>
      <c r="P1860" s="43"/>
      <c r="Q1860" s="43"/>
      <c r="R1860" s="156" t="s">
        <v>176</v>
      </c>
    </row>
    <row r="1861" spans="1:18" ht="35.25" customHeight="1">
      <c r="A1861" s="15">
        <f t="shared" si="28"/>
        <v>1851</v>
      </c>
      <c r="B1861" s="141" t="s">
        <v>2905</v>
      </c>
      <c r="C1861" s="64" t="s">
        <v>2906</v>
      </c>
      <c r="D1861" s="19"/>
      <c r="E1861" s="19"/>
      <c r="F1861" s="19"/>
      <c r="G1861" s="64"/>
      <c r="H1861" s="141"/>
      <c r="I1861" s="158" t="s">
        <v>18</v>
      </c>
      <c r="J1861" s="158">
        <v>1</v>
      </c>
      <c r="K1861" s="142" t="s">
        <v>730</v>
      </c>
      <c r="L1861" s="43" t="s">
        <v>2982</v>
      </c>
      <c r="M1861" s="276" t="s">
        <v>3253</v>
      </c>
      <c r="N1861" s="43" t="s">
        <v>2983</v>
      </c>
      <c r="O1861" s="66"/>
      <c r="P1861" s="43"/>
      <c r="Q1861" s="43"/>
      <c r="R1861" s="156" t="s">
        <v>176</v>
      </c>
    </row>
    <row r="1862" spans="1:18" ht="35.25" customHeight="1">
      <c r="A1862" s="15">
        <f t="shared" si="28"/>
        <v>1852</v>
      </c>
      <c r="B1862" s="141" t="s">
        <v>2907</v>
      </c>
      <c r="C1862" s="146" t="s">
        <v>2908</v>
      </c>
      <c r="D1862" s="19"/>
      <c r="E1862" s="19"/>
      <c r="F1862" s="19"/>
      <c r="G1862" s="64"/>
      <c r="H1862" s="141"/>
      <c r="I1862" s="158" t="s">
        <v>18</v>
      </c>
      <c r="J1862" s="158">
        <v>1</v>
      </c>
      <c r="K1862" s="142" t="s">
        <v>730</v>
      </c>
      <c r="L1862" s="43" t="s">
        <v>2982</v>
      </c>
      <c r="M1862" s="276" t="s">
        <v>3253</v>
      </c>
      <c r="N1862" s="43" t="s">
        <v>2983</v>
      </c>
      <c r="O1862" s="66"/>
      <c r="P1862" s="43"/>
      <c r="Q1862" s="43"/>
      <c r="R1862" s="156"/>
    </row>
    <row r="1863" spans="1:18" ht="35.25" customHeight="1">
      <c r="A1863" s="15">
        <f t="shared" si="28"/>
        <v>1853</v>
      </c>
      <c r="B1863" s="141" t="s">
        <v>2909</v>
      </c>
      <c r="C1863" s="146" t="s">
        <v>2910</v>
      </c>
      <c r="D1863" s="19"/>
      <c r="E1863" s="19"/>
      <c r="F1863" s="19"/>
      <c r="G1863" s="64"/>
      <c r="H1863" s="141"/>
      <c r="I1863" s="158" t="s">
        <v>18</v>
      </c>
      <c r="J1863" s="158">
        <v>1</v>
      </c>
      <c r="K1863" s="142" t="s">
        <v>730</v>
      </c>
      <c r="L1863" s="43" t="s">
        <v>2982</v>
      </c>
      <c r="M1863" s="276" t="s">
        <v>3253</v>
      </c>
      <c r="N1863" s="43" t="s">
        <v>2983</v>
      </c>
      <c r="O1863" s="269"/>
      <c r="P1863" s="43"/>
      <c r="Q1863" s="43"/>
      <c r="R1863" s="156"/>
    </row>
    <row r="1864" spans="1:18" ht="35.25" customHeight="1">
      <c r="A1864" s="15">
        <f t="shared" si="28"/>
        <v>1854</v>
      </c>
      <c r="B1864" s="141"/>
      <c r="C1864" s="64" t="s">
        <v>2911</v>
      </c>
      <c r="D1864" s="19"/>
      <c r="E1864" s="19"/>
      <c r="F1864" s="19"/>
      <c r="G1864" s="64"/>
      <c r="H1864" s="141"/>
      <c r="I1864" s="158" t="s">
        <v>18</v>
      </c>
      <c r="J1864" s="158">
        <v>2</v>
      </c>
      <c r="K1864" s="142" t="s">
        <v>730</v>
      </c>
      <c r="L1864" s="43" t="s">
        <v>2982</v>
      </c>
      <c r="M1864" s="276" t="s">
        <v>3253</v>
      </c>
      <c r="N1864" s="43" t="s">
        <v>2983</v>
      </c>
      <c r="O1864" s="269"/>
      <c r="P1864" s="43"/>
      <c r="Q1864" s="43"/>
      <c r="R1864" s="169" t="s">
        <v>2989</v>
      </c>
    </row>
    <row r="1865" spans="1:18" ht="35.25" customHeight="1">
      <c r="A1865" s="15">
        <f t="shared" si="28"/>
        <v>1855</v>
      </c>
      <c r="B1865" s="141"/>
      <c r="C1865" s="64" t="s">
        <v>2912</v>
      </c>
      <c r="D1865" s="19"/>
      <c r="E1865" s="19"/>
      <c r="F1865" s="19"/>
      <c r="G1865" s="64"/>
      <c r="H1865" s="141"/>
      <c r="I1865" s="158" t="s">
        <v>18</v>
      </c>
      <c r="J1865" s="158">
        <v>1</v>
      </c>
      <c r="K1865" s="142" t="s">
        <v>730</v>
      </c>
      <c r="L1865" s="43" t="s">
        <v>2982</v>
      </c>
      <c r="M1865" s="276" t="s">
        <v>3253</v>
      </c>
      <c r="N1865" s="43" t="s">
        <v>2983</v>
      </c>
      <c r="O1865" s="269"/>
      <c r="P1865" s="43"/>
      <c r="Q1865" s="43"/>
      <c r="R1865" s="156"/>
    </row>
    <row r="1866" spans="1:18" ht="35.25" customHeight="1">
      <c r="A1866" s="15">
        <f t="shared" si="28"/>
        <v>1856</v>
      </c>
      <c r="B1866" s="141"/>
      <c r="C1866" s="64" t="s">
        <v>2913</v>
      </c>
      <c r="D1866" s="19"/>
      <c r="E1866" s="19"/>
      <c r="F1866" s="19"/>
      <c r="G1866" s="64"/>
      <c r="H1866" s="141"/>
      <c r="I1866" s="158" t="s">
        <v>18</v>
      </c>
      <c r="J1866" s="158">
        <v>2</v>
      </c>
      <c r="K1866" s="142" t="s">
        <v>730</v>
      </c>
      <c r="L1866" s="43" t="s">
        <v>2982</v>
      </c>
      <c r="M1866" s="276" t="s">
        <v>3253</v>
      </c>
      <c r="N1866" s="43" t="s">
        <v>2983</v>
      </c>
      <c r="O1866" s="269"/>
      <c r="P1866" s="43"/>
      <c r="Q1866" s="43"/>
      <c r="R1866" s="156"/>
    </row>
    <row r="1867" spans="1:18" ht="35.25" customHeight="1">
      <c r="A1867" s="15">
        <f t="shared" si="28"/>
        <v>1857</v>
      </c>
      <c r="B1867" s="141"/>
      <c r="C1867" s="146" t="s">
        <v>2914</v>
      </c>
      <c r="D1867" s="19"/>
      <c r="E1867" s="19"/>
      <c r="F1867" s="19"/>
      <c r="G1867" s="64"/>
      <c r="H1867" s="141"/>
      <c r="I1867" s="158" t="s">
        <v>18</v>
      </c>
      <c r="J1867" s="158">
        <v>2</v>
      </c>
      <c r="K1867" s="142" t="s">
        <v>730</v>
      </c>
      <c r="L1867" s="43" t="s">
        <v>2982</v>
      </c>
      <c r="M1867" s="276" t="s">
        <v>3253</v>
      </c>
      <c r="N1867" s="43" t="s">
        <v>2983</v>
      </c>
      <c r="O1867" s="269"/>
      <c r="P1867" s="43"/>
      <c r="Q1867" s="43"/>
      <c r="R1867" s="156"/>
    </row>
    <row r="1868" spans="1:18" ht="35.25" customHeight="1">
      <c r="A1868" s="15">
        <f t="shared" si="28"/>
        <v>1858</v>
      </c>
      <c r="B1868" s="141" t="s">
        <v>2915</v>
      </c>
      <c r="C1868" s="64" t="s">
        <v>2916</v>
      </c>
      <c r="D1868" s="19"/>
      <c r="E1868" s="19"/>
      <c r="F1868" s="19"/>
      <c r="G1868" s="64"/>
      <c r="H1868" s="141"/>
      <c r="I1868" s="158" t="s">
        <v>18</v>
      </c>
      <c r="J1868" s="158">
        <v>1</v>
      </c>
      <c r="K1868" s="142" t="s">
        <v>730</v>
      </c>
      <c r="L1868" s="43" t="s">
        <v>2982</v>
      </c>
      <c r="M1868" s="276" t="s">
        <v>3253</v>
      </c>
      <c r="N1868" s="43" t="s">
        <v>2983</v>
      </c>
      <c r="O1868" s="269"/>
      <c r="P1868" s="43"/>
      <c r="Q1868" s="43"/>
      <c r="R1868" s="156"/>
    </row>
    <row r="1869" spans="1:18" ht="35.25" customHeight="1">
      <c r="A1869" s="15">
        <f t="shared" si="28"/>
        <v>1859</v>
      </c>
      <c r="B1869" s="141" t="s">
        <v>2917</v>
      </c>
      <c r="C1869" s="64" t="s">
        <v>2918</v>
      </c>
      <c r="D1869" s="19"/>
      <c r="E1869" s="19"/>
      <c r="F1869" s="19"/>
      <c r="G1869" s="64"/>
      <c r="H1869" s="141"/>
      <c r="I1869" s="158" t="s">
        <v>18</v>
      </c>
      <c r="J1869" s="158">
        <v>1</v>
      </c>
      <c r="K1869" s="142" t="s">
        <v>730</v>
      </c>
      <c r="L1869" s="43" t="s">
        <v>2982</v>
      </c>
      <c r="M1869" s="276" t="s">
        <v>3253</v>
      </c>
      <c r="N1869" s="43" t="s">
        <v>2983</v>
      </c>
      <c r="O1869" s="269"/>
      <c r="P1869" s="43"/>
      <c r="Q1869" s="43"/>
      <c r="R1869" s="156"/>
    </row>
    <row r="1870" spans="1:18" ht="35.25" customHeight="1">
      <c r="A1870" s="15">
        <f t="shared" si="28"/>
        <v>1860</v>
      </c>
      <c r="B1870" s="141" t="s">
        <v>2919</v>
      </c>
      <c r="C1870" s="64" t="s">
        <v>2920</v>
      </c>
      <c r="D1870" s="19"/>
      <c r="E1870" s="19"/>
      <c r="F1870" s="19"/>
      <c r="G1870" s="64"/>
      <c r="H1870" s="141"/>
      <c r="I1870" s="158" t="s">
        <v>18</v>
      </c>
      <c r="J1870" s="158">
        <v>1</v>
      </c>
      <c r="K1870" s="142" t="s">
        <v>730</v>
      </c>
      <c r="L1870" s="43" t="s">
        <v>2982</v>
      </c>
      <c r="M1870" s="276" t="s">
        <v>3253</v>
      </c>
      <c r="N1870" s="43" t="s">
        <v>2983</v>
      </c>
      <c r="O1870" s="269"/>
      <c r="P1870" s="43"/>
      <c r="Q1870" s="43"/>
      <c r="R1870" s="169" t="s">
        <v>3221</v>
      </c>
    </row>
    <row r="1871" spans="1:18" ht="35.25" customHeight="1">
      <c r="A1871" s="15">
        <f t="shared" si="28"/>
        <v>1861</v>
      </c>
      <c r="B1871" s="9" t="s">
        <v>2921</v>
      </c>
      <c r="C1871" s="14" t="s">
        <v>2922</v>
      </c>
      <c r="D1871" s="19"/>
      <c r="E1871" s="19"/>
      <c r="F1871" s="19"/>
      <c r="G1871" s="64"/>
      <c r="H1871" s="141"/>
      <c r="I1871" s="158" t="s">
        <v>18</v>
      </c>
      <c r="J1871" s="158">
        <v>1</v>
      </c>
      <c r="K1871" s="142" t="s">
        <v>730</v>
      </c>
      <c r="L1871" s="43" t="s">
        <v>2982</v>
      </c>
      <c r="M1871" s="276" t="s">
        <v>3253</v>
      </c>
      <c r="N1871" s="43" t="s">
        <v>2983</v>
      </c>
      <c r="O1871" s="269"/>
      <c r="P1871" s="43"/>
      <c r="Q1871" s="43"/>
      <c r="R1871" s="44"/>
    </row>
    <row r="1872" spans="1:18" ht="35.25" customHeight="1">
      <c r="A1872" s="15">
        <f t="shared" si="28"/>
        <v>1862</v>
      </c>
      <c r="B1872" s="9" t="s">
        <v>2923</v>
      </c>
      <c r="C1872" s="14" t="s">
        <v>2924</v>
      </c>
      <c r="D1872" s="19"/>
      <c r="E1872" s="19"/>
      <c r="F1872" s="19"/>
      <c r="G1872" s="64"/>
      <c r="H1872" s="141"/>
      <c r="I1872" s="158" t="s">
        <v>18</v>
      </c>
      <c r="J1872" s="158">
        <v>1</v>
      </c>
      <c r="K1872" s="142" t="s">
        <v>730</v>
      </c>
      <c r="L1872" s="43" t="s">
        <v>2982</v>
      </c>
      <c r="M1872" s="276" t="s">
        <v>3253</v>
      </c>
      <c r="N1872" s="43" t="s">
        <v>2983</v>
      </c>
      <c r="O1872" s="66"/>
      <c r="P1872" s="43"/>
      <c r="Q1872" s="43"/>
      <c r="R1872" s="44"/>
    </row>
    <row r="1873" spans="1:18" ht="35.25" customHeight="1">
      <c r="A1873" s="15">
        <f t="shared" si="28"/>
        <v>1863</v>
      </c>
      <c r="B1873" s="9" t="s">
        <v>2925</v>
      </c>
      <c r="C1873" s="14" t="s">
        <v>234</v>
      </c>
      <c r="D1873" s="19"/>
      <c r="E1873" s="19"/>
      <c r="F1873" s="19"/>
      <c r="G1873" s="64"/>
      <c r="H1873" s="141"/>
      <c r="I1873" s="158" t="s">
        <v>18</v>
      </c>
      <c r="J1873" s="158">
        <v>1</v>
      </c>
      <c r="K1873" s="142" t="s">
        <v>730</v>
      </c>
      <c r="L1873" s="43" t="s">
        <v>2982</v>
      </c>
      <c r="M1873" s="276" t="s">
        <v>3253</v>
      </c>
      <c r="N1873" s="43" t="s">
        <v>2983</v>
      </c>
      <c r="O1873" s="66"/>
      <c r="P1873" s="43"/>
      <c r="Q1873" s="43"/>
      <c r="R1873" s="44"/>
    </row>
    <row r="1874" spans="1:18" ht="35.25" customHeight="1">
      <c r="A1874" s="15">
        <f t="shared" si="28"/>
        <v>1864</v>
      </c>
      <c r="B1874" s="9" t="s">
        <v>2926</v>
      </c>
      <c r="C1874" s="14" t="s">
        <v>2927</v>
      </c>
      <c r="D1874" s="19"/>
      <c r="E1874" s="19"/>
      <c r="F1874" s="19"/>
      <c r="G1874" s="64"/>
      <c r="H1874" s="141"/>
      <c r="I1874" s="158" t="s">
        <v>18</v>
      </c>
      <c r="J1874" s="158">
        <v>1</v>
      </c>
      <c r="K1874" s="142" t="s">
        <v>730</v>
      </c>
      <c r="L1874" s="43" t="s">
        <v>2982</v>
      </c>
      <c r="M1874" s="276" t="s">
        <v>3253</v>
      </c>
      <c r="N1874" s="43" t="s">
        <v>2983</v>
      </c>
      <c r="O1874" s="269"/>
      <c r="P1874" s="43"/>
      <c r="Q1874" s="43"/>
      <c r="R1874" s="44"/>
    </row>
    <row r="1875" spans="1:18" ht="35.25" customHeight="1">
      <c r="A1875" s="15">
        <f t="shared" ref="A1875:A1938" si="29">A1874+1</f>
        <v>1865</v>
      </c>
      <c r="B1875" s="9" t="s">
        <v>2928</v>
      </c>
      <c r="C1875" s="14" t="s">
        <v>2929</v>
      </c>
      <c r="D1875" s="19"/>
      <c r="E1875" s="19"/>
      <c r="F1875" s="19"/>
      <c r="G1875" s="64"/>
      <c r="H1875" s="141"/>
      <c r="I1875" s="158" t="s">
        <v>18</v>
      </c>
      <c r="J1875" s="158">
        <v>1</v>
      </c>
      <c r="K1875" s="142" t="s">
        <v>730</v>
      </c>
      <c r="L1875" s="43" t="s">
        <v>2982</v>
      </c>
      <c r="M1875" s="276" t="s">
        <v>3253</v>
      </c>
      <c r="N1875" s="43" t="s">
        <v>2983</v>
      </c>
      <c r="O1875" s="269"/>
      <c r="P1875" s="43"/>
      <c r="Q1875" s="43"/>
      <c r="R1875" s="44"/>
    </row>
    <row r="1876" spans="1:18" ht="35.25" customHeight="1">
      <c r="A1876" s="15">
        <f t="shared" si="29"/>
        <v>1866</v>
      </c>
      <c r="B1876" s="150" t="s">
        <v>2930</v>
      </c>
      <c r="C1876" s="150" t="s">
        <v>2931</v>
      </c>
      <c r="D1876" s="19"/>
      <c r="E1876" s="19"/>
      <c r="F1876" s="19"/>
      <c r="G1876" s="64"/>
      <c r="H1876" s="141"/>
      <c r="I1876" s="158" t="s">
        <v>18</v>
      </c>
      <c r="J1876" s="158">
        <v>1</v>
      </c>
      <c r="K1876" s="142" t="s">
        <v>730</v>
      </c>
      <c r="L1876" s="43" t="s">
        <v>2982</v>
      </c>
      <c r="M1876" s="276" t="s">
        <v>3253</v>
      </c>
      <c r="N1876" s="43" t="s">
        <v>2983</v>
      </c>
      <c r="O1876" s="269"/>
      <c r="P1876" s="43"/>
      <c r="Q1876" s="43"/>
      <c r="R1876" s="44"/>
    </row>
    <row r="1877" spans="1:18" ht="35.25" customHeight="1">
      <c r="A1877" s="15">
        <f t="shared" si="29"/>
        <v>1867</v>
      </c>
      <c r="B1877" s="150" t="s">
        <v>2932</v>
      </c>
      <c r="C1877" s="150" t="s">
        <v>2933</v>
      </c>
      <c r="D1877" s="19"/>
      <c r="E1877" s="19"/>
      <c r="F1877" s="19"/>
      <c r="G1877" s="64"/>
      <c r="H1877" s="141"/>
      <c r="I1877" s="158" t="s">
        <v>18</v>
      </c>
      <c r="J1877" s="158">
        <v>1</v>
      </c>
      <c r="K1877" s="142" t="s">
        <v>730</v>
      </c>
      <c r="L1877" s="43" t="s">
        <v>2982</v>
      </c>
      <c r="M1877" s="276" t="s">
        <v>3253</v>
      </c>
      <c r="N1877" s="43" t="s">
        <v>2983</v>
      </c>
      <c r="O1877" s="269"/>
      <c r="P1877" s="43"/>
      <c r="Q1877" s="43"/>
      <c r="R1877" s="44"/>
    </row>
    <row r="1878" spans="1:18" ht="35.25" customHeight="1">
      <c r="A1878" s="15">
        <f t="shared" si="29"/>
        <v>1868</v>
      </c>
      <c r="B1878" s="150" t="s">
        <v>2934</v>
      </c>
      <c r="C1878" s="150" t="s">
        <v>2935</v>
      </c>
      <c r="D1878" s="19"/>
      <c r="E1878" s="19"/>
      <c r="F1878" s="19"/>
      <c r="G1878" s="64"/>
      <c r="H1878" s="141"/>
      <c r="I1878" s="158" t="s">
        <v>18</v>
      </c>
      <c r="J1878" s="158">
        <v>1</v>
      </c>
      <c r="K1878" s="142" t="s">
        <v>730</v>
      </c>
      <c r="L1878" s="43" t="s">
        <v>2982</v>
      </c>
      <c r="M1878" s="276" t="s">
        <v>3253</v>
      </c>
      <c r="N1878" s="43" t="s">
        <v>2983</v>
      </c>
      <c r="O1878" s="66"/>
      <c r="P1878" s="43"/>
      <c r="Q1878" s="43"/>
      <c r="R1878" s="44"/>
    </row>
    <row r="1879" spans="1:18" ht="35.25" customHeight="1">
      <c r="A1879" s="15">
        <f t="shared" si="29"/>
        <v>1869</v>
      </c>
      <c r="B1879" s="150" t="s">
        <v>2936</v>
      </c>
      <c r="C1879" s="150" t="s">
        <v>2935</v>
      </c>
      <c r="D1879" s="19"/>
      <c r="E1879" s="19"/>
      <c r="F1879" s="19"/>
      <c r="G1879" s="64"/>
      <c r="H1879" s="141"/>
      <c r="I1879" s="158" t="s">
        <v>18</v>
      </c>
      <c r="J1879" s="158">
        <v>1</v>
      </c>
      <c r="K1879" s="142" t="s">
        <v>730</v>
      </c>
      <c r="L1879" s="43" t="s">
        <v>2982</v>
      </c>
      <c r="M1879" s="276" t="s">
        <v>3253</v>
      </c>
      <c r="N1879" s="43" t="s">
        <v>2983</v>
      </c>
      <c r="O1879" s="66"/>
      <c r="P1879" s="43"/>
      <c r="Q1879" s="43"/>
      <c r="R1879" s="44"/>
    </row>
    <row r="1880" spans="1:18" ht="35.25" customHeight="1">
      <c r="A1880" s="15">
        <f t="shared" si="29"/>
        <v>1870</v>
      </c>
      <c r="B1880" s="150" t="s">
        <v>2937</v>
      </c>
      <c r="C1880" s="150" t="s">
        <v>2935</v>
      </c>
      <c r="D1880" s="19"/>
      <c r="E1880" s="19"/>
      <c r="F1880" s="19"/>
      <c r="G1880" s="64"/>
      <c r="H1880" s="141"/>
      <c r="I1880" s="158" t="s">
        <v>18</v>
      </c>
      <c r="J1880" s="158">
        <v>1</v>
      </c>
      <c r="K1880" s="142" t="s">
        <v>730</v>
      </c>
      <c r="L1880" s="43" t="s">
        <v>2982</v>
      </c>
      <c r="M1880" s="276" t="s">
        <v>3253</v>
      </c>
      <c r="N1880" s="43" t="s">
        <v>2983</v>
      </c>
      <c r="O1880" s="66"/>
      <c r="P1880" s="43"/>
      <c r="Q1880" s="43"/>
      <c r="R1880" s="44"/>
    </row>
    <row r="1881" spans="1:18" ht="35.25" customHeight="1">
      <c r="A1881" s="15">
        <f t="shared" si="29"/>
        <v>1871</v>
      </c>
      <c r="B1881" s="150" t="s">
        <v>2938</v>
      </c>
      <c r="C1881" s="150" t="s">
        <v>2935</v>
      </c>
      <c r="D1881" s="19"/>
      <c r="E1881" s="19"/>
      <c r="F1881" s="19"/>
      <c r="G1881" s="64"/>
      <c r="H1881" s="141"/>
      <c r="I1881" s="158" t="s">
        <v>18</v>
      </c>
      <c r="J1881" s="158">
        <v>1</v>
      </c>
      <c r="K1881" s="142" t="s">
        <v>730</v>
      </c>
      <c r="L1881" s="43" t="s">
        <v>2982</v>
      </c>
      <c r="M1881" s="276" t="s">
        <v>3253</v>
      </c>
      <c r="N1881" s="43" t="s">
        <v>2983</v>
      </c>
      <c r="O1881" s="66"/>
      <c r="P1881" s="43"/>
      <c r="Q1881" s="43"/>
      <c r="R1881" s="44"/>
    </row>
    <row r="1882" spans="1:18" ht="35.25" customHeight="1">
      <c r="A1882" s="15">
        <f t="shared" si="29"/>
        <v>1872</v>
      </c>
      <c r="B1882" s="150" t="s">
        <v>2939</v>
      </c>
      <c r="C1882" s="150" t="s">
        <v>2935</v>
      </c>
      <c r="D1882" s="19"/>
      <c r="E1882" s="19"/>
      <c r="F1882" s="19"/>
      <c r="G1882" s="64"/>
      <c r="H1882" s="141"/>
      <c r="I1882" s="158" t="s">
        <v>18</v>
      </c>
      <c r="J1882" s="158">
        <v>1</v>
      </c>
      <c r="K1882" s="142" t="s">
        <v>730</v>
      </c>
      <c r="L1882" s="43" t="s">
        <v>2982</v>
      </c>
      <c r="M1882" s="276" t="s">
        <v>3253</v>
      </c>
      <c r="N1882" s="43" t="s">
        <v>2983</v>
      </c>
      <c r="O1882" s="66"/>
      <c r="P1882" s="43"/>
      <c r="Q1882" s="43"/>
      <c r="R1882" s="44"/>
    </row>
    <row r="1883" spans="1:18" ht="35.25" customHeight="1">
      <c r="A1883" s="15">
        <f t="shared" si="29"/>
        <v>1873</v>
      </c>
      <c r="B1883" s="150" t="s">
        <v>2940</v>
      </c>
      <c r="C1883" s="150" t="s">
        <v>2935</v>
      </c>
      <c r="D1883" s="19"/>
      <c r="E1883" s="19"/>
      <c r="F1883" s="19"/>
      <c r="G1883" s="64"/>
      <c r="H1883" s="141"/>
      <c r="I1883" s="158" t="s">
        <v>18</v>
      </c>
      <c r="J1883" s="158">
        <v>1</v>
      </c>
      <c r="K1883" s="142" t="s">
        <v>730</v>
      </c>
      <c r="L1883" s="43" t="s">
        <v>2982</v>
      </c>
      <c r="M1883" s="276" t="s">
        <v>3253</v>
      </c>
      <c r="N1883" s="43" t="s">
        <v>2983</v>
      </c>
      <c r="O1883" s="66"/>
      <c r="P1883" s="43"/>
      <c r="Q1883" s="43"/>
      <c r="R1883" s="44"/>
    </row>
    <row r="1884" spans="1:18" ht="35.25" customHeight="1">
      <c r="A1884" s="15">
        <f t="shared" si="29"/>
        <v>1874</v>
      </c>
      <c r="B1884" s="150" t="s">
        <v>2941</v>
      </c>
      <c r="C1884" s="150" t="s">
        <v>2935</v>
      </c>
      <c r="D1884" s="19"/>
      <c r="E1884" s="19"/>
      <c r="F1884" s="19"/>
      <c r="G1884" s="64"/>
      <c r="H1884" s="141"/>
      <c r="I1884" s="158" t="s">
        <v>18</v>
      </c>
      <c r="J1884" s="158">
        <v>1</v>
      </c>
      <c r="K1884" s="142" t="s">
        <v>730</v>
      </c>
      <c r="L1884" s="43" t="s">
        <v>2982</v>
      </c>
      <c r="M1884" s="276" t="s">
        <v>3253</v>
      </c>
      <c r="N1884" s="43" t="s">
        <v>2983</v>
      </c>
      <c r="O1884" s="66"/>
      <c r="P1884" s="43"/>
      <c r="Q1884" s="43"/>
      <c r="R1884" s="44"/>
    </row>
    <row r="1885" spans="1:18" ht="35.25" customHeight="1">
      <c r="A1885" s="15">
        <f t="shared" si="29"/>
        <v>1875</v>
      </c>
      <c r="B1885" s="150" t="s">
        <v>2942</v>
      </c>
      <c r="C1885" s="150" t="s">
        <v>2935</v>
      </c>
      <c r="D1885" s="19"/>
      <c r="E1885" s="19"/>
      <c r="F1885" s="19"/>
      <c r="G1885" s="64"/>
      <c r="H1885" s="141"/>
      <c r="I1885" s="158" t="s">
        <v>18</v>
      </c>
      <c r="J1885" s="158">
        <v>1</v>
      </c>
      <c r="K1885" s="142" t="s">
        <v>730</v>
      </c>
      <c r="L1885" s="43" t="s">
        <v>2982</v>
      </c>
      <c r="M1885" s="276" t="s">
        <v>3253</v>
      </c>
      <c r="N1885" s="43" t="s">
        <v>2983</v>
      </c>
      <c r="O1885" s="66"/>
      <c r="P1885" s="43"/>
      <c r="Q1885" s="43"/>
      <c r="R1885" s="44"/>
    </row>
    <row r="1886" spans="1:18" ht="35.25" customHeight="1">
      <c r="A1886" s="15">
        <f t="shared" si="29"/>
        <v>1876</v>
      </c>
      <c r="B1886" s="150" t="s">
        <v>2943</v>
      </c>
      <c r="C1886" s="150" t="s">
        <v>2935</v>
      </c>
      <c r="D1886" s="19"/>
      <c r="E1886" s="19"/>
      <c r="F1886" s="19"/>
      <c r="G1886" s="64"/>
      <c r="H1886" s="141"/>
      <c r="I1886" s="158" t="s">
        <v>18</v>
      </c>
      <c r="J1886" s="158">
        <v>1</v>
      </c>
      <c r="K1886" s="142" t="s">
        <v>730</v>
      </c>
      <c r="L1886" s="43" t="s">
        <v>2982</v>
      </c>
      <c r="M1886" s="276" t="s">
        <v>3253</v>
      </c>
      <c r="N1886" s="43" t="s">
        <v>2983</v>
      </c>
      <c r="O1886" s="66"/>
      <c r="P1886" s="43"/>
      <c r="Q1886" s="43"/>
      <c r="R1886" s="44"/>
    </row>
    <row r="1887" spans="1:18" ht="35.25" customHeight="1">
      <c r="A1887" s="15">
        <f t="shared" si="29"/>
        <v>1877</v>
      </c>
      <c r="B1887" s="150" t="s">
        <v>2944</v>
      </c>
      <c r="C1887" s="150" t="s">
        <v>2935</v>
      </c>
      <c r="D1887" s="19"/>
      <c r="E1887" s="19"/>
      <c r="F1887" s="19"/>
      <c r="G1887" s="64"/>
      <c r="H1887" s="141"/>
      <c r="I1887" s="158" t="s">
        <v>18</v>
      </c>
      <c r="J1887" s="158">
        <v>1</v>
      </c>
      <c r="K1887" s="142" t="s">
        <v>730</v>
      </c>
      <c r="L1887" s="43" t="s">
        <v>2982</v>
      </c>
      <c r="M1887" s="276" t="s">
        <v>3253</v>
      </c>
      <c r="N1887" s="43" t="s">
        <v>2983</v>
      </c>
      <c r="O1887" s="66"/>
      <c r="P1887" s="43"/>
      <c r="Q1887" s="43"/>
      <c r="R1887" s="44"/>
    </row>
    <row r="1888" spans="1:18" ht="35.25" customHeight="1">
      <c r="A1888" s="15">
        <f t="shared" si="29"/>
        <v>1878</v>
      </c>
      <c r="B1888" s="150" t="s">
        <v>2945</v>
      </c>
      <c r="C1888" s="150" t="s">
        <v>2946</v>
      </c>
      <c r="D1888" s="19"/>
      <c r="E1888" s="19"/>
      <c r="F1888" s="19"/>
      <c r="G1888" s="64"/>
      <c r="H1888" s="141"/>
      <c r="I1888" s="158" t="s">
        <v>18</v>
      </c>
      <c r="J1888" s="158">
        <v>1</v>
      </c>
      <c r="K1888" s="142" t="s">
        <v>730</v>
      </c>
      <c r="L1888" s="43" t="s">
        <v>2982</v>
      </c>
      <c r="M1888" s="276" t="s">
        <v>3253</v>
      </c>
      <c r="N1888" s="43" t="s">
        <v>2983</v>
      </c>
      <c r="O1888" s="66"/>
      <c r="P1888" s="43"/>
      <c r="Q1888" s="43"/>
      <c r="R1888" s="44"/>
    </row>
    <row r="1889" spans="1:18" ht="35.25" customHeight="1">
      <c r="A1889" s="15">
        <f t="shared" si="29"/>
        <v>1879</v>
      </c>
      <c r="B1889" s="150" t="s">
        <v>2947</v>
      </c>
      <c r="C1889" s="150" t="s">
        <v>2948</v>
      </c>
      <c r="D1889" s="19"/>
      <c r="E1889" s="19"/>
      <c r="F1889" s="19"/>
      <c r="G1889" s="64"/>
      <c r="H1889" s="141"/>
      <c r="I1889" s="158" t="s">
        <v>18</v>
      </c>
      <c r="J1889" s="158">
        <v>1</v>
      </c>
      <c r="K1889" s="142" t="s">
        <v>730</v>
      </c>
      <c r="L1889" s="43" t="s">
        <v>2982</v>
      </c>
      <c r="M1889" s="276" t="s">
        <v>3253</v>
      </c>
      <c r="N1889" s="43" t="s">
        <v>2983</v>
      </c>
      <c r="O1889" s="66"/>
      <c r="P1889" s="43"/>
      <c r="Q1889" s="43"/>
      <c r="R1889" s="44"/>
    </row>
    <row r="1890" spans="1:18" ht="35.25" customHeight="1">
      <c r="A1890" s="15">
        <f t="shared" si="29"/>
        <v>1880</v>
      </c>
      <c r="B1890" s="150" t="s">
        <v>2949</v>
      </c>
      <c r="C1890" s="150" t="s">
        <v>2948</v>
      </c>
      <c r="D1890" s="19"/>
      <c r="E1890" s="19"/>
      <c r="F1890" s="19"/>
      <c r="G1890" s="64"/>
      <c r="H1890" s="141"/>
      <c r="I1890" s="158" t="s">
        <v>18</v>
      </c>
      <c r="J1890" s="158">
        <v>1</v>
      </c>
      <c r="K1890" s="142" t="s">
        <v>730</v>
      </c>
      <c r="L1890" s="43" t="s">
        <v>2982</v>
      </c>
      <c r="M1890" s="276" t="s">
        <v>3253</v>
      </c>
      <c r="N1890" s="43" t="s">
        <v>2983</v>
      </c>
      <c r="O1890" s="66"/>
      <c r="P1890" s="43"/>
      <c r="Q1890" s="43"/>
      <c r="R1890" s="44"/>
    </row>
    <row r="1891" spans="1:18" ht="35.25" customHeight="1">
      <c r="A1891" s="15">
        <f t="shared" si="29"/>
        <v>1881</v>
      </c>
      <c r="B1891" s="144" t="s">
        <v>2950</v>
      </c>
      <c r="C1891" s="150" t="s">
        <v>2951</v>
      </c>
      <c r="D1891" s="19"/>
      <c r="E1891" s="19"/>
      <c r="F1891" s="19"/>
      <c r="G1891" s="64"/>
      <c r="H1891" s="141"/>
      <c r="I1891" s="153" t="s">
        <v>18</v>
      </c>
      <c r="J1891" s="153">
        <v>1</v>
      </c>
      <c r="K1891" s="142" t="s">
        <v>730</v>
      </c>
      <c r="L1891" s="43" t="s">
        <v>2982</v>
      </c>
      <c r="M1891" s="276" t="s">
        <v>3259</v>
      </c>
      <c r="N1891" s="43" t="s">
        <v>2541</v>
      </c>
      <c r="O1891" s="270">
        <v>44987</v>
      </c>
      <c r="P1891" s="43"/>
      <c r="Q1891" s="43"/>
      <c r="R1891" s="44"/>
    </row>
    <row r="1892" spans="1:18" ht="35.25" customHeight="1">
      <c r="A1892" s="15">
        <f t="shared" si="29"/>
        <v>1882</v>
      </c>
      <c r="B1892" s="144" t="s">
        <v>2952</v>
      </c>
      <c r="C1892" s="150" t="s">
        <v>2951</v>
      </c>
      <c r="D1892" s="19"/>
      <c r="E1892" s="19"/>
      <c r="F1892" s="19"/>
      <c r="G1892" s="64"/>
      <c r="H1892" s="141"/>
      <c r="I1892" s="153" t="s">
        <v>18</v>
      </c>
      <c r="J1892" s="153">
        <v>1</v>
      </c>
      <c r="K1892" s="142" t="s">
        <v>730</v>
      </c>
      <c r="L1892" s="43" t="s">
        <v>2982</v>
      </c>
      <c r="M1892" s="276" t="s">
        <v>3259</v>
      </c>
      <c r="N1892" s="43" t="s">
        <v>2541</v>
      </c>
      <c r="O1892" s="270">
        <v>44987</v>
      </c>
      <c r="P1892" s="43"/>
      <c r="Q1892" s="43"/>
      <c r="R1892" s="44"/>
    </row>
    <row r="1893" spans="1:18" ht="35.25" customHeight="1">
      <c r="A1893" s="15">
        <f t="shared" si="29"/>
        <v>1883</v>
      </c>
      <c r="B1893" s="144" t="s">
        <v>2953</v>
      </c>
      <c r="C1893" s="150" t="s">
        <v>2951</v>
      </c>
      <c r="D1893" s="19"/>
      <c r="E1893" s="19"/>
      <c r="F1893" s="19"/>
      <c r="G1893" s="64"/>
      <c r="H1893" s="141"/>
      <c r="I1893" s="153" t="s">
        <v>18</v>
      </c>
      <c r="J1893" s="153">
        <v>1</v>
      </c>
      <c r="K1893" s="142" t="s">
        <v>730</v>
      </c>
      <c r="L1893" s="43" t="s">
        <v>2982</v>
      </c>
      <c r="M1893" s="276" t="s">
        <v>3259</v>
      </c>
      <c r="N1893" s="43" t="s">
        <v>2541</v>
      </c>
      <c r="O1893" s="270">
        <v>44987</v>
      </c>
      <c r="P1893" s="43"/>
      <c r="Q1893" s="43"/>
      <c r="R1893" s="44"/>
    </row>
    <row r="1894" spans="1:18" ht="35.25" customHeight="1">
      <c r="A1894" s="15">
        <f t="shared" si="29"/>
        <v>1884</v>
      </c>
      <c r="B1894" s="144" t="s">
        <v>2954</v>
      </c>
      <c r="C1894" s="150" t="s">
        <v>2955</v>
      </c>
      <c r="D1894" s="19"/>
      <c r="E1894" s="19"/>
      <c r="F1894" s="19"/>
      <c r="G1894" s="64"/>
      <c r="H1894" s="141"/>
      <c r="I1894" s="153" t="s">
        <v>18</v>
      </c>
      <c r="J1894" s="153">
        <v>1</v>
      </c>
      <c r="K1894" s="142" t="s">
        <v>730</v>
      </c>
      <c r="L1894" s="43" t="s">
        <v>2982</v>
      </c>
      <c r="M1894" s="276" t="s">
        <v>3259</v>
      </c>
      <c r="N1894" s="43" t="s">
        <v>2541</v>
      </c>
      <c r="O1894" s="270">
        <v>44987</v>
      </c>
      <c r="P1894" s="43"/>
      <c r="Q1894" s="43"/>
      <c r="R1894" s="44"/>
    </row>
    <row r="1895" spans="1:18" ht="35.25" customHeight="1">
      <c r="A1895" s="15">
        <f t="shared" si="29"/>
        <v>1885</v>
      </c>
      <c r="B1895" s="144" t="s">
        <v>2956</v>
      </c>
      <c r="C1895" s="150" t="s">
        <v>2955</v>
      </c>
      <c r="D1895" s="19"/>
      <c r="E1895" s="19"/>
      <c r="F1895" s="19"/>
      <c r="G1895" s="64"/>
      <c r="H1895" s="141"/>
      <c r="I1895" s="153" t="s">
        <v>18</v>
      </c>
      <c r="J1895" s="153">
        <v>1</v>
      </c>
      <c r="K1895" s="142" t="s">
        <v>730</v>
      </c>
      <c r="L1895" s="43" t="s">
        <v>2982</v>
      </c>
      <c r="M1895" s="276" t="s">
        <v>3259</v>
      </c>
      <c r="N1895" s="43" t="s">
        <v>2541</v>
      </c>
      <c r="O1895" s="270">
        <v>44987</v>
      </c>
      <c r="P1895" s="43"/>
      <c r="Q1895" s="43"/>
      <c r="R1895" s="44"/>
    </row>
    <row r="1896" spans="1:18" ht="35.25" customHeight="1">
      <c r="A1896" s="15">
        <f t="shared" si="29"/>
        <v>1886</v>
      </c>
      <c r="B1896" s="144" t="s">
        <v>2957</v>
      </c>
      <c r="C1896" s="150" t="s">
        <v>2955</v>
      </c>
      <c r="D1896" s="19"/>
      <c r="E1896" s="19"/>
      <c r="F1896" s="19"/>
      <c r="G1896" s="64"/>
      <c r="H1896" s="141"/>
      <c r="I1896" s="153" t="s">
        <v>18</v>
      </c>
      <c r="J1896" s="153">
        <v>1</v>
      </c>
      <c r="K1896" s="142" t="s">
        <v>730</v>
      </c>
      <c r="L1896" s="43" t="s">
        <v>2982</v>
      </c>
      <c r="M1896" s="276" t="s">
        <v>3259</v>
      </c>
      <c r="N1896" s="43" t="s">
        <v>2541</v>
      </c>
      <c r="O1896" s="270">
        <v>44987</v>
      </c>
      <c r="P1896" s="43"/>
      <c r="Q1896" s="43"/>
      <c r="R1896" s="44"/>
    </row>
    <row r="1897" spans="1:18" ht="35.25" customHeight="1">
      <c r="A1897" s="15">
        <f t="shared" si="29"/>
        <v>1887</v>
      </c>
      <c r="B1897" s="152" t="s">
        <v>2958</v>
      </c>
      <c r="C1897" s="150" t="s">
        <v>2959</v>
      </c>
      <c r="D1897" s="19"/>
      <c r="E1897" s="19"/>
      <c r="F1897" s="19"/>
      <c r="G1897" s="64"/>
      <c r="H1897" s="141"/>
      <c r="I1897" s="153" t="s">
        <v>18</v>
      </c>
      <c r="J1897" s="153">
        <v>1</v>
      </c>
      <c r="K1897" s="142" t="s">
        <v>730</v>
      </c>
      <c r="L1897" s="43" t="s">
        <v>2982</v>
      </c>
      <c r="M1897" s="276" t="s">
        <v>3259</v>
      </c>
      <c r="N1897" s="43" t="s">
        <v>2541</v>
      </c>
      <c r="O1897" s="270">
        <v>44987</v>
      </c>
      <c r="P1897" s="43"/>
      <c r="Q1897" s="43"/>
      <c r="R1897" s="44"/>
    </row>
    <row r="1898" spans="1:18" ht="35.25" customHeight="1">
      <c r="A1898" s="15">
        <f t="shared" si="29"/>
        <v>1888</v>
      </c>
      <c r="B1898" s="152" t="s">
        <v>2960</v>
      </c>
      <c r="C1898" s="150" t="s">
        <v>2959</v>
      </c>
      <c r="D1898" s="19"/>
      <c r="E1898" s="19"/>
      <c r="F1898" s="19"/>
      <c r="G1898" s="64"/>
      <c r="H1898" s="141"/>
      <c r="I1898" s="153" t="s">
        <v>18</v>
      </c>
      <c r="J1898" s="153">
        <v>1</v>
      </c>
      <c r="K1898" s="142" t="s">
        <v>730</v>
      </c>
      <c r="L1898" s="43" t="s">
        <v>2982</v>
      </c>
      <c r="M1898" s="276" t="s">
        <v>3259</v>
      </c>
      <c r="N1898" s="43" t="s">
        <v>2541</v>
      </c>
      <c r="O1898" s="270">
        <v>44987</v>
      </c>
      <c r="P1898" s="43"/>
      <c r="Q1898" s="43"/>
      <c r="R1898" s="44"/>
    </row>
    <row r="1899" spans="1:18" ht="35.25" customHeight="1">
      <c r="A1899" s="15">
        <f t="shared" si="29"/>
        <v>1889</v>
      </c>
      <c r="B1899" s="152" t="s">
        <v>2961</v>
      </c>
      <c r="C1899" s="150" t="s">
        <v>2959</v>
      </c>
      <c r="D1899" s="19"/>
      <c r="E1899" s="19"/>
      <c r="F1899" s="19"/>
      <c r="G1899" s="64"/>
      <c r="H1899" s="141"/>
      <c r="I1899" s="153" t="s">
        <v>18</v>
      </c>
      <c r="J1899" s="153">
        <v>1</v>
      </c>
      <c r="K1899" s="142" t="s">
        <v>730</v>
      </c>
      <c r="L1899" s="43" t="s">
        <v>2982</v>
      </c>
      <c r="M1899" s="276" t="s">
        <v>3259</v>
      </c>
      <c r="N1899" s="43" t="s">
        <v>2541</v>
      </c>
      <c r="O1899" s="270">
        <v>44987</v>
      </c>
      <c r="P1899" s="43"/>
      <c r="Q1899" s="43"/>
      <c r="R1899" s="44"/>
    </row>
    <row r="1900" spans="1:18" ht="35.25" customHeight="1">
      <c r="A1900" s="15">
        <f t="shared" si="29"/>
        <v>1890</v>
      </c>
      <c r="B1900" s="152" t="s">
        <v>2962</v>
      </c>
      <c r="C1900" s="150" t="s">
        <v>2963</v>
      </c>
      <c r="D1900" s="19"/>
      <c r="E1900" s="19"/>
      <c r="F1900" s="19"/>
      <c r="G1900" s="64"/>
      <c r="H1900" s="141"/>
      <c r="I1900" s="153" t="s">
        <v>18</v>
      </c>
      <c r="J1900" s="153">
        <v>1</v>
      </c>
      <c r="K1900" s="142" t="s">
        <v>730</v>
      </c>
      <c r="L1900" s="43" t="s">
        <v>2982</v>
      </c>
      <c r="M1900" s="276" t="s">
        <v>3259</v>
      </c>
      <c r="N1900" s="43" t="s">
        <v>2541</v>
      </c>
      <c r="O1900" s="270">
        <v>44987</v>
      </c>
      <c r="P1900" s="43"/>
      <c r="Q1900" s="43"/>
      <c r="R1900" s="44"/>
    </row>
    <row r="1901" spans="1:18" ht="35.25" customHeight="1">
      <c r="A1901" s="15">
        <f t="shared" si="29"/>
        <v>1891</v>
      </c>
      <c r="B1901" s="152" t="s">
        <v>2964</v>
      </c>
      <c r="C1901" s="150" t="s">
        <v>2965</v>
      </c>
      <c r="D1901" s="19"/>
      <c r="E1901" s="19"/>
      <c r="F1901" s="19"/>
      <c r="G1901" s="64"/>
      <c r="H1901" s="141"/>
      <c r="I1901" s="153" t="s">
        <v>18</v>
      </c>
      <c r="J1901" s="153">
        <v>1</v>
      </c>
      <c r="K1901" s="142" t="s">
        <v>730</v>
      </c>
      <c r="L1901" s="43" t="s">
        <v>2982</v>
      </c>
      <c r="M1901" s="276" t="s">
        <v>3259</v>
      </c>
      <c r="N1901" s="43" t="s">
        <v>2541</v>
      </c>
      <c r="O1901" s="270">
        <v>44987</v>
      </c>
      <c r="P1901" s="43"/>
      <c r="Q1901" s="43"/>
      <c r="R1901" s="44"/>
    </row>
    <row r="1902" spans="1:18" ht="35.25" customHeight="1">
      <c r="A1902" s="15">
        <f t="shared" si="29"/>
        <v>1892</v>
      </c>
      <c r="B1902" s="152" t="s">
        <v>2966</v>
      </c>
      <c r="C1902" s="150" t="s">
        <v>2967</v>
      </c>
      <c r="D1902" s="19"/>
      <c r="E1902" s="19"/>
      <c r="F1902" s="19"/>
      <c r="G1902" s="64"/>
      <c r="H1902" s="141"/>
      <c r="I1902" s="153" t="s">
        <v>18</v>
      </c>
      <c r="J1902" s="153">
        <v>1</v>
      </c>
      <c r="K1902" s="142" t="s">
        <v>730</v>
      </c>
      <c r="L1902" s="43" t="s">
        <v>2982</v>
      </c>
      <c r="M1902" s="276" t="s">
        <v>3259</v>
      </c>
      <c r="N1902" s="43" t="s">
        <v>2541</v>
      </c>
      <c r="O1902" s="270">
        <v>44987</v>
      </c>
      <c r="P1902" s="43"/>
      <c r="Q1902" s="43"/>
      <c r="R1902" s="44"/>
    </row>
    <row r="1903" spans="1:18" ht="35.25" customHeight="1">
      <c r="A1903" s="15">
        <f t="shared" si="29"/>
        <v>1893</v>
      </c>
      <c r="B1903" s="211" t="s">
        <v>2968</v>
      </c>
      <c r="C1903" s="120" t="s">
        <v>2969</v>
      </c>
      <c r="D1903" s="19"/>
      <c r="E1903" s="19"/>
      <c r="F1903" s="19"/>
      <c r="G1903" s="64"/>
      <c r="H1903" s="141"/>
      <c r="I1903" s="153" t="s">
        <v>18</v>
      </c>
      <c r="J1903" s="153">
        <v>1</v>
      </c>
      <c r="K1903" s="142" t="s">
        <v>730</v>
      </c>
      <c r="L1903" s="43" t="s">
        <v>2982</v>
      </c>
      <c r="M1903" s="276" t="s">
        <v>3259</v>
      </c>
      <c r="N1903" s="43" t="s">
        <v>2541</v>
      </c>
      <c r="O1903" s="270">
        <v>45006</v>
      </c>
      <c r="P1903" s="43"/>
      <c r="Q1903" s="43"/>
      <c r="R1903" s="399" t="s">
        <v>2990</v>
      </c>
    </row>
    <row r="1904" spans="1:18" ht="35.25" customHeight="1">
      <c r="A1904" s="15">
        <f t="shared" si="29"/>
        <v>1894</v>
      </c>
      <c r="B1904" s="211" t="s">
        <v>2970</v>
      </c>
      <c r="C1904" s="120" t="s">
        <v>2971</v>
      </c>
      <c r="D1904" s="19"/>
      <c r="E1904" s="19"/>
      <c r="F1904" s="19"/>
      <c r="G1904" s="64"/>
      <c r="H1904" s="141"/>
      <c r="I1904" s="153" t="s">
        <v>18</v>
      </c>
      <c r="J1904" s="153">
        <v>1</v>
      </c>
      <c r="K1904" s="142" t="s">
        <v>730</v>
      </c>
      <c r="L1904" s="43" t="s">
        <v>2982</v>
      </c>
      <c r="M1904" s="276" t="s">
        <v>3259</v>
      </c>
      <c r="N1904" s="43" t="s">
        <v>2541</v>
      </c>
      <c r="O1904" s="270">
        <v>45006</v>
      </c>
      <c r="P1904" s="43"/>
      <c r="Q1904" s="43"/>
      <c r="R1904" s="399"/>
    </row>
    <row r="1905" spans="1:18" ht="35.25" customHeight="1">
      <c r="A1905" s="15">
        <f t="shared" si="29"/>
        <v>1895</v>
      </c>
      <c r="B1905" s="211" t="s">
        <v>2972</v>
      </c>
      <c r="C1905" s="120" t="s">
        <v>2973</v>
      </c>
      <c r="D1905" s="19"/>
      <c r="E1905" s="19"/>
      <c r="F1905" s="19"/>
      <c r="G1905" s="64"/>
      <c r="H1905" s="141"/>
      <c r="I1905" s="153" t="s">
        <v>18</v>
      </c>
      <c r="J1905" s="153">
        <v>1</v>
      </c>
      <c r="K1905" s="142" t="s">
        <v>730</v>
      </c>
      <c r="L1905" s="43" t="s">
        <v>2982</v>
      </c>
      <c r="M1905" s="276" t="s">
        <v>3259</v>
      </c>
      <c r="N1905" s="43" t="s">
        <v>2541</v>
      </c>
      <c r="O1905" s="270">
        <v>45006</v>
      </c>
      <c r="P1905" s="43"/>
      <c r="Q1905" s="43"/>
      <c r="R1905" s="399"/>
    </row>
    <row r="1906" spans="1:18" ht="35.25" customHeight="1">
      <c r="A1906" s="15">
        <f t="shared" si="29"/>
        <v>1896</v>
      </c>
      <c r="B1906" s="211" t="s">
        <v>2974</v>
      </c>
      <c r="C1906" s="120" t="s">
        <v>2975</v>
      </c>
      <c r="D1906" s="19"/>
      <c r="E1906" s="19"/>
      <c r="F1906" s="19"/>
      <c r="G1906" s="64"/>
      <c r="H1906" s="141"/>
      <c r="I1906" s="153" t="s">
        <v>18</v>
      </c>
      <c r="J1906" s="153">
        <v>1</v>
      </c>
      <c r="K1906" s="142" t="s">
        <v>730</v>
      </c>
      <c r="L1906" s="43" t="s">
        <v>2982</v>
      </c>
      <c r="M1906" s="276" t="s">
        <v>3259</v>
      </c>
      <c r="N1906" s="43" t="s">
        <v>2541</v>
      </c>
      <c r="O1906" s="270">
        <v>45006</v>
      </c>
      <c r="P1906" s="43"/>
      <c r="Q1906" s="43"/>
      <c r="R1906" s="399"/>
    </row>
    <row r="1907" spans="1:18" ht="35.25" customHeight="1">
      <c r="A1907" s="15">
        <f t="shared" si="29"/>
        <v>1897</v>
      </c>
      <c r="B1907" s="211" t="s">
        <v>2976</v>
      </c>
      <c r="C1907" s="120" t="s">
        <v>2977</v>
      </c>
      <c r="D1907" s="19"/>
      <c r="E1907" s="19"/>
      <c r="F1907" s="19"/>
      <c r="G1907" s="64"/>
      <c r="H1907" s="141"/>
      <c r="I1907" s="153" t="s">
        <v>18</v>
      </c>
      <c r="J1907" s="153">
        <v>1</v>
      </c>
      <c r="K1907" s="142" t="s">
        <v>730</v>
      </c>
      <c r="L1907" s="43" t="s">
        <v>2982</v>
      </c>
      <c r="M1907" s="276" t="s">
        <v>3259</v>
      </c>
      <c r="N1907" s="43" t="s">
        <v>2541</v>
      </c>
      <c r="O1907" s="270">
        <v>45006</v>
      </c>
      <c r="P1907" s="43"/>
      <c r="Q1907" s="43"/>
      <c r="R1907" s="399"/>
    </row>
    <row r="1908" spans="1:18" ht="35.25" customHeight="1">
      <c r="A1908" s="15">
        <f t="shared" si="29"/>
        <v>1898</v>
      </c>
      <c r="B1908" s="211" t="s">
        <v>2978</v>
      </c>
      <c r="C1908" s="120" t="s">
        <v>2979</v>
      </c>
      <c r="D1908" s="19"/>
      <c r="E1908" s="19"/>
      <c r="F1908" s="19"/>
      <c r="G1908" s="64"/>
      <c r="H1908" s="141"/>
      <c r="I1908" s="153" t="s">
        <v>18</v>
      </c>
      <c r="J1908" s="153">
        <v>1</v>
      </c>
      <c r="K1908" s="142" t="s">
        <v>730</v>
      </c>
      <c r="L1908" s="43" t="s">
        <v>2982</v>
      </c>
      <c r="M1908" s="276" t="s">
        <v>3259</v>
      </c>
      <c r="N1908" s="43" t="s">
        <v>2541</v>
      </c>
      <c r="O1908" s="270">
        <v>45006</v>
      </c>
      <c r="P1908" s="43"/>
      <c r="Q1908" s="43"/>
      <c r="R1908" s="399"/>
    </row>
    <row r="1909" spans="1:18" ht="35.25" customHeight="1">
      <c r="A1909" s="15">
        <f t="shared" si="29"/>
        <v>1899</v>
      </c>
      <c r="B1909" s="211" t="s">
        <v>2980</v>
      </c>
      <c r="C1909" s="120" t="s">
        <v>2981</v>
      </c>
      <c r="D1909" s="19"/>
      <c r="E1909" s="19"/>
      <c r="F1909" s="19"/>
      <c r="G1909" s="64"/>
      <c r="H1909" s="141"/>
      <c r="I1909" s="153" t="s">
        <v>18</v>
      </c>
      <c r="J1909" s="153">
        <v>1</v>
      </c>
      <c r="K1909" s="142" t="s">
        <v>730</v>
      </c>
      <c r="L1909" s="43" t="s">
        <v>2982</v>
      </c>
      <c r="M1909" s="276" t="s">
        <v>3259</v>
      </c>
      <c r="N1909" s="43" t="s">
        <v>2541</v>
      </c>
      <c r="O1909" s="270">
        <v>45006</v>
      </c>
      <c r="P1909" s="43"/>
      <c r="Q1909" s="43"/>
      <c r="R1909" s="399"/>
    </row>
    <row r="1910" spans="1:18" ht="35.25" customHeight="1">
      <c r="A1910" s="15">
        <f t="shared" si="29"/>
        <v>1900</v>
      </c>
      <c r="B1910" s="223" t="s">
        <v>2991</v>
      </c>
      <c r="C1910" s="211" t="s">
        <v>132</v>
      </c>
      <c r="D1910" s="19"/>
      <c r="E1910" s="19"/>
      <c r="F1910" s="19"/>
      <c r="G1910" s="222" t="s">
        <v>2471</v>
      </c>
      <c r="H1910" s="141"/>
      <c r="I1910" s="230" t="s">
        <v>18</v>
      </c>
      <c r="J1910" s="207">
        <v>1</v>
      </c>
      <c r="K1910" s="142" t="s">
        <v>730</v>
      </c>
      <c r="L1910" s="275" t="s">
        <v>3209</v>
      </c>
      <c r="M1910" s="11"/>
      <c r="N1910" s="227" t="s">
        <v>3210</v>
      </c>
      <c r="O1910" s="271"/>
      <c r="P1910" s="43"/>
      <c r="Q1910" s="43"/>
      <c r="R1910" s="207"/>
    </row>
    <row r="1911" spans="1:18" ht="35.25" customHeight="1">
      <c r="A1911" s="15">
        <f t="shared" si="29"/>
        <v>1901</v>
      </c>
      <c r="B1911" s="223" t="s">
        <v>2992</v>
      </c>
      <c r="C1911" s="211" t="s">
        <v>1176</v>
      </c>
      <c r="D1911" s="19"/>
      <c r="E1911" s="19"/>
      <c r="F1911" s="19"/>
      <c r="G1911" s="222" t="s">
        <v>2454</v>
      </c>
      <c r="H1911" s="141"/>
      <c r="I1911" s="230" t="s">
        <v>18</v>
      </c>
      <c r="J1911" s="207">
        <v>1</v>
      </c>
      <c r="K1911" s="142" t="s">
        <v>730</v>
      </c>
      <c r="L1911" s="275" t="s">
        <v>3209</v>
      </c>
      <c r="M1911" s="11"/>
      <c r="N1911" s="224" t="s">
        <v>3211</v>
      </c>
      <c r="O1911" s="271"/>
      <c r="P1911" s="43"/>
      <c r="Q1911" s="43"/>
      <c r="R1911" s="207"/>
    </row>
    <row r="1912" spans="1:18" ht="35.25" customHeight="1">
      <c r="A1912" s="15">
        <f t="shared" si="29"/>
        <v>1902</v>
      </c>
      <c r="B1912" s="226" t="s">
        <v>2993</v>
      </c>
      <c r="C1912" s="251" t="s">
        <v>2181</v>
      </c>
      <c r="D1912" s="19"/>
      <c r="E1912" s="19"/>
      <c r="F1912" s="19"/>
      <c r="G1912" s="227" t="s">
        <v>2490</v>
      </c>
      <c r="H1912" s="141"/>
      <c r="I1912" s="230" t="s">
        <v>18</v>
      </c>
      <c r="J1912" s="230">
        <v>1</v>
      </c>
      <c r="K1912" s="142" t="s">
        <v>730</v>
      </c>
      <c r="L1912" s="275" t="s">
        <v>3209</v>
      </c>
      <c r="M1912" s="11"/>
      <c r="N1912" s="224" t="s">
        <v>3213</v>
      </c>
      <c r="O1912" s="271"/>
      <c r="P1912" s="43"/>
      <c r="Q1912" s="43"/>
      <c r="R1912" s="271" t="s">
        <v>3245</v>
      </c>
    </row>
    <row r="1913" spans="1:18" ht="35.25" customHeight="1">
      <c r="A1913" s="15">
        <f t="shared" si="29"/>
        <v>1903</v>
      </c>
      <c r="B1913" s="226" t="s">
        <v>2994</v>
      </c>
      <c r="C1913" s="251" t="s">
        <v>2183</v>
      </c>
      <c r="D1913" s="19"/>
      <c r="E1913" s="19"/>
      <c r="F1913" s="19"/>
      <c r="G1913" s="227" t="s">
        <v>2491</v>
      </c>
      <c r="H1913" s="141"/>
      <c r="I1913" s="230" t="s">
        <v>18</v>
      </c>
      <c r="J1913" s="230">
        <v>1</v>
      </c>
      <c r="K1913" s="142" t="s">
        <v>730</v>
      </c>
      <c r="L1913" s="275" t="s">
        <v>3209</v>
      </c>
      <c r="M1913" s="11"/>
      <c r="N1913" s="224" t="s">
        <v>3213</v>
      </c>
      <c r="O1913" s="271"/>
      <c r="P1913" s="43"/>
      <c r="Q1913" s="43"/>
      <c r="R1913" s="271" t="s">
        <v>3245</v>
      </c>
    </row>
    <row r="1914" spans="1:18" ht="35.25" customHeight="1">
      <c r="A1914" s="15">
        <f t="shared" si="29"/>
        <v>1904</v>
      </c>
      <c r="B1914" s="211" t="s">
        <v>2995</v>
      </c>
      <c r="C1914" s="206" t="s">
        <v>2996</v>
      </c>
      <c r="D1914" s="19"/>
      <c r="E1914" s="19"/>
      <c r="F1914" s="19"/>
      <c r="G1914" s="206"/>
      <c r="H1914" s="141"/>
      <c r="I1914" s="207" t="s">
        <v>18</v>
      </c>
      <c r="J1914" s="207">
        <v>1</v>
      </c>
      <c r="K1914" s="142" t="s">
        <v>730</v>
      </c>
      <c r="L1914" s="275" t="s">
        <v>3209</v>
      </c>
      <c r="M1914" s="11"/>
      <c r="N1914" s="208" t="s">
        <v>3213</v>
      </c>
      <c r="O1914" s="220"/>
      <c r="P1914" s="43"/>
      <c r="Q1914" s="43"/>
      <c r="R1914" s="209"/>
    </row>
    <row r="1915" spans="1:18" ht="35.25" customHeight="1">
      <c r="A1915" s="15">
        <f t="shared" si="29"/>
        <v>1905</v>
      </c>
      <c r="B1915" s="211" t="s">
        <v>2997</v>
      </c>
      <c r="C1915" s="206" t="s">
        <v>2996</v>
      </c>
      <c r="D1915" s="19"/>
      <c r="E1915" s="19"/>
      <c r="F1915" s="19"/>
      <c r="G1915" s="206"/>
      <c r="H1915" s="141"/>
      <c r="I1915" s="207" t="s">
        <v>18</v>
      </c>
      <c r="J1915" s="207">
        <v>1</v>
      </c>
      <c r="K1915" s="142" t="s">
        <v>730</v>
      </c>
      <c r="L1915" s="275" t="s">
        <v>3209</v>
      </c>
      <c r="M1915" s="11"/>
      <c r="N1915" s="208" t="s">
        <v>3213</v>
      </c>
      <c r="O1915" s="220"/>
      <c r="P1915" s="43"/>
      <c r="Q1915" s="43"/>
      <c r="R1915" s="209"/>
    </row>
    <row r="1916" spans="1:18" ht="35.25" customHeight="1">
      <c r="A1916" s="15">
        <f t="shared" si="29"/>
        <v>1906</v>
      </c>
      <c r="B1916" s="211" t="s">
        <v>2998</v>
      </c>
      <c r="C1916" s="206" t="s">
        <v>2999</v>
      </c>
      <c r="D1916" s="19"/>
      <c r="E1916" s="19"/>
      <c r="F1916" s="19"/>
      <c r="G1916" s="206"/>
      <c r="H1916" s="141"/>
      <c r="I1916" s="207" t="s">
        <v>18</v>
      </c>
      <c r="J1916" s="207">
        <v>1</v>
      </c>
      <c r="K1916" s="142" t="s">
        <v>730</v>
      </c>
      <c r="L1916" s="275" t="s">
        <v>3209</v>
      </c>
      <c r="M1916" s="11"/>
      <c r="N1916" s="208" t="s">
        <v>3213</v>
      </c>
      <c r="O1916" s="220"/>
      <c r="P1916" s="43"/>
      <c r="Q1916" s="43"/>
      <c r="R1916" s="209"/>
    </row>
    <row r="1917" spans="1:18" ht="35.25" customHeight="1">
      <c r="A1917" s="15">
        <f t="shared" si="29"/>
        <v>1907</v>
      </c>
      <c r="B1917" s="246" t="s">
        <v>3000</v>
      </c>
      <c r="C1917" s="206" t="s">
        <v>2999</v>
      </c>
      <c r="D1917" s="19"/>
      <c r="E1917" s="19"/>
      <c r="F1917" s="19"/>
      <c r="G1917" s="206"/>
      <c r="H1917" s="141"/>
      <c r="I1917" s="207" t="s">
        <v>18</v>
      </c>
      <c r="J1917" s="207">
        <v>1</v>
      </c>
      <c r="K1917" s="142" t="s">
        <v>730</v>
      </c>
      <c r="L1917" s="275" t="s">
        <v>3209</v>
      </c>
      <c r="M1917" s="11"/>
      <c r="N1917" s="208" t="s">
        <v>3213</v>
      </c>
      <c r="O1917" s="220"/>
      <c r="P1917" s="43"/>
      <c r="Q1917" s="43"/>
      <c r="R1917" s="209"/>
    </row>
    <row r="1918" spans="1:18" ht="35.25" customHeight="1">
      <c r="A1918" s="15">
        <f t="shared" si="29"/>
        <v>1908</v>
      </c>
      <c r="B1918" s="211" t="s">
        <v>3001</v>
      </c>
      <c r="C1918" s="206" t="s">
        <v>3002</v>
      </c>
      <c r="D1918" s="19"/>
      <c r="E1918" s="19"/>
      <c r="F1918" s="19"/>
      <c r="G1918" s="206"/>
      <c r="H1918" s="141"/>
      <c r="I1918" s="207" t="s">
        <v>18</v>
      </c>
      <c r="J1918" s="207">
        <v>1</v>
      </c>
      <c r="K1918" s="142" t="s">
        <v>730</v>
      </c>
      <c r="L1918" s="275" t="s">
        <v>3209</v>
      </c>
      <c r="M1918" s="11"/>
      <c r="N1918" s="208" t="s">
        <v>3213</v>
      </c>
      <c r="O1918" s="220"/>
      <c r="P1918" s="43"/>
      <c r="Q1918" s="43"/>
      <c r="R1918" s="209"/>
    </row>
    <row r="1919" spans="1:18" ht="35.25" customHeight="1">
      <c r="A1919" s="15">
        <f t="shared" si="29"/>
        <v>1909</v>
      </c>
      <c r="B1919" s="211" t="s">
        <v>3003</v>
      </c>
      <c r="C1919" s="206" t="s">
        <v>3004</v>
      </c>
      <c r="D1919" s="19"/>
      <c r="E1919" s="19"/>
      <c r="F1919" s="19"/>
      <c r="G1919" s="206"/>
      <c r="H1919" s="141"/>
      <c r="I1919" s="207" t="s">
        <v>18</v>
      </c>
      <c r="J1919" s="207">
        <v>1</v>
      </c>
      <c r="K1919" s="142" t="s">
        <v>730</v>
      </c>
      <c r="L1919" s="275" t="s">
        <v>3209</v>
      </c>
      <c r="M1919" s="11"/>
      <c r="N1919" s="208" t="s">
        <v>3213</v>
      </c>
      <c r="O1919" s="220"/>
      <c r="P1919" s="43"/>
      <c r="Q1919" s="43"/>
      <c r="R1919" s="209"/>
    </row>
    <row r="1920" spans="1:18" ht="35.25" customHeight="1">
      <c r="A1920" s="15">
        <f t="shared" si="29"/>
        <v>1910</v>
      </c>
      <c r="B1920" s="211" t="s">
        <v>3005</v>
      </c>
      <c r="C1920" s="206" t="s">
        <v>3006</v>
      </c>
      <c r="D1920" s="19"/>
      <c r="E1920" s="19"/>
      <c r="F1920" s="19"/>
      <c r="G1920" s="206"/>
      <c r="H1920" s="141"/>
      <c r="I1920" s="207" t="s">
        <v>18</v>
      </c>
      <c r="J1920" s="207">
        <v>1</v>
      </c>
      <c r="K1920" s="142" t="s">
        <v>730</v>
      </c>
      <c r="L1920" s="275" t="s">
        <v>3209</v>
      </c>
      <c r="M1920" s="11"/>
      <c r="N1920" s="208" t="s">
        <v>3213</v>
      </c>
      <c r="O1920" s="220"/>
      <c r="P1920" s="43"/>
      <c r="Q1920" s="43"/>
      <c r="R1920" s="209"/>
    </row>
    <row r="1921" spans="1:18" ht="35.25" customHeight="1">
      <c r="A1921" s="15">
        <f t="shared" si="29"/>
        <v>1911</v>
      </c>
      <c r="B1921" s="211" t="s">
        <v>3007</v>
      </c>
      <c r="C1921" s="206" t="s">
        <v>3006</v>
      </c>
      <c r="D1921" s="19"/>
      <c r="E1921" s="19"/>
      <c r="F1921" s="19"/>
      <c r="G1921" s="206"/>
      <c r="H1921" s="141"/>
      <c r="I1921" s="207" t="s">
        <v>18</v>
      </c>
      <c r="J1921" s="207">
        <v>1</v>
      </c>
      <c r="K1921" s="142" t="s">
        <v>730</v>
      </c>
      <c r="L1921" s="275" t="s">
        <v>3209</v>
      </c>
      <c r="M1921" s="11"/>
      <c r="N1921" s="208" t="s">
        <v>3213</v>
      </c>
      <c r="O1921" s="220"/>
      <c r="P1921" s="43"/>
      <c r="Q1921" s="43"/>
      <c r="R1921" s="209"/>
    </row>
    <row r="1922" spans="1:18" ht="35.25" customHeight="1">
      <c r="A1922" s="15">
        <f t="shared" si="29"/>
        <v>1912</v>
      </c>
      <c r="B1922" s="211" t="s">
        <v>3008</v>
      </c>
      <c r="C1922" s="206" t="s">
        <v>3006</v>
      </c>
      <c r="D1922" s="19"/>
      <c r="E1922" s="19"/>
      <c r="F1922" s="19"/>
      <c r="G1922" s="206"/>
      <c r="H1922" s="141"/>
      <c r="I1922" s="207" t="s">
        <v>18</v>
      </c>
      <c r="J1922" s="207">
        <v>1</v>
      </c>
      <c r="K1922" s="142" t="s">
        <v>730</v>
      </c>
      <c r="L1922" s="275" t="s">
        <v>3209</v>
      </c>
      <c r="M1922" s="11"/>
      <c r="N1922" s="208" t="s">
        <v>3213</v>
      </c>
      <c r="O1922" s="220"/>
      <c r="P1922" s="43"/>
      <c r="Q1922" s="43"/>
      <c r="R1922" s="209"/>
    </row>
    <row r="1923" spans="1:18" ht="35.25" customHeight="1">
      <c r="A1923" s="15">
        <f t="shared" si="29"/>
        <v>1913</v>
      </c>
      <c r="B1923" s="211" t="s">
        <v>3009</v>
      </c>
      <c r="C1923" s="206" t="s">
        <v>685</v>
      </c>
      <c r="D1923" s="19"/>
      <c r="E1923" s="19"/>
      <c r="F1923" s="19"/>
      <c r="G1923" s="206"/>
      <c r="H1923" s="141"/>
      <c r="I1923" s="207" t="s">
        <v>18</v>
      </c>
      <c r="J1923" s="207">
        <v>1</v>
      </c>
      <c r="K1923" s="142" t="s">
        <v>730</v>
      </c>
      <c r="L1923" s="275" t="s">
        <v>3209</v>
      </c>
      <c r="M1923" s="11"/>
      <c r="N1923" s="208" t="s">
        <v>3213</v>
      </c>
      <c r="O1923" s="220"/>
      <c r="P1923" s="43"/>
      <c r="Q1923" s="43"/>
      <c r="R1923" s="209"/>
    </row>
    <row r="1924" spans="1:18" ht="35.25" customHeight="1">
      <c r="A1924" s="15">
        <f t="shared" si="29"/>
        <v>1914</v>
      </c>
      <c r="B1924" s="211" t="s">
        <v>3010</v>
      </c>
      <c r="C1924" s="206" t="s">
        <v>3011</v>
      </c>
      <c r="D1924" s="19"/>
      <c r="E1924" s="19"/>
      <c r="F1924" s="19"/>
      <c r="G1924" s="206"/>
      <c r="H1924" s="141"/>
      <c r="I1924" s="207" t="s">
        <v>18</v>
      </c>
      <c r="J1924" s="207">
        <v>1</v>
      </c>
      <c r="K1924" s="142" t="s">
        <v>730</v>
      </c>
      <c r="L1924" s="275" t="s">
        <v>3209</v>
      </c>
      <c r="M1924" s="11"/>
      <c r="N1924" s="208" t="s">
        <v>3213</v>
      </c>
      <c r="O1924" s="220"/>
      <c r="P1924" s="43"/>
      <c r="Q1924" s="43"/>
      <c r="R1924" s="209"/>
    </row>
    <row r="1925" spans="1:18" ht="35.25" customHeight="1">
      <c r="A1925" s="15">
        <f t="shared" si="29"/>
        <v>1915</v>
      </c>
      <c r="B1925" s="211" t="s">
        <v>3012</v>
      </c>
      <c r="C1925" s="206" t="s">
        <v>3011</v>
      </c>
      <c r="D1925" s="19"/>
      <c r="E1925" s="19"/>
      <c r="F1925" s="19"/>
      <c r="G1925" s="206"/>
      <c r="H1925" s="141"/>
      <c r="I1925" s="207" t="s">
        <v>18</v>
      </c>
      <c r="J1925" s="207">
        <v>1</v>
      </c>
      <c r="K1925" s="142" t="s">
        <v>730</v>
      </c>
      <c r="L1925" s="275" t="s">
        <v>3209</v>
      </c>
      <c r="M1925" s="11"/>
      <c r="N1925" s="208" t="s">
        <v>3213</v>
      </c>
      <c r="O1925" s="220"/>
      <c r="P1925" s="43"/>
      <c r="Q1925" s="43"/>
      <c r="R1925" s="209"/>
    </row>
    <row r="1926" spans="1:18" ht="35.25" customHeight="1">
      <c r="A1926" s="15">
        <f t="shared" si="29"/>
        <v>1916</v>
      </c>
      <c r="B1926" s="211" t="s">
        <v>3013</v>
      </c>
      <c r="C1926" s="206" t="s">
        <v>3011</v>
      </c>
      <c r="D1926" s="19"/>
      <c r="E1926" s="19"/>
      <c r="F1926" s="19"/>
      <c r="G1926" s="206"/>
      <c r="H1926" s="141"/>
      <c r="I1926" s="207" t="s">
        <v>18</v>
      </c>
      <c r="J1926" s="207">
        <v>1</v>
      </c>
      <c r="K1926" s="142" t="s">
        <v>730</v>
      </c>
      <c r="L1926" s="275" t="s">
        <v>3209</v>
      </c>
      <c r="M1926" s="11"/>
      <c r="N1926" s="208" t="s">
        <v>3213</v>
      </c>
      <c r="O1926" s="220"/>
      <c r="P1926" s="43"/>
      <c r="Q1926" s="43"/>
      <c r="R1926" s="209"/>
    </row>
    <row r="1927" spans="1:18" ht="35.25" customHeight="1">
      <c r="A1927" s="15">
        <f t="shared" si="29"/>
        <v>1917</v>
      </c>
      <c r="B1927" s="211" t="s">
        <v>3014</v>
      </c>
      <c r="C1927" s="206" t="s">
        <v>3011</v>
      </c>
      <c r="D1927" s="19"/>
      <c r="E1927" s="19"/>
      <c r="F1927" s="19"/>
      <c r="G1927" s="206"/>
      <c r="H1927" s="141"/>
      <c r="I1927" s="207" t="s">
        <v>18</v>
      </c>
      <c r="J1927" s="207">
        <v>1</v>
      </c>
      <c r="K1927" s="142" t="s">
        <v>730</v>
      </c>
      <c r="L1927" s="275" t="s">
        <v>3209</v>
      </c>
      <c r="M1927" s="11"/>
      <c r="N1927" s="208" t="s">
        <v>3213</v>
      </c>
      <c r="O1927" s="220"/>
      <c r="P1927" s="43"/>
      <c r="Q1927" s="43"/>
      <c r="R1927" s="209"/>
    </row>
    <row r="1928" spans="1:18" ht="35.25" customHeight="1">
      <c r="A1928" s="15">
        <f t="shared" si="29"/>
        <v>1918</v>
      </c>
      <c r="B1928" s="211" t="s">
        <v>3015</v>
      </c>
      <c r="C1928" s="206" t="s">
        <v>3011</v>
      </c>
      <c r="D1928" s="19"/>
      <c r="E1928" s="19"/>
      <c r="F1928" s="19"/>
      <c r="G1928" s="206"/>
      <c r="H1928" s="141"/>
      <c r="I1928" s="207" t="s">
        <v>18</v>
      </c>
      <c r="J1928" s="207">
        <v>1</v>
      </c>
      <c r="K1928" s="142" t="s">
        <v>730</v>
      </c>
      <c r="L1928" s="275" t="s">
        <v>3209</v>
      </c>
      <c r="M1928" s="11"/>
      <c r="N1928" s="208" t="s">
        <v>3213</v>
      </c>
      <c r="O1928" s="220"/>
      <c r="P1928" s="43"/>
      <c r="Q1928" s="43"/>
      <c r="R1928" s="209"/>
    </row>
    <row r="1929" spans="1:18" ht="35.25" customHeight="1">
      <c r="A1929" s="15">
        <f t="shared" si="29"/>
        <v>1919</v>
      </c>
      <c r="B1929" s="211" t="s">
        <v>3016</v>
      </c>
      <c r="C1929" s="206" t="s">
        <v>3011</v>
      </c>
      <c r="D1929" s="19"/>
      <c r="E1929" s="19"/>
      <c r="F1929" s="19"/>
      <c r="G1929" s="206"/>
      <c r="H1929" s="141"/>
      <c r="I1929" s="207" t="s">
        <v>18</v>
      </c>
      <c r="J1929" s="207">
        <v>1</v>
      </c>
      <c r="K1929" s="142" t="s">
        <v>730</v>
      </c>
      <c r="L1929" s="275" t="s">
        <v>3209</v>
      </c>
      <c r="M1929" s="11"/>
      <c r="N1929" s="208" t="s">
        <v>3213</v>
      </c>
      <c r="O1929" s="220"/>
      <c r="P1929" s="43"/>
      <c r="Q1929" s="43"/>
      <c r="R1929" s="209"/>
    </row>
    <row r="1930" spans="1:18" ht="35.25" customHeight="1">
      <c r="A1930" s="15">
        <f t="shared" si="29"/>
        <v>1920</v>
      </c>
      <c r="B1930" s="211" t="s">
        <v>3017</v>
      </c>
      <c r="C1930" s="206" t="s">
        <v>3011</v>
      </c>
      <c r="D1930" s="19"/>
      <c r="E1930" s="19"/>
      <c r="F1930" s="19"/>
      <c r="G1930" s="206"/>
      <c r="H1930" s="141"/>
      <c r="I1930" s="207" t="s">
        <v>18</v>
      </c>
      <c r="J1930" s="207">
        <v>1</v>
      </c>
      <c r="K1930" s="142" t="s">
        <v>730</v>
      </c>
      <c r="L1930" s="275" t="s">
        <v>3209</v>
      </c>
      <c r="M1930" s="11"/>
      <c r="N1930" s="208" t="s">
        <v>3213</v>
      </c>
      <c r="O1930" s="220"/>
      <c r="P1930" s="43"/>
      <c r="Q1930" s="43"/>
      <c r="R1930" s="209"/>
    </row>
    <row r="1931" spans="1:18" ht="35.25" customHeight="1">
      <c r="A1931" s="15">
        <f t="shared" si="29"/>
        <v>1921</v>
      </c>
      <c r="B1931" s="211" t="s">
        <v>3018</v>
      </c>
      <c r="C1931" s="206" t="s">
        <v>3011</v>
      </c>
      <c r="D1931" s="19"/>
      <c r="E1931" s="19"/>
      <c r="F1931" s="19"/>
      <c r="G1931" s="206"/>
      <c r="H1931" s="141"/>
      <c r="I1931" s="207" t="s">
        <v>18</v>
      </c>
      <c r="J1931" s="207">
        <v>1</v>
      </c>
      <c r="K1931" s="142" t="s">
        <v>730</v>
      </c>
      <c r="L1931" s="275" t="s">
        <v>3209</v>
      </c>
      <c r="M1931" s="11"/>
      <c r="N1931" s="208" t="s">
        <v>3213</v>
      </c>
      <c r="O1931" s="220"/>
      <c r="P1931" s="43"/>
      <c r="Q1931" s="43"/>
      <c r="R1931" s="209"/>
    </row>
    <row r="1932" spans="1:18" ht="35.25" customHeight="1">
      <c r="A1932" s="15">
        <f t="shared" si="29"/>
        <v>1922</v>
      </c>
      <c r="B1932" s="211" t="s">
        <v>3019</v>
      </c>
      <c r="C1932" s="206" t="s">
        <v>3011</v>
      </c>
      <c r="D1932" s="19"/>
      <c r="E1932" s="19"/>
      <c r="F1932" s="19"/>
      <c r="G1932" s="206"/>
      <c r="H1932" s="141"/>
      <c r="I1932" s="207" t="s">
        <v>18</v>
      </c>
      <c r="J1932" s="207">
        <v>1</v>
      </c>
      <c r="K1932" s="142" t="s">
        <v>730</v>
      </c>
      <c r="L1932" s="275" t="s">
        <v>3209</v>
      </c>
      <c r="M1932" s="11"/>
      <c r="N1932" s="208" t="s">
        <v>3213</v>
      </c>
      <c r="O1932" s="220"/>
      <c r="P1932" s="43"/>
      <c r="Q1932" s="43"/>
      <c r="R1932" s="209"/>
    </row>
    <row r="1933" spans="1:18" ht="35.25" customHeight="1">
      <c r="A1933" s="15">
        <f t="shared" si="29"/>
        <v>1923</v>
      </c>
      <c r="B1933" s="211" t="s">
        <v>3020</v>
      </c>
      <c r="C1933" s="206" t="s">
        <v>3011</v>
      </c>
      <c r="D1933" s="19"/>
      <c r="E1933" s="19"/>
      <c r="F1933" s="19"/>
      <c r="G1933" s="206"/>
      <c r="H1933" s="141"/>
      <c r="I1933" s="207" t="s">
        <v>18</v>
      </c>
      <c r="J1933" s="207">
        <v>1</v>
      </c>
      <c r="K1933" s="142" t="s">
        <v>730</v>
      </c>
      <c r="L1933" s="275" t="s">
        <v>3209</v>
      </c>
      <c r="M1933" s="11"/>
      <c r="N1933" s="208" t="s">
        <v>3213</v>
      </c>
      <c r="O1933" s="220"/>
      <c r="P1933" s="43"/>
      <c r="Q1933" s="43"/>
      <c r="R1933" s="209"/>
    </row>
    <row r="1934" spans="1:18" ht="35.25" customHeight="1">
      <c r="A1934" s="15">
        <f t="shared" si="29"/>
        <v>1924</v>
      </c>
      <c r="B1934" s="211" t="s">
        <v>3021</v>
      </c>
      <c r="C1934" s="206" t="s">
        <v>3011</v>
      </c>
      <c r="D1934" s="19"/>
      <c r="E1934" s="19"/>
      <c r="F1934" s="19"/>
      <c r="G1934" s="206"/>
      <c r="H1934" s="141"/>
      <c r="I1934" s="207" t="s">
        <v>18</v>
      </c>
      <c r="J1934" s="207">
        <v>1</v>
      </c>
      <c r="K1934" s="142" t="s">
        <v>730</v>
      </c>
      <c r="L1934" s="275" t="s">
        <v>3209</v>
      </c>
      <c r="M1934" s="11"/>
      <c r="N1934" s="208" t="s">
        <v>3213</v>
      </c>
      <c r="O1934" s="220"/>
      <c r="P1934" s="43"/>
      <c r="Q1934" s="43"/>
      <c r="R1934" s="209"/>
    </row>
    <row r="1935" spans="1:18" ht="35.25" customHeight="1">
      <c r="A1935" s="15">
        <f t="shared" si="29"/>
        <v>1925</v>
      </c>
      <c r="B1935" s="211" t="s">
        <v>3022</v>
      </c>
      <c r="C1935" s="206" t="s">
        <v>3011</v>
      </c>
      <c r="D1935" s="19"/>
      <c r="E1935" s="19"/>
      <c r="F1935" s="19"/>
      <c r="G1935" s="206"/>
      <c r="H1935" s="141"/>
      <c r="I1935" s="207" t="s">
        <v>18</v>
      </c>
      <c r="J1935" s="207">
        <v>1</v>
      </c>
      <c r="K1935" s="142" t="s">
        <v>730</v>
      </c>
      <c r="L1935" s="275" t="s">
        <v>3209</v>
      </c>
      <c r="M1935" s="11"/>
      <c r="N1935" s="208" t="s">
        <v>3213</v>
      </c>
      <c r="O1935" s="220"/>
      <c r="P1935" s="43"/>
      <c r="Q1935" s="43"/>
      <c r="R1935" s="209"/>
    </row>
    <row r="1936" spans="1:18" ht="35.25" customHeight="1">
      <c r="A1936" s="15">
        <f t="shared" si="29"/>
        <v>1926</v>
      </c>
      <c r="B1936" s="211" t="s">
        <v>3023</v>
      </c>
      <c r="C1936" s="206" t="s">
        <v>3011</v>
      </c>
      <c r="D1936" s="19"/>
      <c r="E1936" s="19"/>
      <c r="F1936" s="19"/>
      <c r="G1936" s="206"/>
      <c r="H1936" s="141"/>
      <c r="I1936" s="207" t="s">
        <v>18</v>
      </c>
      <c r="J1936" s="207">
        <v>1</v>
      </c>
      <c r="K1936" s="142" t="s">
        <v>730</v>
      </c>
      <c r="L1936" s="275" t="s">
        <v>3209</v>
      </c>
      <c r="M1936" s="11"/>
      <c r="N1936" s="208" t="s">
        <v>3213</v>
      </c>
      <c r="O1936" s="220"/>
      <c r="P1936" s="43"/>
      <c r="Q1936" s="43"/>
      <c r="R1936" s="209"/>
    </row>
    <row r="1937" spans="1:18" ht="35.25" customHeight="1">
      <c r="A1937" s="15">
        <f t="shared" si="29"/>
        <v>1927</v>
      </c>
      <c r="B1937" s="211" t="s">
        <v>3024</v>
      </c>
      <c r="C1937" s="206" t="s">
        <v>3025</v>
      </c>
      <c r="D1937" s="19"/>
      <c r="E1937" s="19"/>
      <c r="F1937" s="19"/>
      <c r="G1937" s="206"/>
      <c r="H1937" s="141"/>
      <c r="I1937" s="207" t="s">
        <v>18</v>
      </c>
      <c r="J1937" s="207">
        <v>1</v>
      </c>
      <c r="K1937" s="142" t="s">
        <v>730</v>
      </c>
      <c r="L1937" s="275" t="s">
        <v>3209</v>
      </c>
      <c r="M1937" s="11"/>
      <c r="N1937" s="208" t="s">
        <v>3213</v>
      </c>
      <c r="O1937" s="220"/>
      <c r="P1937" s="43"/>
      <c r="Q1937" s="43"/>
      <c r="R1937" s="209"/>
    </row>
    <row r="1938" spans="1:18" ht="35.25" customHeight="1">
      <c r="A1938" s="15">
        <f t="shared" si="29"/>
        <v>1928</v>
      </c>
      <c r="B1938" s="211" t="s">
        <v>3026</v>
      </c>
      <c r="C1938" s="206" t="s">
        <v>3025</v>
      </c>
      <c r="D1938" s="19"/>
      <c r="E1938" s="19"/>
      <c r="F1938" s="19"/>
      <c r="G1938" s="206"/>
      <c r="H1938" s="141"/>
      <c r="I1938" s="207" t="s">
        <v>18</v>
      </c>
      <c r="J1938" s="207">
        <v>1</v>
      </c>
      <c r="K1938" s="142" t="s">
        <v>730</v>
      </c>
      <c r="L1938" s="275" t="s">
        <v>3209</v>
      </c>
      <c r="M1938" s="11"/>
      <c r="N1938" s="208" t="s">
        <v>3213</v>
      </c>
      <c r="O1938" s="220"/>
      <c r="P1938" s="43"/>
      <c r="Q1938" s="43"/>
      <c r="R1938" s="209"/>
    </row>
    <row r="1939" spans="1:18" ht="35.25" customHeight="1">
      <c r="A1939" s="15">
        <f t="shared" ref="A1939:A2002" si="30">A1938+1</f>
        <v>1929</v>
      </c>
      <c r="B1939" s="211" t="s">
        <v>3027</v>
      </c>
      <c r="C1939" s="206" t="s">
        <v>3025</v>
      </c>
      <c r="D1939" s="19"/>
      <c r="E1939" s="19"/>
      <c r="F1939" s="19"/>
      <c r="G1939" s="206"/>
      <c r="H1939" s="141"/>
      <c r="I1939" s="207" t="s">
        <v>18</v>
      </c>
      <c r="J1939" s="207">
        <v>1</v>
      </c>
      <c r="K1939" s="142" t="s">
        <v>730</v>
      </c>
      <c r="L1939" s="275" t="s">
        <v>3209</v>
      </c>
      <c r="M1939" s="11"/>
      <c r="N1939" s="208" t="s">
        <v>3213</v>
      </c>
      <c r="O1939" s="220"/>
      <c r="P1939" s="43"/>
      <c r="Q1939" s="43"/>
      <c r="R1939" s="209"/>
    </row>
    <row r="1940" spans="1:18" ht="35.25" customHeight="1">
      <c r="A1940" s="15">
        <f t="shared" si="30"/>
        <v>1930</v>
      </c>
      <c r="B1940" s="211" t="s">
        <v>3028</v>
      </c>
      <c r="C1940" s="206" t="s">
        <v>3006</v>
      </c>
      <c r="D1940" s="19"/>
      <c r="E1940" s="19"/>
      <c r="F1940" s="19"/>
      <c r="G1940" s="206"/>
      <c r="H1940" s="141"/>
      <c r="I1940" s="207" t="s">
        <v>18</v>
      </c>
      <c r="J1940" s="207">
        <v>1</v>
      </c>
      <c r="K1940" s="142" t="s">
        <v>730</v>
      </c>
      <c r="L1940" s="275" t="s">
        <v>3209</v>
      </c>
      <c r="M1940" s="11"/>
      <c r="N1940" s="208" t="s">
        <v>3213</v>
      </c>
      <c r="O1940" s="220"/>
      <c r="P1940" s="43"/>
      <c r="Q1940" s="43"/>
      <c r="R1940" s="209"/>
    </row>
    <row r="1941" spans="1:18" ht="35.25" customHeight="1">
      <c r="A1941" s="15">
        <f t="shared" si="30"/>
        <v>1931</v>
      </c>
      <c r="B1941" s="211" t="s">
        <v>3029</v>
      </c>
      <c r="C1941" s="206" t="s">
        <v>3006</v>
      </c>
      <c r="D1941" s="19"/>
      <c r="E1941" s="19"/>
      <c r="F1941" s="19"/>
      <c r="G1941" s="206"/>
      <c r="H1941" s="141"/>
      <c r="I1941" s="207" t="s">
        <v>18</v>
      </c>
      <c r="J1941" s="207">
        <v>1</v>
      </c>
      <c r="K1941" s="142" t="s">
        <v>730</v>
      </c>
      <c r="L1941" s="275" t="s">
        <v>3209</v>
      </c>
      <c r="M1941" s="11"/>
      <c r="N1941" s="208" t="s">
        <v>3213</v>
      </c>
      <c r="O1941" s="220"/>
      <c r="P1941" s="43"/>
      <c r="Q1941" s="43"/>
      <c r="R1941" s="209"/>
    </row>
    <row r="1942" spans="1:18" ht="35.25" customHeight="1">
      <c r="A1942" s="15">
        <f t="shared" si="30"/>
        <v>1932</v>
      </c>
      <c r="B1942" s="211" t="s">
        <v>3030</v>
      </c>
      <c r="C1942" s="206" t="s">
        <v>3031</v>
      </c>
      <c r="D1942" s="19"/>
      <c r="E1942" s="19"/>
      <c r="F1942" s="19"/>
      <c r="G1942" s="206"/>
      <c r="H1942" s="141"/>
      <c r="I1942" s="207" t="s">
        <v>181</v>
      </c>
      <c r="J1942" s="207">
        <v>1</v>
      </c>
      <c r="K1942" s="142" t="s">
        <v>730</v>
      </c>
      <c r="L1942" s="275" t="s">
        <v>3209</v>
      </c>
      <c r="M1942" s="11"/>
      <c r="N1942" s="208" t="s">
        <v>3213</v>
      </c>
      <c r="O1942" s="220"/>
      <c r="P1942" s="43"/>
      <c r="Q1942" s="43"/>
      <c r="R1942" s="209"/>
    </row>
    <row r="1943" spans="1:18" ht="35.25" customHeight="1">
      <c r="A1943" s="15">
        <f t="shared" si="30"/>
        <v>1933</v>
      </c>
      <c r="B1943" s="211" t="s">
        <v>3032</v>
      </c>
      <c r="C1943" s="206" t="s">
        <v>3033</v>
      </c>
      <c r="D1943" s="19"/>
      <c r="E1943" s="19"/>
      <c r="F1943" s="19"/>
      <c r="G1943" s="206"/>
      <c r="H1943" s="141"/>
      <c r="I1943" s="207" t="s">
        <v>18</v>
      </c>
      <c r="J1943" s="207">
        <v>1</v>
      </c>
      <c r="K1943" s="142" t="s">
        <v>730</v>
      </c>
      <c r="L1943" s="275" t="s">
        <v>3209</v>
      </c>
      <c r="M1943" s="11"/>
      <c r="N1943" s="208" t="s">
        <v>3213</v>
      </c>
      <c r="O1943" s="220"/>
      <c r="P1943" s="43"/>
      <c r="Q1943" s="43"/>
      <c r="R1943" s="209"/>
    </row>
    <row r="1944" spans="1:18" ht="35.25" customHeight="1">
      <c r="A1944" s="15">
        <f t="shared" si="30"/>
        <v>1934</v>
      </c>
      <c r="B1944" s="211" t="s">
        <v>3034</v>
      </c>
      <c r="C1944" s="206" t="s">
        <v>3035</v>
      </c>
      <c r="D1944" s="19"/>
      <c r="E1944" s="19"/>
      <c r="F1944" s="19"/>
      <c r="G1944" s="206"/>
      <c r="H1944" s="141"/>
      <c r="I1944" s="207" t="s">
        <v>18</v>
      </c>
      <c r="J1944" s="207">
        <v>1</v>
      </c>
      <c r="K1944" s="142" t="s">
        <v>730</v>
      </c>
      <c r="L1944" s="275" t="s">
        <v>3209</v>
      </c>
      <c r="M1944" s="11"/>
      <c r="N1944" s="208" t="s">
        <v>3213</v>
      </c>
      <c r="O1944" s="220"/>
      <c r="P1944" s="43"/>
      <c r="Q1944" s="43"/>
      <c r="R1944" s="209"/>
    </row>
    <row r="1945" spans="1:18" ht="35.25" customHeight="1">
      <c r="A1945" s="15">
        <f t="shared" si="30"/>
        <v>1935</v>
      </c>
      <c r="B1945" s="211" t="s">
        <v>3036</v>
      </c>
      <c r="C1945" s="206" t="s">
        <v>3035</v>
      </c>
      <c r="D1945" s="19"/>
      <c r="E1945" s="19"/>
      <c r="F1945" s="19"/>
      <c r="G1945" s="206"/>
      <c r="H1945" s="141"/>
      <c r="I1945" s="207" t="s">
        <v>18</v>
      </c>
      <c r="J1945" s="207">
        <v>1</v>
      </c>
      <c r="K1945" s="142" t="s">
        <v>730</v>
      </c>
      <c r="L1945" s="275" t="s">
        <v>3209</v>
      </c>
      <c r="M1945" s="11"/>
      <c r="N1945" s="208" t="s">
        <v>3213</v>
      </c>
      <c r="O1945" s="220"/>
      <c r="P1945" s="43"/>
      <c r="Q1945" s="43"/>
      <c r="R1945" s="209"/>
    </row>
    <row r="1946" spans="1:18" ht="35.25" customHeight="1">
      <c r="A1946" s="15">
        <f t="shared" si="30"/>
        <v>1936</v>
      </c>
      <c r="B1946" s="211" t="s">
        <v>3037</v>
      </c>
      <c r="C1946" s="206" t="s">
        <v>3035</v>
      </c>
      <c r="D1946" s="19"/>
      <c r="E1946" s="19"/>
      <c r="F1946" s="19"/>
      <c r="G1946" s="206"/>
      <c r="H1946" s="141"/>
      <c r="I1946" s="207" t="s">
        <v>18</v>
      </c>
      <c r="J1946" s="207">
        <v>1</v>
      </c>
      <c r="K1946" s="142" t="s">
        <v>730</v>
      </c>
      <c r="L1946" s="275" t="s">
        <v>3209</v>
      </c>
      <c r="M1946" s="11"/>
      <c r="N1946" s="208" t="s">
        <v>3213</v>
      </c>
      <c r="O1946" s="220"/>
      <c r="P1946" s="43"/>
      <c r="Q1946" s="43"/>
      <c r="R1946" s="209"/>
    </row>
    <row r="1947" spans="1:18" ht="35.25" customHeight="1">
      <c r="A1947" s="15">
        <f t="shared" si="30"/>
        <v>1937</v>
      </c>
      <c r="B1947" s="211" t="s">
        <v>3038</v>
      </c>
      <c r="C1947" s="206" t="s">
        <v>3035</v>
      </c>
      <c r="D1947" s="19"/>
      <c r="E1947" s="19"/>
      <c r="F1947" s="19"/>
      <c r="G1947" s="206"/>
      <c r="H1947" s="141"/>
      <c r="I1947" s="207" t="s">
        <v>18</v>
      </c>
      <c r="J1947" s="207">
        <v>1</v>
      </c>
      <c r="K1947" s="142" t="s">
        <v>730</v>
      </c>
      <c r="L1947" s="275" t="s">
        <v>3209</v>
      </c>
      <c r="M1947" s="11"/>
      <c r="N1947" s="208" t="s">
        <v>3213</v>
      </c>
      <c r="O1947" s="220"/>
      <c r="P1947" s="43"/>
      <c r="Q1947" s="43"/>
      <c r="R1947" s="209"/>
    </row>
    <row r="1948" spans="1:18" ht="35.25" customHeight="1">
      <c r="A1948" s="15">
        <f t="shared" si="30"/>
        <v>1938</v>
      </c>
      <c r="B1948" s="211" t="s">
        <v>3039</v>
      </c>
      <c r="C1948" s="206" t="s">
        <v>3035</v>
      </c>
      <c r="D1948" s="19"/>
      <c r="E1948" s="19"/>
      <c r="F1948" s="19"/>
      <c r="G1948" s="206"/>
      <c r="H1948" s="141"/>
      <c r="I1948" s="207" t="s">
        <v>18</v>
      </c>
      <c r="J1948" s="207">
        <v>1</v>
      </c>
      <c r="K1948" s="142" t="s">
        <v>730</v>
      </c>
      <c r="L1948" s="275" t="s">
        <v>3209</v>
      </c>
      <c r="M1948" s="11"/>
      <c r="N1948" s="208" t="s">
        <v>3213</v>
      </c>
      <c r="O1948" s="220"/>
      <c r="P1948" s="43"/>
      <c r="Q1948" s="43"/>
      <c r="R1948" s="209"/>
    </row>
    <row r="1949" spans="1:18" ht="35.25" customHeight="1">
      <c r="A1949" s="15">
        <f t="shared" si="30"/>
        <v>1939</v>
      </c>
      <c r="B1949" s="211" t="s">
        <v>3040</v>
      </c>
      <c r="C1949" s="206" t="s">
        <v>3035</v>
      </c>
      <c r="D1949" s="19"/>
      <c r="E1949" s="19"/>
      <c r="F1949" s="19"/>
      <c r="G1949" s="206"/>
      <c r="H1949" s="141"/>
      <c r="I1949" s="207" t="s">
        <v>18</v>
      </c>
      <c r="J1949" s="207">
        <v>1</v>
      </c>
      <c r="K1949" s="142" t="s">
        <v>730</v>
      </c>
      <c r="L1949" s="275" t="s">
        <v>3209</v>
      </c>
      <c r="M1949" s="11"/>
      <c r="N1949" s="208" t="s">
        <v>3213</v>
      </c>
      <c r="O1949" s="220"/>
      <c r="P1949" s="43"/>
      <c r="Q1949" s="43"/>
      <c r="R1949" s="209"/>
    </row>
    <row r="1950" spans="1:18" ht="35.25" customHeight="1">
      <c r="A1950" s="15">
        <f t="shared" si="30"/>
        <v>1940</v>
      </c>
      <c r="B1950" s="211" t="s">
        <v>3041</v>
      </c>
      <c r="C1950" s="206" t="s">
        <v>3035</v>
      </c>
      <c r="D1950" s="19"/>
      <c r="E1950" s="19"/>
      <c r="F1950" s="19"/>
      <c r="G1950" s="206"/>
      <c r="H1950" s="141"/>
      <c r="I1950" s="207" t="s">
        <v>18</v>
      </c>
      <c r="J1950" s="207">
        <v>1</v>
      </c>
      <c r="K1950" s="142" t="s">
        <v>730</v>
      </c>
      <c r="L1950" s="275" t="s">
        <v>3209</v>
      </c>
      <c r="M1950" s="11"/>
      <c r="N1950" s="208" t="s">
        <v>3213</v>
      </c>
      <c r="O1950" s="220"/>
      <c r="P1950" s="43"/>
      <c r="Q1950" s="43"/>
      <c r="R1950" s="209"/>
    </row>
    <row r="1951" spans="1:18" ht="35.25" customHeight="1">
      <c r="A1951" s="15">
        <f t="shared" si="30"/>
        <v>1941</v>
      </c>
      <c r="B1951" s="211" t="s">
        <v>3042</v>
      </c>
      <c r="C1951" s="206" t="s">
        <v>3043</v>
      </c>
      <c r="D1951" s="19"/>
      <c r="E1951" s="19"/>
      <c r="F1951" s="19"/>
      <c r="G1951" s="206"/>
      <c r="H1951" s="141"/>
      <c r="I1951" s="207" t="s">
        <v>18</v>
      </c>
      <c r="J1951" s="207">
        <v>1</v>
      </c>
      <c r="K1951" s="142" t="s">
        <v>730</v>
      </c>
      <c r="L1951" s="275" t="s">
        <v>3209</v>
      </c>
      <c r="M1951" s="11"/>
      <c r="N1951" s="208" t="s">
        <v>3213</v>
      </c>
      <c r="O1951" s="220"/>
      <c r="P1951" s="43"/>
      <c r="Q1951" s="43"/>
      <c r="R1951" s="209"/>
    </row>
    <row r="1952" spans="1:18" ht="35.25" customHeight="1">
      <c r="A1952" s="15">
        <f t="shared" si="30"/>
        <v>1942</v>
      </c>
      <c r="B1952" s="211" t="s">
        <v>3044</v>
      </c>
      <c r="C1952" s="206" t="s">
        <v>3043</v>
      </c>
      <c r="D1952" s="19"/>
      <c r="E1952" s="19"/>
      <c r="F1952" s="19"/>
      <c r="G1952" s="206"/>
      <c r="H1952" s="141"/>
      <c r="I1952" s="207" t="s">
        <v>18</v>
      </c>
      <c r="J1952" s="207">
        <v>1</v>
      </c>
      <c r="K1952" s="142" t="s">
        <v>730</v>
      </c>
      <c r="L1952" s="275" t="s">
        <v>3209</v>
      </c>
      <c r="M1952" s="11"/>
      <c r="N1952" s="208" t="s">
        <v>3213</v>
      </c>
      <c r="O1952" s="220"/>
      <c r="P1952" s="43"/>
      <c r="Q1952" s="43"/>
      <c r="R1952" s="209"/>
    </row>
    <row r="1953" spans="1:18" ht="35.25" customHeight="1">
      <c r="A1953" s="15">
        <f t="shared" si="30"/>
        <v>1943</v>
      </c>
      <c r="B1953" s="211" t="s">
        <v>3045</v>
      </c>
      <c r="C1953" s="206" t="s">
        <v>3043</v>
      </c>
      <c r="D1953" s="19"/>
      <c r="E1953" s="19"/>
      <c r="F1953" s="19"/>
      <c r="G1953" s="206"/>
      <c r="H1953" s="141"/>
      <c r="I1953" s="207" t="s">
        <v>18</v>
      </c>
      <c r="J1953" s="207">
        <v>1</v>
      </c>
      <c r="K1953" s="142" t="s">
        <v>730</v>
      </c>
      <c r="L1953" s="275" t="s">
        <v>3209</v>
      </c>
      <c r="M1953" s="11"/>
      <c r="N1953" s="208" t="s">
        <v>3213</v>
      </c>
      <c r="O1953" s="220"/>
      <c r="P1953" s="43"/>
      <c r="Q1953" s="43"/>
      <c r="R1953" s="209"/>
    </row>
    <row r="1954" spans="1:18" ht="35.25" customHeight="1">
      <c r="A1954" s="15">
        <f t="shared" si="30"/>
        <v>1944</v>
      </c>
      <c r="B1954" s="211" t="s">
        <v>3046</v>
      </c>
      <c r="C1954" s="206" t="s">
        <v>3043</v>
      </c>
      <c r="D1954" s="19"/>
      <c r="E1954" s="19"/>
      <c r="F1954" s="19"/>
      <c r="G1954" s="206"/>
      <c r="H1954" s="141"/>
      <c r="I1954" s="207" t="s">
        <v>18</v>
      </c>
      <c r="J1954" s="207">
        <v>1</v>
      </c>
      <c r="K1954" s="142" t="s">
        <v>730</v>
      </c>
      <c r="L1954" s="275" t="s">
        <v>3209</v>
      </c>
      <c r="M1954" s="11"/>
      <c r="N1954" s="208" t="s">
        <v>3213</v>
      </c>
      <c r="O1954" s="220"/>
      <c r="P1954" s="43"/>
      <c r="Q1954" s="43"/>
      <c r="R1954" s="209"/>
    </row>
    <row r="1955" spans="1:18" ht="35.25" customHeight="1">
      <c r="A1955" s="15">
        <f t="shared" si="30"/>
        <v>1945</v>
      </c>
      <c r="B1955" s="211" t="s">
        <v>3047</v>
      </c>
      <c r="C1955" s="206" t="s">
        <v>3043</v>
      </c>
      <c r="D1955" s="19"/>
      <c r="E1955" s="19"/>
      <c r="F1955" s="19"/>
      <c r="G1955" s="206"/>
      <c r="H1955" s="141"/>
      <c r="I1955" s="207" t="s">
        <v>18</v>
      </c>
      <c r="J1955" s="207">
        <v>1</v>
      </c>
      <c r="K1955" s="142" t="s">
        <v>730</v>
      </c>
      <c r="L1955" s="275" t="s">
        <v>3209</v>
      </c>
      <c r="M1955" s="11"/>
      <c r="N1955" s="208" t="s">
        <v>3213</v>
      </c>
      <c r="O1955" s="220"/>
      <c r="P1955" s="43"/>
      <c r="Q1955" s="43"/>
      <c r="R1955" s="209"/>
    </row>
    <row r="1956" spans="1:18" ht="35.25" customHeight="1">
      <c r="A1956" s="15">
        <f t="shared" si="30"/>
        <v>1946</v>
      </c>
      <c r="B1956" s="211" t="s">
        <v>3048</v>
      </c>
      <c r="C1956" s="206" t="s">
        <v>3043</v>
      </c>
      <c r="D1956" s="19"/>
      <c r="E1956" s="19"/>
      <c r="F1956" s="19"/>
      <c r="G1956" s="206"/>
      <c r="H1956" s="141"/>
      <c r="I1956" s="207" t="s">
        <v>18</v>
      </c>
      <c r="J1956" s="207">
        <v>1</v>
      </c>
      <c r="K1956" s="142" t="s">
        <v>730</v>
      </c>
      <c r="L1956" s="275" t="s">
        <v>3209</v>
      </c>
      <c r="M1956" s="11"/>
      <c r="N1956" s="208" t="s">
        <v>3213</v>
      </c>
      <c r="O1956" s="220"/>
      <c r="P1956" s="43"/>
      <c r="Q1956" s="43"/>
      <c r="R1956" s="209"/>
    </row>
    <row r="1957" spans="1:18" ht="35.25" customHeight="1">
      <c r="A1957" s="15">
        <f t="shared" si="30"/>
        <v>1947</v>
      </c>
      <c r="B1957" s="211" t="s">
        <v>3049</v>
      </c>
      <c r="C1957" s="206" t="s">
        <v>3043</v>
      </c>
      <c r="D1957" s="19"/>
      <c r="E1957" s="19"/>
      <c r="F1957" s="19"/>
      <c r="G1957" s="206"/>
      <c r="H1957" s="141"/>
      <c r="I1957" s="207" t="s">
        <v>18</v>
      </c>
      <c r="J1957" s="207">
        <v>1</v>
      </c>
      <c r="K1957" s="142" t="s">
        <v>730</v>
      </c>
      <c r="L1957" s="275" t="s">
        <v>3209</v>
      </c>
      <c r="M1957" s="11"/>
      <c r="N1957" s="208" t="s">
        <v>3213</v>
      </c>
      <c r="O1957" s="220"/>
      <c r="P1957" s="43"/>
      <c r="Q1957" s="43"/>
      <c r="R1957" s="209"/>
    </row>
    <row r="1958" spans="1:18" ht="35.25" customHeight="1">
      <c r="A1958" s="15">
        <f t="shared" si="30"/>
        <v>1948</v>
      </c>
      <c r="B1958" s="211" t="s">
        <v>3050</v>
      </c>
      <c r="C1958" s="206" t="s">
        <v>3051</v>
      </c>
      <c r="D1958" s="19"/>
      <c r="E1958" s="19"/>
      <c r="F1958" s="19"/>
      <c r="G1958" s="206"/>
      <c r="H1958" s="141"/>
      <c r="I1958" s="207" t="s">
        <v>18</v>
      </c>
      <c r="J1958" s="207">
        <v>1</v>
      </c>
      <c r="K1958" s="142" t="s">
        <v>730</v>
      </c>
      <c r="L1958" s="275" t="s">
        <v>3209</v>
      </c>
      <c r="M1958" s="11"/>
      <c r="N1958" s="208" t="s">
        <v>3213</v>
      </c>
      <c r="O1958" s="220"/>
      <c r="P1958" s="43"/>
      <c r="Q1958" s="43"/>
      <c r="R1958" s="209"/>
    </row>
    <row r="1959" spans="1:18" ht="35.25" customHeight="1">
      <c r="A1959" s="15">
        <f t="shared" si="30"/>
        <v>1949</v>
      </c>
      <c r="B1959" s="211" t="s">
        <v>3052</v>
      </c>
      <c r="C1959" s="206" t="s">
        <v>3053</v>
      </c>
      <c r="D1959" s="19"/>
      <c r="E1959" s="19"/>
      <c r="F1959" s="19"/>
      <c r="G1959" s="206"/>
      <c r="H1959" s="141"/>
      <c r="I1959" s="207" t="s">
        <v>18</v>
      </c>
      <c r="J1959" s="210">
        <v>1</v>
      </c>
      <c r="K1959" s="142" t="s">
        <v>730</v>
      </c>
      <c r="L1959" s="275" t="s">
        <v>3209</v>
      </c>
      <c r="M1959" s="11"/>
      <c r="N1959" s="208" t="s">
        <v>3213</v>
      </c>
      <c r="O1959" s="220"/>
      <c r="P1959" s="43"/>
      <c r="Q1959" s="43"/>
      <c r="R1959" s="209"/>
    </row>
    <row r="1960" spans="1:18" ht="35.25" customHeight="1">
      <c r="A1960" s="15">
        <f t="shared" si="30"/>
        <v>1950</v>
      </c>
      <c r="B1960" s="211" t="s">
        <v>3054</v>
      </c>
      <c r="C1960" s="206" t="s">
        <v>3053</v>
      </c>
      <c r="D1960" s="19"/>
      <c r="E1960" s="19"/>
      <c r="F1960" s="19"/>
      <c r="G1960" s="206"/>
      <c r="H1960" s="141"/>
      <c r="I1960" s="207" t="s">
        <v>18</v>
      </c>
      <c r="J1960" s="207">
        <v>1</v>
      </c>
      <c r="K1960" s="142" t="s">
        <v>730</v>
      </c>
      <c r="L1960" s="275" t="s">
        <v>3209</v>
      </c>
      <c r="M1960" s="11"/>
      <c r="N1960" s="208" t="s">
        <v>3213</v>
      </c>
      <c r="O1960" s="220"/>
      <c r="P1960" s="43"/>
      <c r="Q1960" s="43"/>
      <c r="R1960" s="209"/>
    </row>
    <row r="1961" spans="1:18" ht="35.25" customHeight="1">
      <c r="A1961" s="15">
        <f t="shared" si="30"/>
        <v>1951</v>
      </c>
      <c r="B1961" s="211" t="s">
        <v>3055</v>
      </c>
      <c r="C1961" s="206" t="s">
        <v>3053</v>
      </c>
      <c r="D1961" s="19"/>
      <c r="E1961" s="19"/>
      <c r="F1961" s="19"/>
      <c r="G1961" s="206"/>
      <c r="H1961" s="141"/>
      <c r="I1961" s="207" t="s">
        <v>18</v>
      </c>
      <c r="J1961" s="210">
        <v>1</v>
      </c>
      <c r="K1961" s="142" t="s">
        <v>730</v>
      </c>
      <c r="L1961" s="275" t="s">
        <v>3209</v>
      </c>
      <c r="M1961" s="11"/>
      <c r="N1961" s="208" t="s">
        <v>3213</v>
      </c>
      <c r="O1961" s="220"/>
      <c r="P1961" s="43"/>
      <c r="Q1961" s="43"/>
      <c r="R1961" s="209"/>
    </row>
    <row r="1962" spans="1:18" ht="35.25" customHeight="1">
      <c r="A1962" s="15">
        <f t="shared" si="30"/>
        <v>1952</v>
      </c>
      <c r="B1962" s="211" t="s">
        <v>3056</v>
      </c>
      <c r="C1962" s="206" t="s">
        <v>3053</v>
      </c>
      <c r="D1962" s="19"/>
      <c r="E1962" s="19"/>
      <c r="F1962" s="19"/>
      <c r="G1962" s="206"/>
      <c r="H1962" s="141"/>
      <c r="I1962" s="207" t="s">
        <v>18</v>
      </c>
      <c r="J1962" s="207">
        <v>1</v>
      </c>
      <c r="K1962" s="142" t="s">
        <v>730</v>
      </c>
      <c r="L1962" s="275" t="s">
        <v>3209</v>
      </c>
      <c r="M1962" s="11"/>
      <c r="N1962" s="208" t="s">
        <v>3213</v>
      </c>
      <c r="O1962" s="220"/>
      <c r="P1962" s="43"/>
      <c r="Q1962" s="43"/>
      <c r="R1962" s="209"/>
    </row>
    <row r="1963" spans="1:18" ht="35.25" customHeight="1">
      <c r="A1963" s="15">
        <f t="shared" si="30"/>
        <v>1953</v>
      </c>
      <c r="B1963" s="211" t="s">
        <v>3057</v>
      </c>
      <c r="C1963" s="206" t="s">
        <v>3053</v>
      </c>
      <c r="D1963" s="19"/>
      <c r="E1963" s="19"/>
      <c r="F1963" s="19"/>
      <c r="G1963" s="206"/>
      <c r="H1963" s="141"/>
      <c r="I1963" s="207" t="s">
        <v>18</v>
      </c>
      <c r="J1963" s="210">
        <v>1</v>
      </c>
      <c r="K1963" s="142" t="s">
        <v>730</v>
      </c>
      <c r="L1963" s="275" t="s">
        <v>3209</v>
      </c>
      <c r="M1963" s="11"/>
      <c r="N1963" s="208" t="s">
        <v>3213</v>
      </c>
      <c r="O1963" s="220"/>
      <c r="P1963" s="43"/>
      <c r="Q1963" s="43"/>
      <c r="R1963" s="209"/>
    </row>
    <row r="1964" spans="1:18" ht="35.25" customHeight="1">
      <c r="A1964" s="15">
        <f t="shared" si="30"/>
        <v>1954</v>
      </c>
      <c r="B1964" s="211" t="s">
        <v>3058</v>
      </c>
      <c r="C1964" s="206" t="s">
        <v>3053</v>
      </c>
      <c r="D1964" s="19"/>
      <c r="E1964" s="19"/>
      <c r="F1964" s="19"/>
      <c r="G1964" s="206"/>
      <c r="H1964" s="141"/>
      <c r="I1964" s="207" t="s">
        <v>18</v>
      </c>
      <c r="J1964" s="207">
        <v>1</v>
      </c>
      <c r="K1964" s="142" t="s">
        <v>730</v>
      </c>
      <c r="L1964" s="275" t="s">
        <v>3209</v>
      </c>
      <c r="M1964" s="11"/>
      <c r="N1964" s="208" t="s">
        <v>3213</v>
      </c>
      <c r="O1964" s="220"/>
      <c r="P1964" s="43"/>
      <c r="Q1964" s="43"/>
      <c r="R1964" s="209"/>
    </row>
    <row r="1965" spans="1:18" ht="35.25" customHeight="1">
      <c r="A1965" s="15">
        <f t="shared" si="30"/>
        <v>1955</v>
      </c>
      <c r="B1965" s="211" t="s">
        <v>3059</v>
      </c>
      <c r="C1965" s="206" t="s">
        <v>3060</v>
      </c>
      <c r="D1965" s="19"/>
      <c r="E1965" s="19"/>
      <c r="F1965" s="19"/>
      <c r="G1965" s="206"/>
      <c r="H1965" s="141"/>
      <c r="I1965" s="207" t="s">
        <v>18</v>
      </c>
      <c r="J1965" s="210">
        <v>1</v>
      </c>
      <c r="K1965" s="142" t="s">
        <v>730</v>
      </c>
      <c r="L1965" s="275" t="s">
        <v>3209</v>
      </c>
      <c r="M1965" s="11"/>
      <c r="N1965" s="208" t="s">
        <v>3213</v>
      </c>
      <c r="O1965" s="220"/>
      <c r="P1965" s="43"/>
      <c r="Q1965" s="43"/>
      <c r="R1965" s="209"/>
    </row>
    <row r="1966" spans="1:18" ht="35.25" customHeight="1">
      <c r="A1966" s="15">
        <f t="shared" si="30"/>
        <v>1956</v>
      </c>
      <c r="B1966" s="211" t="s">
        <v>3061</v>
      </c>
      <c r="C1966" s="206" t="s">
        <v>3060</v>
      </c>
      <c r="D1966" s="19"/>
      <c r="E1966" s="19"/>
      <c r="F1966" s="19"/>
      <c r="G1966" s="206"/>
      <c r="H1966" s="141"/>
      <c r="I1966" s="207" t="s">
        <v>18</v>
      </c>
      <c r="J1966" s="210">
        <v>1</v>
      </c>
      <c r="K1966" s="142" t="s">
        <v>730</v>
      </c>
      <c r="L1966" s="275" t="s">
        <v>3209</v>
      </c>
      <c r="M1966" s="11"/>
      <c r="N1966" s="208" t="s">
        <v>3213</v>
      </c>
      <c r="O1966" s="220"/>
      <c r="P1966" s="43"/>
      <c r="Q1966" s="43"/>
      <c r="R1966" s="209"/>
    </row>
    <row r="1967" spans="1:18" ht="35.25" customHeight="1">
      <c r="A1967" s="15">
        <f t="shared" si="30"/>
        <v>1957</v>
      </c>
      <c r="B1967" s="211" t="s">
        <v>3062</v>
      </c>
      <c r="C1967" s="206" t="s">
        <v>3060</v>
      </c>
      <c r="D1967" s="19"/>
      <c r="E1967" s="19"/>
      <c r="F1967" s="19"/>
      <c r="G1967" s="206"/>
      <c r="H1967" s="141"/>
      <c r="I1967" s="207" t="s">
        <v>18</v>
      </c>
      <c r="J1967" s="210">
        <v>1</v>
      </c>
      <c r="K1967" s="142" t="s">
        <v>730</v>
      </c>
      <c r="L1967" s="275" t="s">
        <v>3209</v>
      </c>
      <c r="M1967" s="11"/>
      <c r="N1967" s="208" t="s">
        <v>3213</v>
      </c>
      <c r="O1967" s="220"/>
      <c r="P1967" s="43"/>
      <c r="Q1967" s="43"/>
      <c r="R1967" s="209"/>
    </row>
    <row r="1968" spans="1:18" ht="35.25" customHeight="1">
      <c r="A1968" s="15">
        <f t="shared" si="30"/>
        <v>1958</v>
      </c>
      <c r="B1968" s="211" t="s">
        <v>3063</v>
      </c>
      <c r="C1968" s="206" t="s">
        <v>3060</v>
      </c>
      <c r="D1968" s="19"/>
      <c r="E1968" s="19"/>
      <c r="F1968" s="19"/>
      <c r="G1968" s="206"/>
      <c r="H1968" s="141"/>
      <c r="I1968" s="207" t="s">
        <v>18</v>
      </c>
      <c r="J1968" s="210">
        <v>1</v>
      </c>
      <c r="K1968" s="142" t="s">
        <v>730</v>
      </c>
      <c r="L1968" s="275" t="s">
        <v>3209</v>
      </c>
      <c r="M1968" s="11"/>
      <c r="N1968" s="208" t="s">
        <v>3213</v>
      </c>
      <c r="O1968" s="220"/>
      <c r="P1968" s="43"/>
      <c r="Q1968" s="43"/>
      <c r="R1968" s="209"/>
    </row>
    <row r="1969" spans="1:18" ht="35.25" customHeight="1">
      <c r="A1969" s="15">
        <f t="shared" si="30"/>
        <v>1959</v>
      </c>
      <c r="B1969" s="211" t="s">
        <v>3064</v>
      </c>
      <c r="C1969" s="206" t="s">
        <v>3060</v>
      </c>
      <c r="D1969" s="19"/>
      <c r="E1969" s="19"/>
      <c r="F1969" s="19"/>
      <c r="G1969" s="206"/>
      <c r="H1969" s="141"/>
      <c r="I1969" s="207" t="s">
        <v>18</v>
      </c>
      <c r="J1969" s="210">
        <v>1</v>
      </c>
      <c r="K1969" s="142" t="s">
        <v>730</v>
      </c>
      <c r="L1969" s="275" t="s">
        <v>3209</v>
      </c>
      <c r="M1969" s="11"/>
      <c r="N1969" s="208" t="s">
        <v>3213</v>
      </c>
      <c r="O1969" s="220"/>
      <c r="P1969" s="43"/>
      <c r="Q1969" s="43"/>
      <c r="R1969" s="209"/>
    </row>
    <row r="1970" spans="1:18" ht="35.25" customHeight="1">
      <c r="A1970" s="15">
        <f t="shared" si="30"/>
        <v>1960</v>
      </c>
      <c r="B1970" s="211" t="s">
        <v>3065</v>
      </c>
      <c r="C1970" s="206" t="s">
        <v>3060</v>
      </c>
      <c r="D1970" s="19"/>
      <c r="E1970" s="19"/>
      <c r="F1970" s="19"/>
      <c r="G1970" s="206"/>
      <c r="H1970" s="141"/>
      <c r="I1970" s="207" t="s">
        <v>18</v>
      </c>
      <c r="J1970" s="210">
        <v>1</v>
      </c>
      <c r="K1970" s="142" t="s">
        <v>730</v>
      </c>
      <c r="L1970" s="275" t="s">
        <v>3209</v>
      </c>
      <c r="M1970" s="11"/>
      <c r="N1970" s="208" t="s">
        <v>3213</v>
      </c>
      <c r="O1970" s="220"/>
      <c r="P1970" s="43"/>
      <c r="Q1970" s="43"/>
      <c r="R1970" s="209"/>
    </row>
    <row r="1971" spans="1:18" ht="35.25" customHeight="1">
      <c r="A1971" s="15">
        <f t="shared" si="30"/>
        <v>1961</v>
      </c>
      <c r="B1971" s="211" t="s">
        <v>3066</v>
      </c>
      <c r="C1971" s="206" t="s">
        <v>3060</v>
      </c>
      <c r="D1971" s="19"/>
      <c r="E1971" s="19"/>
      <c r="F1971" s="19"/>
      <c r="G1971" s="206"/>
      <c r="H1971" s="141"/>
      <c r="I1971" s="207" t="s">
        <v>18</v>
      </c>
      <c r="J1971" s="210">
        <v>1</v>
      </c>
      <c r="K1971" s="142" t="s">
        <v>730</v>
      </c>
      <c r="L1971" s="275" t="s">
        <v>3209</v>
      </c>
      <c r="M1971" s="11"/>
      <c r="N1971" s="208" t="s">
        <v>3213</v>
      </c>
      <c r="O1971" s="220"/>
      <c r="P1971" s="43"/>
      <c r="Q1971" s="43"/>
      <c r="R1971" s="209"/>
    </row>
    <row r="1972" spans="1:18" ht="35.25" customHeight="1">
      <c r="A1972" s="15">
        <f t="shared" si="30"/>
        <v>1962</v>
      </c>
      <c r="B1972" s="211" t="s">
        <v>3067</v>
      </c>
      <c r="C1972" s="206" t="s">
        <v>3060</v>
      </c>
      <c r="D1972" s="19"/>
      <c r="E1972" s="19"/>
      <c r="F1972" s="19"/>
      <c r="G1972" s="206"/>
      <c r="H1972" s="141"/>
      <c r="I1972" s="207" t="s">
        <v>18</v>
      </c>
      <c r="J1972" s="210">
        <v>1</v>
      </c>
      <c r="K1972" s="142" t="s">
        <v>730</v>
      </c>
      <c r="L1972" s="275" t="s">
        <v>3209</v>
      </c>
      <c r="M1972" s="11"/>
      <c r="N1972" s="208" t="s">
        <v>3213</v>
      </c>
      <c r="O1972" s="220"/>
      <c r="P1972" s="43"/>
      <c r="Q1972" s="43"/>
      <c r="R1972" s="209"/>
    </row>
    <row r="1973" spans="1:18" ht="35.25" customHeight="1">
      <c r="A1973" s="15">
        <f t="shared" si="30"/>
        <v>1963</v>
      </c>
      <c r="B1973" s="211" t="s">
        <v>3068</v>
      </c>
      <c r="C1973" s="206" t="s">
        <v>3060</v>
      </c>
      <c r="D1973" s="19"/>
      <c r="E1973" s="19"/>
      <c r="F1973" s="19"/>
      <c r="G1973" s="206"/>
      <c r="H1973" s="141"/>
      <c r="I1973" s="207" t="s">
        <v>18</v>
      </c>
      <c r="J1973" s="210">
        <v>1</v>
      </c>
      <c r="K1973" s="142" t="s">
        <v>730</v>
      </c>
      <c r="L1973" s="275" t="s">
        <v>3209</v>
      </c>
      <c r="M1973" s="11"/>
      <c r="N1973" s="208" t="s">
        <v>3213</v>
      </c>
      <c r="O1973" s="220"/>
      <c r="P1973" s="43"/>
      <c r="Q1973" s="43"/>
      <c r="R1973" s="209"/>
    </row>
    <row r="1974" spans="1:18" ht="35.25" customHeight="1">
      <c r="A1974" s="15">
        <f t="shared" si="30"/>
        <v>1964</v>
      </c>
      <c r="B1974" s="211" t="s">
        <v>3069</v>
      </c>
      <c r="C1974" s="206" t="s">
        <v>3060</v>
      </c>
      <c r="D1974" s="19"/>
      <c r="E1974" s="19"/>
      <c r="F1974" s="19"/>
      <c r="G1974" s="206"/>
      <c r="H1974" s="141"/>
      <c r="I1974" s="207" t="s">
        <v>18</v>
      </c>
      <c r="J1974" s="210">
        <v>1</v>
      </c>
      <c r="K1974" s="142" t="s">
        <v>730</v>
      </c>
      <c r="L1974" s="275" t="s">
        <v>3209</v>
      </c>
      <c r="M1974" s="11"/>
      <c r="N1974" s="208" t="s">
        <v>3213</v>
      </c>
      <c r="O1974" s="220"/>
      <c r="P1974" s="43"/>
      <c r="Q1974" s="43"/>
      <c r="R1974" s="209"/>
    </row>
    <row r="1975" spans="1:18" ht="35.25" customHeight="1">
      <c r="A1975" s="15">
        <f t="shared" si="30"/>
        <v>1965</v>
      </c>
      <c r="B1975" s="211" t="s">
        <v>3070</v>
      </c>
      <c r="C1975" s="206" t="s">
        <v>3060</v>
      </c>
      <c r="D1975" s="19"/>
      <c r="E1975" s="19"/>
      <c r="F1975" s="19"/>
      <c r="G1975" s="206"/>
      <c r="H1975" s="141"/>
      <c r="I1975" s="207" t="s">
        <v>18</v>
      </c>
      <c r="J1975" s="210">
        <v>1</v>
      </c>
      <c r="K1975" s="142" t="s">
        <v>730</v>
      </c>
      <c r="L1975" s="275" t="s">
        <v>3209</v>
      </c>
      <c r="M1975" s="11"/>
      <c r="N1975" s="208" t="s">
        <v>3213</v>
      </c>
      <c r="O1975" s="220"/>
      <c r="P1975" s="43"/>
      <c r="Q1975" s="43"/>
      <c r="R1975" s="209"/>
    </row>
    <row r="1976" spans="1:18" ht="35.25" customHeight="1">
      <c r="A1976" s="15">
        <f t="shared" si="30"/>
        <v>1966</v>
      </c>
      <c r="B1976" s="211" t="s">
        <v>3071</v>
      </c>
      <c r="C1976" s="206" t="s">
        <v>3060</v>
      </c>
      <c r="D1976" s="19"/>
      <c r="E1976" s="19"/>
      <c r="F1976" s="19"/>
      <c r="G1976" s="206"/>
      <c r="H1976" s="141"/>
      <c r="I1976" s="207" t="s">
        <v>18</v>
      </c>
      <c r="J1976" s="210">
        <v>1</v>
      </c>
      <c r="K1976" s="142" t="s">
        <v>730</v>
      </c>
      <c r="L1976" s="275" t="s">
        <v>3209</v>
      </c>
      <c r="M1976" s="11"/>
      <c r="N1976" s="208" t="s">
        <v>3213</v>
      </c>
      <c r="O1976" s="220"/>
      <c r="P1976" s="43"/>
      <c r="Q1976" s="43"/>
      <c r="R1976" s="209"/>
    </row>
    <row r="1977" spans="1:18" ht="35.25" customHeight="1">
      <c r="A1977" s="15">
        <f t="shared" si="30"/>
        <v>1967</v>
      </c>
      <c r="B1977" s="211" t="s">
        <v>3072</v>
      </c>
      <c r="C1977" s="206" t="s">
        <v>3073</v>
      </c>
      <c r="D1977" s="19"/>
      <c r="E1977" s="19"/>
      <c r="F1977" s="19"/>
      <c r="G1977" s="206"/>
      <c r="H1977" s="141"/>
      <c r="I1977" s="207" t="s">
        <v>18</v>
      </c>
      <c r="J1977" s="210">
        <v>1</v>
      </c>
      <c r="K1977" s="142" t="s">
        <v>730</v>
      </c>
      <c r="L1977" s="275" t="s">
        <v>3209</v>
      </c>
      <c r="M1977" s="11"/>
      <c r="N1977" s="208" t="s">
        <v>3213</v>
      </c>
      <c r="O1977" s="220"/>
      <c r="P1977" s="43"/>
      <c r="Q1977" s="43"/>
      <c r="R1977" s="209"/>
    </row>
    <row r="1978" spans="1:18" ht="35.25" customHeight="1">
      <c r="A1978" s="15">
        <f t="shared" si="30"/>
        <v>1968</v>
      </c>
      <c r="B1978" s="211" t="s">
        <v>3074</v>
      </c>
      <c r="C1978" s="206" t="s">
        <v>3073</v>
      </c>
      <c r="D1978" s="19"/>
      <c r="E1978" s="19"/>
      <c r="F1978" s="19"/>
      <c r="G1978" s="206"/>
      <c r="H1978" s="141"/>
      <c r="I1978" s="207" t="s">
        <v>18</v>
      </c>
      <c r="J1978" s="210">
        <v>1</v>
      </c>
      <c r="K1978" s="142" t="s">
        <v>730</v>
      </c>
      <c r="L1978" s="275" t="s">
        <v>3209</v>
      </c>
      <c r="M1978" s="11"/>
      <c r="N1978" s="208" t="s">
        <v>3213</v>
      </c>
      <c r="O1978" s="220"/>
      <c r="P1978" s="43"/>
      <c r="Q1978" s="43"/>
      <c r="R1978" s="209"/>
    </row>
    <row r="1979" spans="1:18" ht="35.25" customHeight="1">
      <c r="A1979" s="15">
        <f t="shared" si="30"/>
        <v>1969</v>
      </c>
      <c r="B1979" s="211" t="s">
        <v>3075</v>
      </c>
      <c r="C1979" s="206" t="s">
        <v>3073</v>
      </c>
      <c r="D1979" s="19"/>
      <c r="E1979" s="19"/>
      <c r="F1979" s="19"/>
      <c r="G1979" s="206"/>
      <c r="H1979" s="141"/>
      <c r="I1979" s="207" t="s">
        <v>18</v>
      </c>
      <c r="J1979" s="210">
        <v>1</v>
      </c>
      <c r="K1979" s="142" t="s">
        <v>730</v>
      </c>
      <c r="L1979" s="275" t="s">
        <v>3209</v>
      </c>
      <c r="M1979" s="11"/>
      <c r="N1979" s="208" t="s">
        <v>3213</v>
      </c>
      <c r="O1979" s="220"/>
      <c r="P1979" s="43"/>
      <c r="Q1979" s="43"/>
      <c r="R1979" s="209"/>
    </row>
    <row r="1980" spans="1:18" ht="35.25" customHeight="1">
      <c r="A1980" s="15">
        <f t="shared" si="30"/>
        <v>1970</v>
      </c>
      <c r="B1980" s="211" t="s">
        <v>3076</v>
      </c>
      <c r="C1980" s="206" t="s">
        <v>3073</v>
      </c>
      <c r="D1980" s="19"/>
      <c r="E1980" s="19"/>
      <c r="F1980" s="19"/>
      <c r="G1980" s="206"/>
      <c r="H1980" s="141"/>
      <c r="I1980" s="207" t="s">
        <v>18</v>
      </c>
      <c r="J1980" s="210">
        <v>1</v>
      </c>
      <c r="K1980" s="142" t="s">
        <v>730</v>
      </c>
      <c r="L1980" s="275" t="s">
        <v>3209</v>
      </c>
      <c r="M1980" s="11"/>
      <c r="N1980" s="208" t="s">
        <v>3213</v>
      </c>
      <c r="O1980" s="220"/>
      <c r="P1980" s="43"/>
      <c r="Q1980" s="43"/>
      <c r="R1980" s="209"/>
    </row>
    <row r="1981" spans="1:18" ht="35.25" customHeight="1">
      <c r="A1981" s="15">
        <f t="shared" si="30"/>
        <v>1971</v>
      </c>
      <c r="B1981" s="211" t="s">
        <v>3077</v>
      </c>
      <c r="C1981" s="206" t="s">
        <v>3073</v>
      </c>
      <c r="D1981" s="19"/>
      <c r="E1981" s="19"/>
      <c r="F1981" s="19"/>
      <c r="G1981" s="206"/>
      <c r="H1981" s="141"/>
      <c r="I1981" s="207" t="s">
        <v>18</v>
      </c>
      <c r="J1981" s="210">
        <v>1</v>
      </c>
      <c r="K1981" s="142" t="s">
        <v>730</v>
      </c>
      <c r="L1981" s="275" t="s">
        <v>3209</v>
      </c>
      <c r="M1981" s="11"/>
      <c r="N1981" s="208" t="s">
        <v>3213</v>
      </c>
      <c r="O1981" s="220"/>
      <c r="P1981" s="43"/>
      <c r="Q1981" s="43"/>
      <c r="R1981" s="209"/>
    </row>
    <row r="1982" spans="1:18" ht="35.25" customHeight="1">
      <c r="A1982" s="15">
        <f t="shared" si="30"/>
        <v>1972</v>
      </c>
      <c r="B1982" s="211" t="s">
        <v>3078</v>
      </c>
      <c r="C1982" s="206" t="s">
        <v>3073</v>
      </c>
      <c r="D1982" s="19"/>
      <c r="E1982" s="19"/>
      <c r="F1982" s="19"/>
      <c r="G1982" s="206"/>
      <c r="H1982" s="141"/>
      <c r="I1982" s="207" t="s">
        <v>18</v>
      </c>
      <c r="J1982" s="210">
        <v>1</v>
      </c>
      <c r="K1982" s="142" t="s">
        <v>730</v>
      </c>
      <c r="L1982" s="275" t="s">
        <v>3209</v>
      </c>
      <c r="M1982" s="11"/>
      <c r="N1982" s="208" t="s">
        <v>3213</v>
      </c>
      <c r="O1982" s="220"/>
      <c r="P1982" s="43"/>
      <c r="Q1982" s="43"/>
      <c r="R1982" s="209"/>
    </row>
    <row r="1983" spans="1:18" ht="35.25" customHeight="1">
      <c r="A1983" s="15">
        <f t="shared" si="30"/>
        <v>1973</v>
      </c>
      <c r="B1983" s="211" t="s">
        <v>3079</v>
      </c>
      <c r="C1983" s="206" t="s">
        <v>3073</v>
      </c>
      <c r="D1983" s="19"/>
      <c r="E1983" s="19"/>
      <c r="F1983" s="19"/>
      <c r="G1983" s="206"/>
      <c r="H1983" s="141"/>
      <c r="I1983" s="207" t="s">
        <v>18</v>
      </c>
      <c r="J1983" s="210">
        <v>1</v>
      </c>
      <c r="K1983" s="142" t="s">
        <v>730</v>
      </c>
      <c r="L1983" s="275" t="s">
        <v>3209</v>
      </c>
      <c r="M1983" s="11"/>
      <c r="N1983" s="208" t="s">
        <v>3213</v>
      </c>
      <c r="O1983" s="220"/>
      <c r="P1983" s="43"/>
      <c r="Q1983" s="43"/>
      <c r="R1983" s="209"/>
    </row>
    <row r="1984" spans="1:18" ht="35.25" customHeight="1">
      <c r="A1984" s="15">
        <f t="shared" si="30"/>
        <v>1974</v>
      </c>
      <c r="B1984" s="211" t="s">
        <v>3080</v>
      </c>
      <c r="C1984" s="206" t="s">
        <v>3081</v>
      </c>
      <c r="D1984" s="19"/>
      <c r="E1984" s="19"/>
      <c r="F1984" s="19"/>
      <c r="G1984" s="206"/>
      <c r="H1984" s="141"/>
      <c r="I1984" s="207" t="s">
        <v>18</v>
      </c>
      <c r="J1984" s="207">
        <v>1</v>
      </c>
      <c r="K1984" s="142" t="s">
        <v>730</v>
      </c>
      <c r="L1984" s="275" t="s">
        <v>3209</v>
      </c>
      <c r="M1984" s="11"/>
      <c r="N1984" s="208" t="s">
        <v>3213</v>
      </c>
      <c r="O1984" s="220"/>
      <c r="P1984" s="43"/>
      <c r="Q1984" s="43"/>
      <c r="R1984" s="209"/>
    </row>
    <row r="1985" spans="1:18" ht="35.25" customHeight="1">
      <c r="A1985" s="15">
        <f t="shared" si="30"/>
        <v>1975</v>
      </c>
      <c r="B1985" s="211" t="s">
        <v>3082</v>
      </c>
      <c r="C1985" s="206" t="s">
        <v>3083</v>
      </c>
      <c r="D1985" s="19"/>
      <c r="E1985" s="19"/>
      <c r="F1985" s="19"/>
      <c r="G1985" s="206"/>
      <c r="H1985" s="141"/>
      <c r="I1985" s="207" t="s">
        <v>18</v>
      </c>
      <c r="J1985" s="207">
        <v>1</v>
      </c>
      <c r="K1985" s="142" t="s">
        <v>730</v>
      </c>
      <c r="L1985" s="275" t="s">
        <v>3209</v>
      </c>
      <c r="M1985" s="276" t="s">
        <v>3267</v>
      </c>
      <c r="N1985" s="208" t="s">
        <v>3214</v>
      </c>
      <c r="O1985" s="220"/>
      <c r="P1985" s="43"/>
      <c r="Q1985" s="43"/>
      <c r="R1985" s="209"/>
    </row>
    <row r="1986" spans="1:18" ht="35.25" customHeight="1">
      <c r="A1986" s="15">
        <f t="shared" si="30"/>
        <v>1976</v>
      </c>
      <c r="B1986" s="211" t="s">
        <v>3084</v>
      </c>
      <c r="C1986" s="206" t="s">
        <v>3085</v>
      </c>
      <c r="D1986" s="19"/>
      <c r="E1986" s="19"/>
      <c r="F1986" s="19"/>
      <c r="G1986" s="206"/>
      <c r="H1986" s="141"/>
      <c r="I1986" s="207" t="s">
        <v>18</v>
      </c>
      <c r="J1986" s="207">
        <v>1</v>
      </c>
      <c r="K1986" s="142" t="s">
        <v>730</v>
      </c>
      <c r="L1986" s="275" t="s">
        <v>3209</v>
      </c>
      <c r="M1986" s="276" t="s">
        <v>3267</v>
      </c>
      <c r="N1986" s="208" t="s">
        <v>3214</v>
      </c>
      <c r="O1986" s="220"/>
      <c r="P1986" s="43"/>
      <c r="Q1986" s="43"/>
      <c r="R1986" s="209"/>
    </row>
    <row r="1987" spans="1:18" ht="35.25" customHeight="1">
      <c r="A1987" s="15">
        <f t="shared" si="30"/>
        <v>1977</v>
      </c>
      <c r="B1987" s="211" t="s">
        <v>3086</v>
      </c>
      <c r="C1987" s="206" t="s">
        <v>3087</v>
      </c>
      <c r="D1987" s="19"/>
      <c r="E1987" s="19"/>
      <c r="F1987" s="19"/>
      <c r="G1987" s="206"/>
      <c r="H1987" s="141"/>
      <c r="I1987" s="207" t="s">
        <v>18</v>
      </c>
      <c r="J1987" s="207">
        <v>1</v>
      </c>
      <c r="K1987" s="142" t="s">
        <v>730</v>
      </c>
      <c r="L1987" s="275" t="s">
        <v>3209</v>
      </c>
      <c r="M1987" s="11"/>
      <c r="N1987" s="208" t="s">
        <v>3213</v>
      </c>
      <c r="O1987" s="220"/>
      <c r="P1987" s="43"/>
      <c r="Q1987" s="43"/>
      <c r="R1987" s="209"/>
    </row>
    <row r="1988" spans="1:18" ht="35.25" customHeight="1">
      <c r="A1988" s="15">
        <f t="shared" si="30"/>
        <v>1978</v>
      </c>
      <c r="B1988" s="211" t="s">
        <v>1867</v>
      </c>
      <c r="C1988" s="206" t="s">
        <v>3088</v>
      </c>
      <c r="D1988" s="19"/>
      <c r="E1988" s="19"/>
      <c r="F1988" s="19"/>
      <c r="G1988" s="206"/>
      <c r="H1988" s="141"/>
      <c r="I1988" s="207" t="s">
        <v>18</v>
      </c>
      <c r="J1988" s="207">
        <v>1</v>
      </c>
      <c r="K1988" s="142" t="s">
        <v>730</v>
      </c>
      <c r="L1988" s="275" t="s">
        <v>3209</v>
      </c>
      <c r="M1988" s="11"/>
      <c r="N1988" s="208" t="s">
        <v>3213</v>
      </c>
      <c r="O1988" s="220"/>
      <c r="P1988" s="43"/>
      <c r="Q1988" s="43"/>
      <c r="R1988" s="209"/>
    </row>
    <row r="1989" spans="1:18" ht="35.25" customHeight="1">
      <c r="A1989" s="15">
        <f t="shared" si="30"/>
        <v>1979</v>
      </c>
      <c r="B1989" s="211" t="s">
        <v>3089</v>
      </c>
      <c r="C1989" s="206" t="s">
        <v>3088</v>
      </c>
      <c r="D1989" s="19"/>
      <c r="E1989" s="19"/>
      <c r="F1989" s="19"/>
      <c r="G1989" s="206"/>
      <c r="H1989" s="141"/>
      <c r="I1989" s="207" t="s">
        <v>18</v>
      </c>
      <c r="J1989" s="207">
        <v>1</v>
      </c>
      <c r="K1989" s="142" t="s">
        <v>730</v>
      </c>
      <c r="L1989" s="275" t="s">
        <v>3209</v>
      </c>
      <c r="M1989" s="11"/>
      <c r="N1989" s="208" t="s">
        <v>3213</v>
      </c>
      <c r="O1989" s="220"/>
      <c r="P1989" s="43"/>
      <c r="Q1989" s="43"/>
      <c r="R1989" s="209"/>
    </row>
    <row r="1990" spans="1:18" ht="35.25" customHeight="1">
      <c r="A1990" s="15">
        <f t="shared" si="30"/>
        <v>1980</v>
      </c>
      <c r="B1990" s="211" t="s">
        <v>3090</v>
      </c>
      <c r="C1990" s="206" t="s">
        <v>3088</v>
      </c>
      <c r="D1990" s="19"/>
      <c r="E1990" s="19"/>
      <c r="F1990" s="19"/>
      <c r="G1990" s="206"/>
      <c r="H1990" s="141"/>
      <c r="I1990" s="207" t="s">
        <v>18</v>
      </c>
      <c r="J1990" s="207">
        <v>1</v>
      </c>
      <c r="K1990" s="142" t="s">
        <v>730</v>
      </c>
      <c r="L1990" s="275" t="s">
        <v>3209</v>
      </c>
      <c r="M1990" s="11"/>
      <c r="N1990" s="208" t="s">
        <v>3213</v>
      </c>
      <c r="O1990" s="220"/>
      <c r="P1990" s="43"/>
      <c r="Q1990" s="43"/>
      <c r="R1990" s="209"/>
    </row>
    <row r="1991" spans="1:18" ht="35.25" customHeight="1">
      <c r="A1991" s="15">
        <f t="shared" si="30"/>
        <v>1981</v>
      </c>
      <c r="B1991" s="211" t="s">
        <v>3091</v>
      </c>
      <c r="C1991" s="206" t="s">
        <v>3088</v>
      </c>
      <c r="D1991" s="19"/>
      <c r="E1991" s="19"/>
      <c r="F1991" s="19"/>
      <c r="G1991" s="206"/>
      <c r="H1991" s="141"/>
      <c r="I1991" s="207" t="s">
        <v>18</v>
      </c>
      <c r="J1991" s="207">
        <v>1</v>
      </c>
      <c r="K1991" s="142" t="s">
        <v>730</v>
      </c>
      <c r="L1991" s="275" t="s">
        <v>3209</v>
      </c>
      <c r="M1991" s="11"/>
      <c r="N1991" s="208" t="s">
        <v>3213</v>
      </c>
      <c r="O1991" s="220"/>
      <c r="P1991" s="43"/>
      <c r="Q1991" s="43"/>
      <c r="R1991" s="209"/>
    </row>
    <row r="1992" spans="1:18" ht="35.25" customHeight="1">
      <c r="A1992" s="15">
        <f t="shared" si="30"/>
        <v>1982</v>
      </c>
      <c r="B1992" s="221" t="s">
        <v>3092</v>
      </c>
      <c r="C1992" s="206" t="s">
        <v>3093</v>
      </c>
      <c r="D1992" s="19"/>
      <c r="E1992" s="19"/>
      <c r="F1992" s="19"/>
      <c r="G1992" s="206"/>
      <c r="H1992" s="141"/>
      <c r="I1992" s="207" t="s">
        <v>18</v>
      </c>
      <c r="J1992" s="207">
        <v>1</v>
      </c>
      <c r="K1992" s="142" t="s">
        <v>730</v>
      </c>
      <c r="L1992" s="275" t="s">
        <v>3209</v>
      </c>
      <c r="M1992" s="11"/>
      <c r="N1992" s="208" t="s">
        <v>3213</v>
      </c>
      <c r="O1992" s="220"/>
      <c r="P1992" s="43"/>
      <c r="Q1992" s="43"/>
      <c r="R1992" s="209"/>
    </row>
    <row r="1993" spans="1:18" ht="35.25" customHeight="1">
      <c r="A1993" s="15">
        <f t="shared" si="30"/>
        <v>1983</v>
      </c>
      <c r="B1993" s="221" t="s">
        <v>3094</v>
      </c>
      <c r="C1993" s="206" t="s">
        <v>3095</v>
      </c>
      <c r="D1993" s="19"/>
      <c r="E1993" s="19"/>
      <c r="F1993" s="19"/>
      <c r="G1993" s="206"/>
      <c r="H1993" s="141"/>
      <c r="I1993" s="207" t="s">
        <v>18</v>
      </c>
      <c r="J1993" s="207">
        <v>1</v>
      </c>
      <c r="K1993" s="142" t="s">
        <v>730</v>
      </c>
      <c r="L1993" s="275" t="s">
        <v>3209</v>
      </c>
      <c r="M1993" s="11"/>
      <c r="N1993" s="208" t="s">
        <v>3213</v>
      </c>
      <c r="O1993" s="220"/>
      <c r="P1993" s="43"/>
      <c r="Q1993" s="43"/>
      <c r="R1993" s="209"/>
    </row>
    <row r="1994" spans="1:18" ht="35.25" customHeight="1">
      <c r="A1994" s="15">
        <f t="shared" si="30"/>
        <v>1984</v>
      </c>
      <c r="B1994" s="221" t="s">
        <v>3096</v>
      </c>
      <c r="C1994" s="206" t="s">
        <v>3097</v>
      </c>
      <c r="D1994" s="19"/>
      <c r="E1994" s="19"/>
      <c r="F1994" s="19"/>
      <c r="G1994" s="206"/>
      <c r="H1994" s="141"/>
      <c r="I1994" s="207" t="s">
        <v>18</v>
      </c>
      <c r="J1994" s="207">
        <v>1</v>
      </c>
      <c r="K1994" s="142" t="s">
        <v>730</v>
      </c>
      <c r="L1994" s="275" t="s">
        <v>3209</v>
      </c>
      <c r="M1994" s="11"/>
      <c r="N1994" s="208" t="s">
        <v>3213</v>
      </c>
      <c r="O1994" s="220"/>
      <c r="P1994" s="43"/>
      <c r="Q1994" s="43"/>
      <c r="R1994" s="209"/>
    </row>
    <row r="1995" spans="1:18" ht="35.25" customHeight="1">
      <c r="A1995" s="15">
        <f t="shared" si="30"/>
        <v>1985</v>
      </c>
      <c r="B1995" s="221" t="s">
        <v>3098</v>
      </c>
      <c r="C1995" s="206" t="s">
        <v>3099</v>
      </c>
      <c r="D1995" s="19"/>
      <c r="E1995" s="19"/>
      <c r="F1995" s="19"/>
      <c r="G1995" s="206"/>
      <c r="H1995" s="141"/>
      <c r="I1995" s="207" t="s">
        <v>18</v>
      </c>
      <c r="J1995" s="207">
        <v>1</v>
      </c>
      <c r="K1995" s="142" t="s">
        <v>730</v>
      </c>
      <c r="L1995" s="275" t="s">
        <v>3209</v>
      </c>
      <c r="M1995" s="11"/>
      <c r="N1995" s="208" t="s">
        <v>3213</v>
      </c>
      <c r="O1995" s="220"/>
      <c r="P1995" s="43"/>
      <c r="Q1995" s="43"/>
      <c r="R1995" s="209"/>
    </row>
    <row r="1996" spans="1:18" ht="35.25" customHeight="1">
      <c r="A1996" s="15">
        <f t="shared" si="30"/>
        <v>1986</v>
      </c>
      <c r="B1996" s="221" t="s">
        <v>3100</v>
      </c>
      <c r="C1996" s="206" t="s">
        <v>3101</v>
      </c>
      <c r="D1996" s="19"/>
      <c r="E1996" s="19"/>
      <c r="F1996" s="19"/>
      <c r="G1996" s="206"/>
      <c r="H1996" s="141"/>
      <c r="I1996" s="207" t="s">
        <v>18</v>
      </c>
      <c r="J1996" s="207">
        <v>1</v>
      </c>
      <c r="K1996" s="142" t="s">
        <v>730</v>
      </c>
      <c r="L1996" s="275" t="s">
        <v>3209</v>
      </c>
      <c r="M1996" s="11"/>
      <c r="N1996" s="208" t="s">
        <v>3213</v>
      </c>
      <c r="O1996" s="220"/>
      <c r="P1996" s="43"/>
      <c r="Q1996" s="43"/>
      <c r="R1996" s="209"/>
    </row>
    <row r="1997" spans="1:18" ht="35.25" customHeight="1">
      <c r="A1997" s="15">
        <f t="shared" si="30"/>
        <v>1987</v>
      </c>
      <c r="B1997" s="221" t="s">
        <v>3102</v>
      </c>
      <c r="C1997" s="206" t="s">
        <v>3103</v>
      </c>
      <c r="D1997" s="19"/>
      <c r="E1997" s="19"/>
      <c r="F1997" s="19"/>
      <c r="G1997" s="206"/>
      <c r="H1997" s="141"/>
      <c r="I1997" s="207" t="s">
        <v>18</v>
      </c>
      <c r="J1997" s="207">
        <v>1</v>
      </c>
      <c r="K1997" s="142" t="s">
        <v>730</v>
      </c>
      <c r="L1997" s="275" t="s">
        <v>3209</v>
      </c>
      <c r="M1997" s="11"/>
      <c r="N1997" s="208" t="s">
        <v>3213</v>
      </c>
      <c r="O1997" s="220"/>
      <c r="P1997" s="43"/>
      <c r="Q1997" s="43"/>
      <c r="R1997" s="209"/>
    </row>
    <row r="1998" spans="1:18" ht="35.25" customHeight="1">
      <c r="A1998" s="15">
        <f t="shared" si="30"/>
        <v>1988</v>
      </c>
      <c r="B1998" s="221" t="s">
        <v>3104</v>
      </c>
      <c r="C1998" s="206" t="s">
        <v>3105</v>
      </c>
      <c r="D1998" s="19"/>
      <c r="E1998" s="19"/>
      <c r="F1998" s="19"/>
      <c r="G1998" s="206"/>
      <c r="H1998" s="141"/>
      <c r="I1998" s="207" t="s">
        <v>18</v>
      </c>
      <c r="J1998" s="207">
        <v>1</v>
      </c>
      <c r="K1998" s="142" t="s">
        <v>730</v>
      </c>
      <c r="L1998" s="275" t="s">
        <v>3209</v>
      </c>
      <c r="M1998" s="11"/>
      <c r="N1998" s="208" t="s">
        <v>3213</v>
      </c>
      <c r="O1998" s="220"/>
      <c r="P1998" s="43"/>
      <c r="Q1998" s="43"/>
      <c r="R1998" s="209"/>
    </row>
    <row r="1999" spans="1:18" ht="35.25" customHeight="1">
      <c r="A1999" s="15">
        <f t="shared" si="30"/>
        <v>1989</v>
      </c>
      <c r="B1999" s="221" t="s">
        <v>3106</v>
      </c>
      <c r="C1999" s="206" t="s">
        <v>3107</v>
      </c>
      <c r="D1999" s="19"/>
      <c r="E1999" s="19"/>
      <c r="F1999" s="19"/>
      <c r="G1999" s="206"/>
      <c r="H1999" s="141"/>
      <c r="I1999" s="207" t="s">
        <v>18</v>
      </c>
      <c r="J1999" s="207">
        <v>1</v>
      </c>
      <c r="K1999" s="142" t="s">
        <v>730</v>
      </c>
      <c r="L1999" s="275" t="s">
        <v>3209</v>
      </c>
      <c r="M1999" s="11"/>
      <c r="N1999" s="208" t="s">
        <v>3213</v>
      </c>
      <c r="O1999" s="220"/>
      <c r="P1999" s="43"/>
      <c r="Q1999" s="43"/>
      <c r="R1999" s="209"/>
    </row>
    <row r="2000" spans="1:18" ht="35.25" customHeight="1">
      <c r="A2000" s="15">
        <f t="shared" si="30"/>
        <v>1990</v>
      </c>
      <c r="B2000" s="221" t="s">
        <v>3108</v>
      </c>
      <c r="C2000" s="206" t="s">
        <v>3109</v>
      </c>
      <c r="D2000" s="19"/>
      <c r="E2000" s="19"/>
      <c r="F2000" s="19"/>
      <c r="G2000" s="206"/>
      <c r="H2000" s="141"/>
      <c r="I2000" s="207" t="s">
        <v>18</v>
      </c>
      <c r="J2000" s="207">
        <v>1</v>
      </c>
      <c r="K2000" s="142" t="s">
        <v>730</v>
      </c>
      <c r="L2000" s="275" t="s">
        <v>3209</v>
      </c>
      <c r="M2000" s="11"/>
      <c r="N2000" s="208" t="s">
        <v>3213</v>
      </c>
      <c r="O2000" s="220"/>
      <c r="P2000" s="43"/>
      <c r="Q2000" s="43"/>
      <c r="R2000" s="209"/>
    </row>
    <row r="2001" spans="1:18" ht="35.25" customHeight="1">
      <c r="A2001" s="15">
        <f t="shared" si="30"/>
        <v>1991</v>
      </c>
      <c r="B2001" s="221" t="s">
        <v>3110</v>
      </c>
      <c r="C2001" s="206" t="s">
        <v>3111</v>
      </c>
      <c r="D2001" s="19"/>
      <c r="E2001" s="19"/>
      <c r="F2001" s="19"/>
      <c r="G2001" s="206"/>
      <c r="H2001" s="141"/>
      <c r="I2001" s="207" t="s">
        <v>18</v>
      </c>
      <c r="J2001" s="207">
        <v>1</v>
      </c>
      <c r="K2001" s="142" t="s">
        <v>730</v>
      </c>
      <c r="L2001" s="275" t="s">
        <v>3209</v>
      </c>
      <c r="M2001" s="11"/>
      <c r="N2001" s="208" t="s">
        <v>3213</v>
      </c>
      <c r="O2001" s="220"/>
      <c r="P2001" s="43"/>
      <c r="Q2001" s="43"/>
      <c r="R2001" s="209"/>
    </row>
    <row r="2002" spans="1:18" ht="35.25" customHeight="1">
      <c r="A2002" s="15">
        <f t="shared" si="30"/>
        <v>1992</v>
      </c>
      <c r="B2002" s="221" t="s">
        <v>3112</v>
      </c>
      <c r="C2002" s="211" t="s">
        <v>3113</v>
      </c>
      <c r="D2002" s="19"/>
      <c r="E2002" s="19"/>
      <c r="F2002" s="19"/>
      <c r="G2002" s="206"/>
      <c r="H2002" s="141"/>
      <c r="I2002" s="207" t="s">
        <v>18</v>
      </c>
      <c r="J2002" s="207">
        <v>1</v>
      </c>
      <c r="K2002" s="142" t="s">
        <v>730</v>
      </c>
      <c r="L2002" s="275" t="s">
        <v>3209</v>
      </c>
      <c r="M2002" s="11"/>
      <c r="N2002" s="208" t="s">
        <v>3213</v>
      </c>
      <c r="O2002" s="220"/>
      <c r="P2002" s="43"/>
      <c r="Q2002" s="43"/>
      <c r="R2002" s="209"/>
    </row>
    <row r="2003" spans="1:18" ht="35.25" customHeight="1">
      <c r="A2003" s="15">
        <f t="shared" ref="A2003:A2066" si="31">A2002+1</f>
        <v>1993</v>
      </c>
      <c r="B2003" s="221" t="s">
        <v>3114</v>
      </c>
      <c r="C2003" s="211" t="s">
        <v>3115</v>
      </c>
      <c r="D2003" s="19"/>
      <c r="E2003" s="19"/>
      <c r="F2003" s="19"/>
      <c r="G2003" s="225"/>
      <c r="H2003" s="141"/>
      <c r="I2003" s="207" t="s">
        <v>18</v>
      </c>
      <c r="J2003" s="207">
        <v>1</v>
      </c>
      <c r="K2003" s="142" t="s">
        <v>730</v>
      </c>
      <c r="L2003" s="275" t="s">
        <v>3209</v>
      </c>
      <c r="M2003" s="11"/>
      <c r="N2003" s="208" t="s">
        <v>3213</v>
      </c>
      <c r="O2003" s="220"/>
      <c r="P2003" s="43"/>
      <c r="Q2003" s="43"/>
      <c r="R2003" s="209"/>
    </row>
    <row r="2004" spans="1:18" ht="35.25" customHeight="1">
      <c r="A2004" s="15">
        <f t="shared" si="31"/>
        <v>1994</v>
      </c>
      <c r="B2004" s="221" t="s">
        <v>3116</v>
      </c>
      <c r="C2004" s="211" t="s">
        <v>3117</v>
      </c>
      <c r="D2004" s="19"/>
      <c r="E2004" s="19"/>
      <c r="F2004" s="19"/>
      <c r="G2004" s="225"/>
      <c r="H2004" s="141"/>
      <c r="I2004" s="207" t="s">
        <v>18</v>
      </c>
      <c r="J2004" s="207">
        <v>1</v>
      </c>
      <c r="K2004" s="142" t="s">
        <v>730</v>
      </c>
      <c r="L2004" s="275" t="s">
        <v>3209</v>
      </c>
      <c r="M2004" s="11"/>
      <c r="N2004" s="208" t="s">
        <v>3213</v>
      </c>
      <c r="O2004" s="220"/>
      <c r="P2004" s="43"/>
      <c r="Q2004" s="43"/>
      <c r="R2004" s="209"/>
    </row>
    <row r="2005" spans="1:18" ht="35.25" customHeight="1">
      <c r="A2005" s="15">
        <f t="shared" si="31"/>
        <v>1995</v>
      </c>
      <c r="B2005" s="221" t="s">
        <v>3118</v>
      </c>
      <c r="C2005" s="211" t="s">
        <v>3119</v>
      </c>
      <c r="D2005" s="19"/>
      <c r="E2005" s="19"/>
      <c r="F2005" s="19"/>
      <c r="G2005" s="225"/>
      <c r="H2005" s="141"/>
      <c r="I2005" s="207" t="s">
        <v>18</v>
      </c>
      <c r="J2005" s="207">
        <v>1</v>
      </c>
      <c r="K2005" s="142" t="s">
        <v>730</v>
      </c>
      <c r="L2005" s="275" t="s">
        <v>3209</v>
      </c>
      <c r="M2005" s="11"/>
      <c r="N2005" s="208" t="s">
        <v>3213</v>
      </c>
      <c r="O2005" s="220"/>
      <c r="P2005" s="43"/>
      <c r="Q2005" s="43"/>
      <c r="R2005" s="209"/>
    </row>
    <row r="2006" spans="1:18" ht="35.25" customHeight="1">
      <c r="A2006" s="15">
        <f t="shared" si="31"/>
        <v>1996</v>
      </c>
      <c r="B2006" s="212" t="s">
        <v>3120</v>
      </c>
      <c r="C2006" s="206" t="s">
        <v>641</v>
      </c>
      <c r="D2006" s="19"/>
      <c r="E2006" s="19"/>
      <c r="F2006" s="19"/>
      <c r="G2006" s="241">
        <v>335973688</v>
      </c>
      <c r="H2006" s="141"/>
      <c r="I2006" s="213" t="s">
        <v>566</v>
      </c>
      <c r="J2006" s="213">
        <v>1</v>
      </c>
      <c r="K2006" s="142" t="s">
        <v>730</v>
      </c>
      <c r="L2006" s="275" t="s">
        <v>3209</v>
      </c>
      <c r="M2006" s="11"/>
      <c r="N2006" s="206" t="s">
        <v>3213</v>
      </c>
      <c r="O2006" s="206"/>
      <c r="P2006" s="43"/>
      <c r="Q2006" s="43"/>
      <c r="R2006" s="206"/>
    </row>
    <row r="2007" spans="1:18" ht="35.25" customHeight="1">
      <c r="A2007" s="15">
        <f t="shared" si="31"/>
        <v>1997</v>
      </c>
      <c r="B2007" s="214" t="s">
        <v>3121</v>
      </c>
      <c r="C2007" s="215" t="s">
        <v>3122</v>
      </c>
      <c r="D2007" s="19"/>
      <c r="E2007" s="19"/>
      <c r="F2007" s="19"/>
      <c r="G2007" s="242" t="s">
        <v>3199</v>
      </c>
      <c r="H2007" s="141"/>
      <c r="I2007" s="216" t="s">
        <v>18</v>
      </c>
      <c r="J2007" s="216">
        <v>1</v>
      </c>
      <c r="K2007" s="142" t="s">
        <v>730</v>
      </c>
      <c r="L2007" s="275" t="s">
        <v>3209</v>
      </c>
      <c r="M2007" s="276" t="s">
        <v>3267</v>
      </c>
      <c r="N2007" s="274" t="s">
        <v>3214</v>
      </c>
      <c r="O2007" s="220"/>
      <c r="P2007" s="43"/>
      <c r="Q2007" s="43"/>
      <c r="R2007" s="209"/>
    </row>
    <row r="2008" spans="1:18" ht="35.25" customHeight="1">
      <c r="A2008" s="15">
        <f t="shared" si="31"/>
        <v>1998</v>
      </c>
      <c r="B2008" s="214" t="s">
        <v>3123</v>
      </c>
      <c r="C2008" s="215" t="s">
        <v>3124</v>
      </c>
      <c r="D2008" s="19"/>
      <c r="E2008" s="19"/>
      <c r="F2008" s="19"/>
      <c r="G2008" s="242" t="s">
        <v>3200</v>
      </c>
      <c r="H2008" s="141"/>
      <c r="I2008" s="216" t="s">
        <v>18</v>
      </c>
      <c r="J2008" s="216">
        <v>1</v>
      </c>
      <c r="K2008" s="142" t="s">
        <v>730</v>
      </c>
      <c r="L2008" s="275" t="s">
        <v>3209</v>
      </c>
      <c r="M2008" s="11"/>
      <c r="N2008" s="274" t="s">
        <v>3215</v>
      </c>
      <c r="O2008" s="220"/>
      <c r="P2008" s="43"/>
      <c r="Q2008" s="43"/>
      <c r="R2008" s="209"/>
    </row>
    <row r="2009" spans="1:18" ht="35.25" customHeight="1">
      <c r="A2009" s="15">
        <f t="shared" si="31"/>
        <v>1999</v>
      </c>
      <c r="B2009" s="214" t="s">
        <v>3125</v>
      </c>
      <c r="C2009" s="215" t="s">
        <v>3126</v>
      </c>
      <c r="D2009" s="19"/>
      <c r="E2009" s="19"/>
      <c r="F2009" s="19"/>
      <c r="G2009" s="242" t="s">
        <v>3201</v>
      </c>
      <c r="H2009" s="141"/>
      <c r="I2009" s="216" t="s">
        <v>18</v>
      </c>
      <c r="J2009" s="216">
        <v>1</v>
      </c>
      <c r="K2009" s="142" t="s">
        <v>730</v>
      </c>
      <c r="L2009" s="275" t="s">
        <v>3209</v>
      </c>
      <c r="M2009" s="11"/>
      <c r="N2009" s="274" t="s">
        <v>3215</v>
      </c>
      <c r="O2009" s="220"/>
      <c r="P2009" s="43"/>
      <c r="Q2009" s="43"/>
      <c r="R2009" s="209"/>
    </row>
    <row r="2010" spans="1:18" ht="35.25" customHeight="1">
      <c r="A2010" s="15">
        <f t="shared" si="31"/>
        <v>2000</v>
      </c>
      <c r="B2010" s="214" t="s">
        <v>3127</v>
      </c>
      <c r="C2010" s="215" t="s">
        <v>523</v>
      </c>
      <c r="D2010" s="19"/>
      <c r="E2010" s="19"/>
      <c r="F2010" s="19"/>
      <c r="G2010" s="242"/>
      <c r="H2010" s="141"/>
      <c r="I2010" s="216" t="s">
        <v>18</v>
      </c>
      <c r="J2010" s="216">
        <v>1</v>
      </c>
      <c r="K2010" s="142" t="s">
        <v>730</v>
      </c>
      <c r="L2010" s="275" t="s">
        <v>3209</v>
      </c>
      <c r="M2010" s="11"/>
      <c r="N2010" s="208" t="s">
        <v>3213</v>
      </c>
      <c r="O2010" s="220"/>
      <c r="P2010" s="43"/>
      <c r="Q2010" s="43"/>
      <c r="R2010" s="209"/>
    </row>
    <row r="2011" spans="1:18" ht="35.25" customHeight="1">
      <c r="A2011" s="15">
        <f t="shared" si="31"/>
        <v>2001</v>
      </c>
      <c r="B2011" s="214" t="s">
        <v>3128</v>
      </c>
      <c r="C2011" s="215" t="s">
        <v>601</v>
      </c>
      <c r="D2011" s="19"/>
      <c r="E2011" s="19"/>
      <c r="F2011" s="19"/>
      <c r="G2011" s="242"/>
      <c r="H2011" s="141"/>
      <c r="I2011" s="216" t="s">
        <v>18</v>
      </c>
      <c r="J2011" s="216">
        <v>1</v>
      </c>
      <c r="K2011" s="142" t="s">
        <v>730</v>
      </c>
      <c r="L2011" s="275" t="s">
        <v>3209</v>
      </c>
      <c r="M2011" s="11"/>
      <c r="N2011" s="206" t="s">
        <v>3213</v>
      </c>
      <c r="O2011" s="220"/>
      <c r="P2011" s="43"/>
      <c r="Q2011" s="43"/>
      <c r="R2011" s="209"/>
    </row>
    <row r="2012" spans="1:18" ht="35.25" customHeight="1">
      <c r="A2012" s="15">
        <f t="shared" si="31"/>
        <v>2002</v>
      </c>
      <c r="B2012" s="214" t="s">
        <v>3129</v>
      </c>
      <c r="C2012" s="215" t="s">
        <v>3130</v>
      </c>
      <c r="D2012" s="19"/>
      <c r="E2012" s="19"/>
      <c r="F2012" s="19"/>
      <c r="G2012" s="242" t="s">
        <v>3202</v>
      </c>
      <c r="H2012" s="141"/>
      <c r="I2012" s="216" t="s">
        <v>18</v>
      </c>
      <c r="J2012" s="216">
        <v>1</v>
      </c>
      <c r="K2012" s="142" t="s">
        <v>730</v>
      </c>
      <c r="L2012" s="275" t="s">
        <v>3209</v>
      </c>
      <c r="M2012" s="11"/>
      <c r="N2012" s="206" t="s">
        <v>3213</v>
      </c>
      <c r="O2012" s="220"/>
      <c r="P2012" s="43"/>
      <c r="Q2012" s="43"/>
      <c r="R2012" s="274" t="s">
        <v>3216</v>
      </c>
    </row>
    <row r="2013" spans="1:18" ht="35.25" customHeight="1">
      <c r="A2013" s="15">
        <f t="shared" si="31"/>
        <v>2003</v>
      </c>
      <c r="B2013" s="206" t="s">
        <v>3131</v>
      </c>
      <c r="C2013" s="215" t="s">
        <v>3132</v>
      </c>
      <c r="D2013" s="19"/>
      <c r="E2013" s="19"/>
      <c r="F2013" s="19"/>
      <c r="G2013" s="206" t="s">
        <v>3203</v>
      </c>
      <c r="H2013" s="141"/>
      <c r="I2013" s="216" t="s">
        <v>18</v>
      </c>
      <c r="J2013" s="216">
        <v>1</v>
      </c>
      <c r="K2013" s="142" t="s">
        <v>730</v>
      </c>
      <c r="L2013" s="275" t="s">
        <v>3209</v>
      </c>
      <c r="M2013" s="11"/>
      <c r="N2013" s="206" t="s">
        <v>3213</v>
      </c>
      <c r="O2013" s="220"/>
      <c r="P2013" s="43"/>
      <c r="Q2013" s="43"/>
      <c r="R2013" s="274" t="s">
        <v>3216</v>
      </c>
    </row>
    <row r="2014" spans="1:18" ht="35.25" customHeight="1">
      <c r="A2014" s="15">
        <f t="shared" si="31"/>
        <v>2004</v>
      </c>
      <c r="B2014" s="228" t="s">
        <v>3133</v>
      </c>
      <c r="C2014" s="215" t="s">
        <v>3134</v>
      </c>
      <c r="D2014" s="19"/>
      <c r="E2014" s="19"/>
      <c r="F2014" s="19"/>
      <c r="G2014" s="242" t="s">
        <v>3204</v>
      </c>
      <c r="H2014" s="141"/>
      <c r="I2014" s="216" t="s">
        <v>18</v>
      </c>
      <c r="J2014" s="216">
        <v>1</v>
      </c>
      <c r="K2014" s="142" t="s">
        <v>730</v>
      </c>
      <c r="L2014" s="275" t="s">
        <v>3209</v>
      </c>
      <c r="M2014" s="276" t="s">
        <v>3267</v>
      </c>
      <c r="N2014" s="274" t="s">
        <v>3214</v>
      </c>
      <c r="O2014" s="220"/>
      <c r="P2014" s="43"/>
      <c r="Q2014" s="43"/>
      <c r="R2014" s="209"/>
    </row>
    <row r="2015" spans="1:18" ht="35.25" customHeight="1">
      <c r="A2015" s="15">
        <f t="shared" si="31"/>
        <v>2005</v>
      </c>
      <c r="B2015" s="206" t="s">
        <v>3135</v>
      </c>
      <c r="C2015" s="215" t="s">
        <v>3136</v>
      </c>
      <c r="D2015" s="19"/>
      <c r="E2015" s="19"/>
      <c r="F2015" s="19"/>
      <c r="G2015" s="206" t="s">
        <v>3205</v>
      </c>
      <c r="H2015" s="141"/>
      <c r="I2015" s="216" t="s">
        <v>18</v>
      </c>
      <c r="J2015" s="216">
        <v>1</v>
      </c>
      <c r="K2015" s="142" t="s">
        <v>730</v>
      </c>
      <c r="L2015" s="275" t="s">
        <v>3209</v>
      </c>
      <c r="M2015" s="11"/>
      <c r="N2015" s="274" t="s">
        <v>3213</v>
      </c>
      <c r="O2015" s="220"/>
      <c r="P2015" s="43"/>
      <c r="Q2015" s="43"/>
      <c r="R2015" s="274" t="s">
        <v>3216</v>
      </c>
    </row>
    <row r="2016" spans="1:18" ht="35.25" customHeight="1">
      <c r="A2016" s="15">
        <f t="shared" si="31"/>
        <v>2006</v>
      </c>
      <c r="B2016" s="228" t="s">
        <v>3137</v>
      </c>
      <c r="C2016" s="215" t="s">
        <v>3138</v>
      </c>
      <c r="D2016" s="19"/>
      <c r="E2016" s="19"/>
      <c r="F2016" s="19"/>
      <c r="G2016" s="242"/>
      <c r="H2016" s="141"/>
      <c r="I2016" s="216" t="s">
        <v>18</v>
      </c>
      <c r="J2016" s="216">
        <v>1</v>
      </c>
      <c r="K2016" s="142" t="s">
        <v>730</v>
      </c>
      <c r="L2016" s="275" t="s">
        <v>3209</v>
      </c>
      <c r="M2016" s="11"/>
      <c r="N2016" s="274" t="s">
        <v>3213</v>
      </c>
      <c r="O2016" s="220"/>
      <c r="P2016" s="43"/>
      <c r="Q2016" s="43"/>
      <c r="R2016" s="274" t="s">
        <v>3217</v>
      </c>
    </row>
    <row r="2017" spans="1:18" ht="35.25" customHeight="1">
      <c r="A2017" s="15">
        <f t="shared" si="31"/>
        <v>2007</v>
      </c>
      <c r="B2017" s="228" t="s">
        <v>3139</v>
      </c>
      <c r="C2017" s="215" t="s">
        <v>3140</v>
      </c>
      <c r="D2017" s="19"/>
      <c r="E2017" s="19"/>
      <c r="F2017" s="19"/>
      <c r="G2017" s="242"/>
      <c r="H2017" s="141"/>
      <c r="I2017" s="216" t="s">
        <v>18</v>
      </c>
      <c r="J2017" s="216">
        <v>1</v>
      </c>
      <c r="K2017" s="142" t="s">
        <v>730</v>
      </c>
      <c r="L2017" s="275" t="s">
        <v>3209</v>
      </c>
      <c r="M2017" s="11"/>
      <c r="N2017" s="274" t="s">
        <v>3213</v>
      </c>
      <c r="O2017" s="220"/>
      <c r="P2017" s="43"/>
      <c r="Q2017" s="43"/>
      <c r="R2017" s="274" t="s">
        <v>3212</v>
      </c>
    </row>
    <row r="2018" spans="1:18" ht="35.25" customHeight="1">
      <c r="A2018" s="15">
        <f t="shared" si="31"/>
        <v>2008</v>
      </c>
      <c r="B2018" s="228" t="s">
        <v>3141</v>
      </c>
      <c r="C2018" s="215" t="s">
        <v>3142</v>
      </c>
      <c r="D2018" s="19"/>
      <c r="E2018" s="19"/>
      <c r="F2018" s="19"/>
      <c r="G2018" s="242"/>
      <c r="H2018" s="141"/>
      <c r="I2018" s="216" t="s">
        <v>18</v>
      </c>
      <c r="J2018" s="216">
        <v>1</v>
      </c>
      <c r="K2018" s="142" t="s">
        <v>730</v>
      </c>
      <c r="L2018" s="275" t="s">
        <v>3209</v>
      </c>
      <c r="M2018" s="11"/>
      <c r="N2018" s="274" t="s">
        <v>3213</v>
      </c>
      <c r="O2018" s="220"/>
      <c r="P2018" s="43"/>
      <c r="Q2018" s="43"/>
      <c r="R2018" s="274" t="s">
        <v>3217</v>
      </c>
    </row>
    <row r="2019" spans="1:18" ht="35.25" customHeight="1">
      <c r="A2019" s="15">
        <f t="shared" si="31"/>
        <v>2009</v>
      </c>
      <c r="B2019" s="228" t="s">
        <v>3143</v>
      </c>
      <c r="C2019" s="215" t="s">
        <v>3144</v>
      </c>
      <c r="D2019" s="19"/>
      <c r="E2019" s="19"/>
      <c r="F2019" s="19"/>
      <c r="G2019" s="242"/>
      <c r="H2019" s="141"/>
      <c r="I2019" s="216" t="s">
        <v>18</v>
      </c>
      <c r="J2019" s="216">
        <v>1</v>
      </c>
      <c r="K2019" s="142" t="s">
        <v>730</v>
      </c>
      <c r="L2019" s="275" t="s">
        <v>3209</v>
      </c>
      <c r="M2019" s="11"/>
      <c r="N2019" s="274" t="s">
        <v>3213</v>
      </c>
      <c r="O2019" s="220"/>
      <c r="P2019" s="43"/>
      <c r="Q2019" s="43"/>
      <c r="R2019" s="274" t="s">
        <v>3217</v>
      </c>
    </row>
    <row r="2020" spans="1:18" ht="35.25" customHeight="1">
      <c r="A2020" s="15">
        <f t="shared" si="31"/>
        <v>2010</v>
      </c>
      <c r="B2020" s="228" t="s">
        <v>3145</v>
      </c>
      <c r="C2020" s="215" t="s">
        <v>3146</v>
      </c>
      <c r="D2020" s="19"/>
      <c r="E2020" s="19"/>
      <c r="F2020" s="19"/>
      <c r="G2020" s="217"/>
      <c r="H2020" s="141"/>
      <c r="I2020" s="216" t="s">
        <v>18</v>
      </c>
      <c r="J2020" s="216">
        <v>1</v>
      </c>
      <c r="K2020" s="142" t="s">
        <v>730</v>
      </c>
      <c r="L2020" s="275" t="s">
        <v>3209</v>
      </c>
      <c r="M2020" s="11"/>
      <c r="N2020" s="274" t="s">
        <v>3213</v>
      </c>
      <c r="O2020" s="220"/>
      <c r="P2020" s="43"/>
      <c r="Q2020" s="43"/>
      <c r="R2020" s="274" t="s">
        <v>3217</v>
      </c>
    </row>
    <row r="2021" spans="1:18" ht="35.25" customHeight="1">
      <c r="A2021" s="15">
        <f t="shared" si="31"/>
        <v>2011</v>
      </c>
      <c r="B2021" s="228" t="s">
        <v>3147</v>
      </c>
      <c r="C2021" s="215" t="s">
        <v>3148</v>
      </c>
      <c r="D2021" s="19"/>
      <c r="E2021" s="19"/>
      <c r="F2021" s="19"/>
      <c r="G2021" s="217"/>
      <c r="H2021" s="141"/>
      <c r="I2021" s="216" t="s">
        <v>18</v>
      </c>
      <c r="J2021" s="216">
        <v>1</v>
      </c>
      <c r="K2021" s="142" t="s">
        <v>730</v>
      </c>
      <c r="L2021" s="275" t="s">
        <v>3209</v>
      </c>
      <c r="M2021" s="11"/>
      <c r="N2021" s="274" t="s">
        <v>3213</v>
      </c>
      <c r="O2021" s="220"/>
      <c r="P2021" s="43"/>
      <c r="Q2021" s="43"/>
      <c r="R2021" s="274" t="s">
        <v>3212</v>
      </c>
    </row>
    <row r="2022" spans="1:18" ht="35.25" customHeight="1">
      <c r="A2022" s="15">
        <f t="shared" si="31"/>
        <v>2012</v>
      </c>
      <c r="B2022" s="228" t="s">
        <v>3149</v>
      </c>
      <c r="C2022" s="215" t="s">
        <v>3150</v>
      </c>
      <c r="D2022" s="19"/>
      <c r="E2022" s="19"/>
      <c r="F2022" s="19"/>
      <c r="G2022" s="217"/>
      <c r="H2022" s="141"/>
      <c r="I2022" s="216" t="s">
        <v>18</v>
      </c>
      <c r="J2022" s="216">
        <v>1</v>
      </c>
      <c r="K2022" s="142" t="s">
        <v>730</v>
      </c>
      <c r="L2022" s="275" t="s">
        <v>3209</v>
      </c>
      <c r="M2022" s="11"/>
      <c r="N2022" s="274" t="s">
        <v>3213</v>
      </c>
      <c r="O2022" s="220"/>
      <c r="P2022" s="43"/>
      <c r="Q2022" s="43"/>
      <c r="R2022" s="274" t="s">
        <v>3212</v>
      </c>
    </row>
    <row r="2023" spans="1:18" ht="35.25" customHeight="1">
      <c r="A2023" s="15">
        <f t="shared" si="31"/>
        <v>2013</v>
      </c>
      <c r="B2023" s="228" t="s">
        <v>3151</v>
      </c>
      <c r="C2023" s="215" t="s">
        <v>3152</v>
      </c>
      <c r="D2023" s="19"/>
      <c r="E2023" s="19"/>
      <c r="F2023" s="19"/>
      <c r="G2023" s="242"/>
      <c r="H2023" s="141"/>
      <c r="I2023" s="216" t="s">
        <v>18</v>
      </c>
      <c r="J2023" s="216">
        <v>1</v>
      </c>
      <c r="K2023" s="142" t="s">
        <v>730</v>
      </c>
      <c r="L2023" s="275" t="s">
        <v>3209</v>
      </c>
      <c r="M2023" s="11"/>
      <c r="N2023" s="274" t="s">
        <v>3213</v>
      </c>
      <c r="O2023" s="220"/>
      <c r="P2023" s="43"/>
      <c r="Q2023" s="43"/>
      <c r="R2023" s="274" t="s">
        <v>3212</v>
      </c>
    </row>
    <row r="2024" spans="1:18" ht="35.25" customHeight="1">
      <c r="A2024" s="15">
        <f t="shared" si="31"/>
        <v>2014</v>
      </c>
      <c r="B2024" s="228" t="s">
        <v>3153</v>
      </c>
      <c r="C2024" s="215" t="s">
        <v>3154</v>
      </c>
      <c r="D2024" s="19"/>
      <c r="E2024" s="19"/>
      <c r="F2024" s="19"/>
      <c r="G2024" s="229" t="s">
        <v>3206</v>
      </c>
      <c r="H2024" s="141"/>
      <c r="I2024" s="216" t="s">
        <v>18</v>
      </c>
      <c r="J2024" s="216">
        <v>1</v>
      </c>
      <c r="K2024" s="142" t="s">
        <v>730</v>
      </c>
      <c r="L2024" s="275" t="s">
        <v>3209</v>
      </c>
      <c r="M2024" s="11"/>
      <c r="N2024" s="274" t="s">
        <v>3213</v>
      </c>
      <c r="O2024" s="220"/>
      <c r="P2024" s="43"/>
      <c r="Q2024" s="43"/>
      <c r="R2024" s="274" t="s">
        <v>3212</v>
      </c>
    </row>
    <row r="2025" spans="1:18" ht="35.25" customHeight="1">
      <c r="A2025" s="15">
        <f t="shared" si="31"/>
        <v>2015</v>
      </c>
      <c r="B2025" s="228" t="s">
        <v>3155</v>
      </c>
      <c r="C2025" s="215" t="s">
        <v>3156</v>
      </c>
      <c r="D2025" s="19"/>
      <c r="E2025" s="19"/>
      <c r="F2025" s="19"/>
      <c r="G2025" s="218" t="s">
        <v>3207</v>
      </c>
      <c r="H2025" s="141"/>
      <c r="I2025" s="216" t="s">
        <v>181</v>
      </c>
      <c r="J2025" s="216">
        <v>1</v>
      </c>
      <c r="K2025" s="142" t="s">
        <v>730</v>
      </c>
      <c r="L2025" s="275" t="s">
        <v>3209</v>
      </c>
      <c r="M2025" s="11"/>
      <c r="N2025" s="274" t="s">
        <v>3213</v>
      </c>
      <c r="O2025" s="220"/>
      <c r="P2025" s="43"/>
      <c r="Q2025" s="43"/>
      <c r="R2025" s="274" t="s">
        <v>3212</v>
      </c>
    </row>
    <row r="2026" spans="1:18" ht="35.25" customHeight="1">
      <c r="A2026" s="15">
        <f t="shared" si="31"/>
        <v>2016</v>
      </c>
      <c r="B2026" s="228" t="s">
        <v>3157</v>
      </c>
      <c r="C2026" s="215" t="s">
        <v>3158</v>
      </c>
      <c r="D2026" s="19"/>
      <c r="E2026" s="19"/>
      <c r="F2026" s="19"/>
      <c r="G2026" s="242"/>
      <c r="H2026" s="141"/>
      <c r="I2026" s="216" t="s">
        <v>181</v>
      </c>
      <c r="J2026" s="216">
        <v>1</v>
      </c>
      <c r="K2026" s="142" t="s">
        <v>730</v>
      </c>
      <c r="L2026" s="275" t="s">
        <v>3209</v>
      </c>
      <c r="M2026" s="11"/>
      <c r="N2026" s="274" t="s">
        <v>3213</v>
      </c>
      <c r="O2026" s="220"/>
      <c r="P2026" s="43"/>
      <c r="Q2026" s="43"/>
      <c r="R2026" s="274" t="s">
        <v>3212</v>
      </c>
    </row>
    <row r="2027" spans="1:18" ht="35.25" customHeight="1">
      <c r="A2027" s="15">
        <f t="shared" si="31"/>
        <v>2017</v>
      </c>
      <c r="B2027" s="228" t="s">
        <v>3159</v>
      </c>
      <c r="C2027" s="215" t="s">
        <v>3160</v>
      </c>
      <c r="D2027" s="19"/>
      <c r="E2027" s="19"/>
      <c r="F2027" s="19"/>
      <c r="G2027" s="229" t="s">
        <v>3208</v>
      </c>
      <c r="H2027" s="141"/>
      <c r="I2027" s="216" t="s">
        <v>18</v>
      </c>
      <c r="J2027" s="216">
        <v>1</v>
      </c>
      <c r="K2027" s="142" t="s">
        <v>730</v>
      </c>
      <c r="L2027" s="275" t="s">
        <v>3209</v>
      </c>
      <c r="M2027" s="11"/>
      <c r="N2027" s="274" t="s">
        <v>3213</v>
      </c>
      <c r="O2027" s="220"/>
      <c r="P2027" s="43"/>
      <c r="Q2027" s="43"/>
      <c r="R2027" s="274" t="s">
        <v>3217</v>
      </c>
    </row>
    <row r="2028" spans="1:18" ht="35.25" customHeight="1">
      <c r="A2028" s="15">
        <f t="shared" si="31"/>
        <v>2018</v>
      </c>
      <c r="B2028" s="228" t="s">
        <v>3161</v>
      </c>
      <c r="C2028" s="229" t="s">
        <v>3162</v>
      </c>
      <c r="D2028" s="19"/>
      <c r="E2028" s="19"/>
      <c r="F2028" s="19"/>
      <c r="G2028" s="217"/>
      <c r="H2028" s="141"/>
      <c r="I2028" s="216" t="s">
        <v>181</v>
      </c>
      <c r="J2028" s="216">
        <v>1</v>
      </c>
      <c r="K2028" s="142" t="s">
        <v>730</v>
      </c>
      <c r="L2028" s="275" t="s">
        <v>3209</v>
      </c>
      <c r="M2028" s="11"/>
      <c r="N2028" s="274" t="s">
        <v>3213</v>
      </c>
      <c r="O2028" s="220"/>
      <c r="P2028" s="43"/>
      <c r="Q2028" s="43"/>
      <c r="R2028" s="274" t="s">
        <v>3212</v>
      </c>
    </row>
    <row r="2029" spans="1:18" ht="35.25" customHeight="1">
      <c r="A2029" s="15">
        <f t="shared" si="31"/>
        <v>2019</v>
      </c>
      <c r="B2029" s="228" t="s">
        <v>3163</v>
      </c>
      <c r="C2029" s="229" t="s">
        <v>23</v>
      </c>
      <c r="D2029" s="19"/>
      <c r="E2029" s="19"/>
      <c r="F2029" s="19"/>
      <c r="G2029" s="242"/>
      <c r="H2029" s="141"/>
      <c r="I2029" s="216" t="s">
        <v>18</v>
      </c>
      <c r="J2029" s="216">
        <v>1</v>
      </c>
      <c r="K2029" s="142" t="s">
        <v>730</v>
      </c>
      <c r="L2029" s="275" t="s">
        <v>3209</v>
      </c>
      <c r="M2029" s="11"/>
      <c r="N2029" s="274" t="s">
        <v>3213</v>
      </c>
      <c r="O2029" s="220"/>
      <c r="P2029" s="43"/>
      <c r="Q2029" s="43"/>
      <c r="R2029" s="274" t="s">
        <v>3218</v>
      </c>
    </row>
    <row r="2030" spans="1:18" ht="35.25" customHeight="1">
      <c r="A2030" s="15">
        <f t="shared" si="31"/>
        <v>2020</v>
      </c>
      <c r="B2030" s="228" t="s">
        <v>3164</v>
      </c>
      <c r="C2030" s="229" t="s">
        <v>23</v>
      </c>
      <c r="D2030" s="19"/>
      <c r="E2030" s="19"/>
      <c r="F2030" s="19"/>
      <c r="G2030" s="242"/>
      <c r="H2030" s="141"/>
      <c r="I2030" s="216" t="s">
        <v>18</v>
      </c>
      <c r="J2030" s="216">
        <v>1</v>
      </c>
      <c r="K2030" s="142" t="s">
        <v>730</v>
      </c>
      <c r="L2030" s="275" t="s">
        <v>3209</v>
      </c>
      <c r="M2030" s="11"/>
      <c r="N2030" s="274" t="s">
        <v>3213</v>
      </c>
      <c r="O2030" s="220"/>
      <c r="P2030" s="43"/>
      <c r="Q2030" s="43"/>
      <c r="R2030" s="274" t="s">
        <v>3218</v>
      </c>
    </row>
    <row r="2031" spans="1:18" ht="35.25" customHeight="1">
      <c r="A2031" s="15">
        <f t="shared" si="31"/>
        <v>2021</v>
      </c>
      <c r="B2031" s="228" t="s">
        <v>3165</v>
      </c>
      <c r="C2031" s="229" t="s">
        <v>23</v>
      </c>
      <c r="D2031" s="19"/>
      <c r="E2031" s="19"/>
      <c r="F2031" s="19"/>
      <c r="G2031" s="242"/>
      <c r="H2031" s="141"/>
      <c r="I2031" s="216" t="s">
        <v>18</v>
      </c>
      <c r="J2031" s="216">
        <v>1</v>
      </c>
      <c r="K2031" s="142" t="s">
        <v>730</v>
      </c>
      <c r="L2031" s="275" t="s">
        <v>3209</v>
      </c>
      <c r="M2031" s="11"/>
      <c r="N2031" s="274" t="s">
        <v>3213</v>
      </c>
      <c r="O2031" s="220"/>
      <c r="P2031" s="43"/>
      <c r="Q2031" s="43"/>
      <c r="R2031" s="274" t="s">
        <v>3218</v>
      </c>
    </row>
    <row r="2032" spans="1:18" ht="35.25" customHeight="1">
      <c r="A2032" s="15">
        <f t="shared" si="31"/>
        <v>2022</v>
      </c>
      <c r="B2032" s="228" t="s">
        <v>3166</v>
      </c>
      <c r="C2032" s="229" t="s">
        <v>1306</v>
      </c>
      <c r="D2032" s="19"/>
      <c r="E2032" s="19"/>
      <c r="F2032" s="19"/>
      <c r="G2032" s="242"/>
      <c r="H2032" s="141"/>
      <c r="I2032" s="216" t="s">
        <v>18</v>
      </c>
      <c r="J2032" s="216">
        <v>1</v>
      </c>
      <c r="K2032" s="142" t="s">
        <v>730</v>
      </c>
      <c r="L2032" s="275" t="s">
        <v>3209</v>
      </c>
      <c r="M2032" s="11"/>
      <c r="N2032" s="274" t="s">
        <v>3213</v>
      </c>
      <c r="O2032" s="220"/>
      <c r="P2032" s="43"/>
      <c r="Q2032" s="43"/>
      <c r="R2032" s="274" t="s">
        <v>3218</v>
      </c>
    </row>
    <row r="2033" spans="1:18" ht="35.25" customHeight="1">
      <c r="A2033" s="15">
        <f t="shared" si="31"/>
        <v>2023</v>
      </c>
      <c r="B2033" s="228" t="s">
        <v>3167</v>
      </c>
      <c r="C2033" s="229" t="s">
        <v>1306</v>
      </c>
      <c r="D2033" s="19"/>
      <c r="E2033" s="19"/>
      <c r="F2033" s="19"/>
      <c r="G2033" s="242"/>
      <c r="H2033" s="141"/>
      <c r="I2033" s="216" t="s">
        <v>18</v>
      </c>
      <c r="J2033" s="216">
        <v>1</v>
      </c>
      <c r="K2033" s="142" t="s">
        <v>730</v>
      </c>
      <c r="L2033" s="275" t="s">
        <v>3209</v>
      </c>
      <c r="M2033" s="11"/>
      <c r="N2033" s="274" t="s">
        <v>3213</v>
      </c>
      <c r="O2033" s="220"/>
      <c r="P2033" s="43"/>
      <c r="Q2033" s="43"/>
      <c r="R2033" s="274" t="s">
        <v>3218</v>
      </c>
    </row>
    <row r="2034" spans="1:18" ht="35.25" customHeight="1">
      <c r="A2034" s="15">
        <f t="shared" si="31"/>
        <v>2024</v>
      </c>
      <c r="B2034" s="228" t="s">
        <v>3168</v>
      </c>
      <c r="C2034" s="229" t="s">
        <v>1306</v>
      </c>
      <c r="D2034" s="19"/>
      <c r="E2034" s="19"/>
      <c r="F2034" s="19"/>
      <c r="G2034" s="242"/>
      <c r="H2034" s="141"/>
      <c r="I2034" s="216" t="s">
        <v>18</v>
      </c>
      <c r="J2034" s="216">
        <v>1</v>
      </c>
      <c r="K2034" s="142" t="s">
        <v>730</v>
      </c>
      <c r="L2034" s="275" t="s">
        <v>3209</v>
      </c>
      <c r="M2034" s="11"/>
      <c r="N2034" s="274" t="s">
        <v>3213</v>
      </c>
      <c r="O2034" s="220"/>
      <c r="P2034" s="43"/>
      <c r="Q2034" s="43"/>
      <c r="R2034" s="274" t="s">
        <v>3218</v>
      </c>
    </row>
    <row r="2035" spans="1:18" ht="35.25" customHeight="1">
      <c r="A2035" s="15">
        <f t="shared" si="31"/>
        <v>2025</v>
      </c>
      <c r="B2035" s="228" t="s">
        <v>3169</v>
      </c>
      <c r="C2035" s="229" t="s">
        <v>1071</v>
      </c>
      <c r="D2035" s="19"/>
      <c r="E2035" s="19"/>
      <c r="F2035" s="19"/>
      <c r="G2035" s="242"/>
      <c r="H2035" s="141"/>
      <c r="I2035" s="216" t="s">
        <v>18</v>
      </c>
      <c r="J2035" s="216">
        <v>1</v>
      </c>
      <c r="K2035" s="142" t="s">
        <v>730</v>
      </c>
      <c r="L2035" s="275" t="s">
        <v>3209</v>
      </c>
      <c r="M2035" s="11"/>
      <c r="N2035" s="274" t="s">
        <v>3213</v>
      </c>
      <c r="O2035" s="220"/>
      <c r="P2035" s="43"/>
      <c r="Q2035" s="43"/>
      <c r="R2035" s="274" t="s">
        <v>3218</v>
      </c>
    </row>
    <row r="2036" spans="1:18" ht="35.25" customHeight="1">
      <c r="A2036" s="15">
        <f t="shared" si="31"/>
        <v>2026</v>
      </c>
      <c r="B2036" s="231" t="s">
        <v>3170</v>
      </c>
      <c r="C2036" s="252" t="s">
        <v>3171</v>
      </c>
      <c r="D2036" s="19"/>
      <c r="E2036" s="19"/>
      <c r="F2036" s="19"/>
      <c r="G2036" s="243"/>
      <c r="H2036" s="141"/>
      <c r="I2036" s="186" t="s">
        <v>18</v>
      </c>
      <c r="J2036" s="232">
        <v>1</v>
      </c>
      <c r="K2036" s="142" t="s">
        <v>730</v>
      </c>
      <c r="L2036" s="275" t="s">
        <v>3209</v>
      </c>
      <c r="M2036" s="11"/>
      <c r="N2036" s="184" t="s">
        <v>2609</v>
      </c>
      <c r="O2036" s="272">
        <v>44981</v>
      </c>
      <c r="P2036" s="43"/>
      <c r="Q2036" s="43"/>
      <c r="R2036" s="233"/>
    </row>
    <row r="2037" spans="1:18" ht="35.25" customHeight="1">
      <c r="A2037" s="15">
        <f t="shared" si="31"/>
        <v>2027</v>
      </c>
      <c r="B2037" s="208" t="s">
        <v>3172</v>
      </c>
      <c r="C2037" s="225" t="s">
        <v>1176</v>
      </c>
      <c r="D2037" s="19"/>
      <c r="E2037" s="19"/>
      <c r="F2037" s="19"/>
      <c r="G2037" s="225"/>
      <c r="H2037" s="141"/>
      <c r="I2037" s="186" t="s">
        <v>18</v>
      </c>
      <c r="J2037" s="232">
        <v>1</v>
      </c>
      <c r="K2037" s="142" t="s">
        <v>730</v>
      </c>
      <c r="L2037" s="275" t="s">
        <v>3209</v>
      </c>
      <c r="M2037" s="11"/>
      <c r="N2037" s="184" t="s">
        <v>2609</v>
      </c>
      <c r="O2037" s="272">
        <v>44981</v>
      </c>
      <c r="P2037" s="43"/>
      <c r="Q2037" s="43"/>
      <c r="R2037" s="209"/>
    </row>
    <row r="2038" spans="1:18" ht="35.25" customHeight="1">
      <c r="A2038" s="15">
        <f t="shared" si="31"/>
        <v>2028</v>
      </c>
      <c r="B2038" s="208" t="s">
        <v>3173</v>
      </c>
      <c r="C2038" s="225" t="s">
        <v>601</v>
      </c>
      <c r="D2038" s="19"/>
      <c r="E2038" s="19"/>
      <c r="F2038" s="19"/>
      <c r="G2038" s="225"/>
      <c r="H2038" s="141"/>
      <c r="I2038" s="186" t="s">
        <v>18</v>
      </c>
      <c r="J2038" s="232">
        <v>1</v>
      </c>
      <c r="K2038" s="142" t="s">
        <v>730</v>
      </c>
      <c r="L2038" s="275" t="s">
        <v>3209</v>
      </c>
      <c r="M2038" s="11"/>
      <c r="N2038" s="184" t="s">
        <v>2609</v>
      </c>
      <c r="O2038" s="272">
        <v>44981</v>
      </c>
      <c r="P2038" s="43"/>
      <c r="Q2038" s="43"/>
      <c r="R2038" s="209"/>
    </row>
    <row r="2039" spans="1:18" ht="35.25" customHeight="1">
      <c r="A2039" s="15">
        <f t="shared" si="31"/>
        <v>2029</v>
      </c>
      <c r="B2039" s="208" t="s">
        <v>3174</v>
      </c>
      <c r="C2039" s="225" t="s">
        <v>3175</v>
      </c>
      <c r="D2039" s="19"/>
      <c r="E2039" s="19"/>
      <c r="F2039" s="19"/>
      <c r="G2039" s="225"/>
      <c r="H2039" s="141"/>
      <c r="I2039" s="186" t="s">
        <v>18</v>
      </c>
      <c r="J2039" s="232">
        <v>1</v>
      </c>
      <c r="K2039" s="142" t="s">
        <v>730</v>
      </c>
      <c r="L2039" s="275" t="s">
        <v>3209</v>
      </c>
      <c r="M2039" s="11"/>
      <c r="N2039" s="208" t="s">
        <v>3213</v>
      </c>
      <c r="O2039" s="273">
        <v>44999</v>
      </c>
      <c r="P2039" s="43"/>
      <c r="Q2039" s="43"/>
      <c r="R2039" s="209"/>
    </row>
    <row r="2040" spans="1:18" ht="35.25" customHeight="1">
      <c r="A2040" s="15">
        <f t="shared" si="31"/>
        <v>2030</v>
      </c>
      <c r="B2040" s="208" t="s">
        <v>3176</v>
      </c>
      <c r="C2040" s="225" t="s">
        <v>3177</v>
      </c>
      <c r="D2040" s="19"/>
      <c r="E2040" s="19"/>
      <c r="F2040" s="19"/>
      <c r="G2040" s="225"/>
      <c r="H2040" s="141"/>
      <c r="I2040" s="186" t="s">
        <v>18</v>
      </c>
      <c r="J2040" s="232">
        <v>1</v>
      </c>
      <c r="K2040" s="142" t="s">
        <v>730</v>
      </c>
      <c r="L2040" s="275" t="s">
        <v>3209</v>
      </c>
      <c r="M2040" s="11"/>
      <c r="N2040" s="208" t="s">
        <v>3213</v>
      </c>
      <c r="O2040" s="273">
        <v>44999</v>
      </c>
      <c r="P2040" s="43"/>
      <c r="Q2040" s="43"/>
      <c r="R2040" s="209"/>
    </row>
    <row r="2041" spans="1:18" ht="35.25" customHeight="1">
      <c r="A2041" s="15">
        <f t="shared" si="31"/>
        <v>2031</v>
      </c>
      <c r="B2041" s="208" t="s">
        <v>3178</v>
      </c>
      <c r="C2041" s="225" t="s">
        <v>3177</v>
      </c>
      <c r="D2041" s="19"/>
      <c r="E2041" s="19"/>
      <c r="F2041" s="19"/>
      <c r="G2041" s="225"/>
      <c r="H2041" s="141"/>
      <c r="I2041" s="186" t="s">
        <v>18</v>
      </c>
      <c r="J2041" s="232">
        <v>1</v>
      </c>
      <c r="K2041" s="142" t="s">
        <v>730</v>
      </c>
      <c r="L2041" s="275" t="s">
        <v>3209</v>
      </c>
      <c r="M2041" s="11"/>
      <c r="N2041" s="208" t="s">
        <v>3213</v>
      </c>
      <c r="O2041" s="273">
        <v>44999</v>
      </c>
      <c r="P2041" s="43"/>
      <c r="Q2041" s="43"/>
      <c r="R2041" s="209"/>
    </row>
    <row r="2042" spans="1:18" ht="35.25" customHeight="1">
      <c r="A2042" s="15">
        <f t="shared" si="31"/>
        <v>2032</v>
      </c>
      <c r="B2042" s="208" t="s">
        <v>3179</v>
      </c>
      <c r="C2042" s="225" t="s">
        <v>3177</v>
      </c>
      <c r="D2042" s="19"/>
      <c r="E2042" s="19"/>
      <c r="F2042" s="19"/>
      <c r="G2042" s="225"/>
      <c r="H2042" s="141"/>
      <c r="I2042" s="186" t="s">
        <v>18</v>
      </c>
      <c r="J2042" s="232">
        <v>1</v>
      </c>
      <c r="K2042" s="142" t="s">
        <v>730</v>
      </c>
      <c r="L2042" s="275" t="s">
        <v>3209</v>
      </c>
      <c r="M2042" s="11"/>
      <c r="N2042" s="208" t="s">
        <v>3213</v>
      </c>
      <c r="O2042" s="273">
        <v>44999</v>
      </c>
      <c r="P2042" s="43"/>
      <c r="Q2042" s="43"/>
      <c r="R2042" s="209"/>
    </row>
    <row r="2043" spans="1:18" ht="35.25" customHeight="1">
      <c r="A2043" s="15">
        <f t="shared" si="31"/>
        <v>2033</v>
      </c>
      <c r="B2043" s="208" t="s">
        <v>3180</v>
      </c>
      <c r="C2043" s="225" t="s">
        <v>3177</v>
      </c>
      <c r="D2043" s="19"/>
      <c r="E2043" s="19"/>
      <c r="F2043" s="19"/>
      <c r="G2043" s="225"/>
      <c r="H2043" s="141"/>
      <c r="I2043" s="186" t="s">
        <v>18</v>
      </c>
      <c r="J2043" s="232">
        <v>1</v>
      </c>
      <c r="K2043" s="142" t="s">
        <v>730</v>
      </c>
      <c r="L2043" s="275" t="s">
        <v>3209</v>
      </c>
      <c r="M2043" s="11"/>
      <c r="N2043" s="208" t="s">
        <v>3213</v>
      </c>
      <c r="O2043" s="273">
        <v>44999</v>
      </c>
      <c r="P2043" s="43"/>
      <c r="Q2043" s="43"/>
      <c r="R2043" s="209"/>
    </row>
    <row r="2044" spans="1:18" ht="35.25" customHeight="1">
      <c r="A2044" s="15">
        <f t="shared" si="31"/>
        <v>2034</v>
      </c>
      <c r="B2044" s="208" t="s">
        <v>3181</v>
      </c>
      <c r="C2044" s="225" t="s">
        <v>3177</v>
      </c>
      <c r="D2044" s="19"/>
      <c r="E2044" s="19"/>
      <c r="F2044" s="19"/>
      <c r="G2044" s="225"/>
      <c r="H2044" s="141"/>
      <c r="I2044" s="186" t="s">
        <v>18</v>
      </c>
      <c r="J2044" s="232">
        <v>1</v>
      </c>
      <c r="K2044" s="142" t="s">
        <v>730</v>
      </c>
      <c r="L2044" s="275" t="s">
        <v>3209</v>
      </c>
      <c r="M2044" s="11"/>
      <c r="N2044" s="208" t="s">
        <v>3213</v>
      </c>
      <c r="O2044" s="273">
        <v>44999</v>
      </c>
      <c r="P2044" s="43"/>
      <c r="Q2044" s="43"/>
      <c r="R2044" s="209"/>
    </row>
    <row r="2045" spans="1:18" ht="35.25" customHeight="1">
      <c r="A2045" s="15">
        <f t="shared" si="31"/>
        <v>2035</v>
      </c>
      <c r="B2045" s="208" t="s">
        <v>3182</v>
      </c>
      <c r="C2045" s="225" t="s">
        <v>3177</v>
      </c>
      <c r="D2045" s="19"/>
      <c r="E2045" s="19"/>
      <c r="F2045" s="19"/>
      <c r="G2045" s="225"/>
      <c r="H2045" s="141"/>
      <c r="I2045" s="186" t="s">
        <v>18</v>
      </c>
      <c r="J2045" s="232">
        <v>1</v>
      </c>
      <c r="K2045" s="142" t="s">
        <v>730</v>
      </c>
      <c r="L2045" s="275" t="s">
        <v>3209</v>
      </c>
      <c r="M2045" s="11"/>
      <c r="N2045" s="208" t="s">
        <v>3213</v>
      </c>
      <c r="O2045" s="273">
        <v>44999</v>
      </c>
      <c r="P2045" s="43"/>
      <c r="Q2045" s="43"/>
      <c r="R2045" s="209"/>
    </row>
    <row r="2046" spans="1:18" ht="35.25" customHeight="1">
      <c r="A2046" s="15">
        <f t="shared" si="31"/>
        <v>2036</v>
      </c>
      <c r="B2046" s="208" t="s">
        <v>3183</v>
      </c>
      <c r="C2046" s="225" t="s">
        <v>3177</v>
      </c>
      <c r="D2046" s="19"/>
      <c r="E2046" s="19"/>
      <c r="F2046" s="19"/>
      <c r="G2046" s="225"/>
      <c r="H2046" s="141"/>
      <c r="I2046" s="186" t="s">
        <v>18</v>
      </c>
      <c r="J2046" s="232">
        <v>1</v>
      </c>
      <c r="K2046" s="142" t="s">
        <v>730</v>
      </c>
      <c r="L2046" s="275" t="s">
        <v>3209</v>
      </c>
      <c r="M2046" s="11"/>
      <c r="N2046" s="208" t="s">
        <v>3213</v>
      </c>
      <c r="O2046" s="273">
        <v>44999</v>
      </c>
      <c r="P2046" s="43"/>
      <c r="Q2046" s="43"/>
      <c r="R2046" s="209"/>
    </row>
    <row r="2047" spans="1:18" ht="35.25" customHeight="1">
      <c r="A2047" s="15">
        <f t="shared" si="31"/>
        <v>2037</v>
      </c>
      <c r="B2047" s="208" t="s">
        <v>3184</v>
      </c>
      <c r="C2047" s="225" t="s">
        <v>3177</v>
      </c>
      <c r="D2047" s="19"/>
      <c r="E2047" s="19"/>
      <c r="F2047" s="19"/>
      <c r="G2047" s="225"/>
      <c r="H2047" s="141"/>
      <c r="I2047" s="186" t="s">
        <v>18</v>
      </c>
      <c r="J2047" s="232">
        <v>1</v>
      </c>
      <c r="K2047" s="142" t="s">
        <v>730</v>
      </c>
      <c r="L2047" s="275" t="s">
        <v>3209</v>
      </c>
      <c r="M2047" s="11"/>
      <c r="N2047" s="208" t="s">
        <v>3213</v>
      </c>
      <c r="O2047" s="273">
        <v>44999</v>
      </c>
      <c r="P2047" s="43"/>
      <c r="Q2047" s="43"/>
      <c r="R2047" s="209"/>
    </row>
    <row r="2048" spans="1:18" ht="35.25" customHeight="1">
      <c r="A2048" s="15">
        <f t="shared" si="31"/>
        <v>2038</v>
      </c>
      <c r="B2048" s="208" t="s">
        <v>3185</v>
      </c>
      <c r="C2048" s="225" t="s">
        <v>3177</v>
      </c>
      <c r="D2048" s="19"/>
      <c r="E2048" s="19"/>
      <c r="F2048" s="19"/>
      <c r="G2048" s="225"/>
      <c r="H2048" s="141"/>
      <c r="I2048" s="186" t="s">
        <v>18</v>
      </c>
      <c r="J2048" s="232">
        <v>1</v>
      </c>
      <c r="K2048" s="142" t="s">
        <v>730</v>
      </c>
      <c r="L2048" s="275" t="s">
        <v>3209</v>
      </c>
      <c r="M2048" s="11"/>
      <c r="N2048" s="208" t="s">
        <v>3213</v>
      </c>
      <c r="O2048" s="273">
        <v>44999</v>
      </c>
      <c r="P2048" s="43"/>
      <c r="Q2048" s="43"/>
      <c r="R2048" s="209"/>
    </row>
    <row r="2049" spans="1:18" ht="35.25" customHeight="1">
      <c r="A2049" s="15">
        <f t="shared" si="31"/>
        <v>2039</v>
      </c>
      <c r="B2049" s="208" t="s">
        <v>3186</v>
      </c>
      <c r="C2049" s="225" t="s">
        <v>3177</v>
      </c>
      <c r="D2049" s="19"/>
      <c r="E2049" s="19"/>
      <c r="F2049" s="19"/>
      <c r="G2049" s="225"/>
      <c r="H2049" s="141"/>
      <c r="I2049" s="186" t="s">
        <v>18</v>
      </c>
      <c r="J2049" s="232">
        <v>1</v>
      </c>
      <c r="K2049" s="142" t="s">
        <v>730</v>
      </c>
      <c r="L2049" s="275" t="s">
        <v>3209</v>
      </c>
      <c r="M2049" s="11"/>
      <c r="N2049" s="208" t="s">
        <v>3213</v>
      </c>
      <c r="O2049" s="273">
        <v>44999</v>
      </c>
      <c r="P2049" s="43"/>
      <c r="Q2049" s="43"/>
      <c r="R2049" s="209"/>
    </row>
    <row r="2050" spans="1:18" ht="35.25" customHeight="1">
      <c r="A2050" s="15">
        <f t="shared" si="31"/>
        <v>2040</v>
      </c>
      <c r="B2050" s="208" t="s">
        <v>3187</v>
      </c>
      <c r="C2050" s="225" t="s">
        <v>3177</v>
      </c>
      <c r="D2050" s="19"/>
      <c r="E2050" s="19"/>
      <c r="F2050" s="19"/>
      <c r="G2050" s="225"/>
      <c r="H2050" s="141"/>
      <c r="I2050" s="186" t="s">
        <v>18</v>
      </c>
      <c r="J2050" s="232">
        <v>1</v>
      </c>
      <c r="K2050" s="142" t="s">
        <v>730</v>
      </c>
      <c r="L2050" s="275" t="s">
        <v>3209</v>
      </c>
      <c r="M2050" s="11"/>
      <c r="N2050" s="208" t="s">
        <v>3213</v>
      </c>
      <c r="O2050" s="273">
        <v>44999</v>
      </c>
      <c r="P2050" s="43"/>
      <c r="Q2050" s="43"/>
      <c r="R2050" s="209"/>
    </row>
    <row r="2051" spans="1:18" ht="35.25" customHeight="1">
      <c r="A2051" s="15">
        <f t="shared" si="31"/>
        <v>2041</v>
      </c>
      <c r="B2051" s="208" t="s">
        <v>3188</v>
      </c>
      <c r="C2051" s="225" t="s">
        <v>3177</v>
      </c>
      <c r="D2051" s="19"/>
      <c r="E2051" s="19"/>
      <c r="F2051" s="19"/>
      <c r="G2051" s="225"/>
      <c r="H2051" s="141"/>
      <c r="I2051" s="186" t="s">
        <v>18</v>
      </c>
      <c r="J2051" s="232">
        <v>1</v>
      </c>
      <c r="K2051" s="142" t="s">
        <v>730</v>
      </c>
      <c r="L2051" s="275" t="s">
        <v>3209</v>
      </c>
      <c r="M2051" s="11"/>
      <c r="N2051" s="208" t="s">
        <v>3213</v>
      </c>
      <c r="O2051" s="273">
        <v>44999</v>
      </c>
      <c r="P2051" s="43"/>
      <c r="Q2051" s="43"/>
      <c r="R2051" s="209"/>
    </row>
    <row r="2052" spans="1:18" ht="35.25" customHeight="1">
      <c r="A2052" s="15">
        <f t="shared" si="31"/>
        <v>2042</v>
      </c>
      <c r="B2052" s="208" t="s">
        <v>3189</v>
      </c>
      <c r="C2052" s="225" t="s">
        <v>3177</v>
      </c>
      <c r="D2052" s="19"/>
      <c r="E2052" s="19"/>
      <c r="F2052" s="19"/>
      <c r="G2052" s="225"/>
      <c r="H2052" s="141"/>
      <c r="I2052" s="186" t="s">
        <v>18</v>
      </c>
      <c r="J2052" s="232">
        <v>1</v>
      </c>
      <c r="K2052" s="142" t="s">
        <v>730</v>
      </c>
      <c r="L2052" s="275" t="s">
        <v>3209</v>
      </c>
      <c r="M2052" s="11"/>
      <c r="N2052" s="208" t="s">
        <v>3213</v>
      </c>
      <c r="O2052" s="273">
        <v>44999</v>
      </c>
      <c r="P2052" s="43"/>
      <c r="Q2052" s="43"/>
      <c r="R2052" s="209"/>
    </row>
    <row r="2053" spans="1:18" ht="35.25" customHeight="1">
      <c r="A2053" s="15">
        <f t="shared" si="31"/>
        <v>2043</v>
      </c>
      <c r="B2053" s="208" t="s">
        <v>3190</v>
      </c>
      <c r="C2053" s="225" t="s">
        <v>3177</v>
      </c>
      <c r="D2053" s="19"/>
      <c r="E2053" s="19"/>
      <c r="F2053" s="19"/>
      <c r="G2053" s="225"/>
      <c r="H2053" s="141"/>
      <c r="I2053" s="186" t="s">
        <v>18</v>
      </c>
      <c r="J2053" s="232">
        <v>1</v>
      </c>
      <c r="K2053" s="142" t="s">
        <v>730</v>
      </c>
      <c r="L2053" s="275" t="s">
        <v>3209</v>
      </c>
      <c r="M2053" s="11"/>
      <c r="N2053" s="208" t="s">
        <v>3213</v>
      </c>
      <c r="O2053" s="273">
        <v>44999</v>
      </c>
      <c r="P2053" s="43"/>
      <c r="Q2053" s="43"/>
      <c r="R2053" s="209"/>
    </row>
    <row r="2054" spans="1:18" ht="35.25" customHeight="1">
      <c r="A2054" s="15">
        <f t="shared" si="31"/>
        <v>2044</v>
      </c>
      <c r="B2054" s="208" t="s">
        <v>3191</v>
      </c>
      <c r="C2054" s="225" t="s">
        <v>3177</v>
      </c>
      <c r="D2054" s="19"/>
      <c r="E2054" s="19"/>
      <c r="F2054" s="19"/>
      <c r="G2054" s="225"/>
      <c r="H2054" s="141"/>
      <c r="I2054" s="186" t="s">
        <v>18</v>
      </c>
      <c r="J2054" s="232">
        <v>1</v>
      </c>
      <c r="K2054" s="142" t="s">
        <v>730</v>
      </c>
      <c r="L2054" s="275" t="s">
        <v>3209</v>
      </c>
      <c r="M2054" s="11"/>
      <c r="N2054" s="208" t="s">
        <v>3213</v>
      </c>
      <c r="O2054" s="273">
        <v>44999</v>
      </c>
      <c r="P2054" s="43"/>
      <c r="Q2054" s="43"/>
      <c r="R2054" s="209"/>
    </row>
    <row r="2055" spans="1:18" ht="35.25" customHeight="1">
      <c r="A2055" s="15">
        <f t="shared" si="31"/>
        <v>2045</v>
      </c>
      <c r="B2055" s="208" t="s">
        <v>3192</v>
      </c>
      <c r="C2055" s="211" t="s">
        <v>3193</v>
      </c>
      <c r="D2055" s="19"/>
      <c r="E2055" s="19"/>
      <c r="F2055" s="19"/>
      <c r="G2055" s="211"/>
      <c r="H2055" s="141"/>
      <c r="I2055" s="186" t="s">
        <v>18</v>
      </c>
      <c r="J2055" s="232">
        <v>1</v>
      </c>
      <c r="K2055" s="142" t="s">
        <v>730</v>
      </c>
      <c r="L2055" s="275" t="s">
        <v>3209</v>
      </c>
      <c r="M2055" s="11"/>
      <c r="N2055" s="208" t="s">
        <v>3213</v>
      </c>
      <c r="O2055" s="273">
        <v>44999</v>
      </c>
      <c r="P2055" s="43"/>
      <c r="Q2055" s="43"/>
      <c r="R2055" s="209"/>
    </row>
    <row r="2056" spans="1:18" ht="35.25" customHeight="1">
      <c r="A2056" s="15">
        <f t="shared" si="31"/>
        <v>2046</v>
      </c>
      <c r="B2056" s="208" t="s">
        <v>3194</v>
      </c>
      <c r="C2056" s="211" t="s">
        <v>3193</v>
      </c>
      <c r="D2056" s="19"/>
      <c r="E2056" s="19"/>
      <c r="F2056" s="19"/>
      <c r="G2056" s="220"/>
      <c r="H2056" s="141"/>
      <c r="I2056" s="186" t="s">
        <v>18</v>
      </c>
      <c r="J2056" s="232">
        <v>1</v>
      </c>
      <c r="K2056" s="142" t="s">
        <v>730</v>
      </c>
      <c r="L2056" s="275" t="s">
        <v>3209</v>
      </c>
      <c r="M2056" s="11"/>
      <c r="N2056" s="208" t="s">
        <v>3213</v>
      </c>
      <c r="O2056" s="273">
        <v>44999</v>
      </c>
      <c r="P2056" s="43"/>
      <c r="Q2056" s="43"/>
      <c r="R2056" s="209"/>
    </row>
    <row r="2057" spans="1:18" ht="35.25" customHeight="1">
      <c r="A2057" s="15">
        <f t="shared" si="31"/>
        <v>2047</v>
      </c>
      <c r="B2057" s="208" t="s">
        <v>3195</v>
      </c>
      <c r="C2057" s="211" t="s">
        <v>3193</v>
      </c>
      <c r="D2057" s="19"/>
      <c r="E2057" s="19"/>
      <c r="F2057" s="19"/>
      <c r="G2057" s="220"/>
      <c r="H2057" s="141"/>
      <c r="I2057" s="186" t="s">
        <v>18</v>
      </c>
      <c r="J2057" s="232">
        <v>1</v>
      </c>
      <c r="K2057" s="142" t="s">
        <v>730</v>
      </c>
      <c r="L2057" s="275" t="s">
        <v>3209</v>
      </c>
      <c r="M2057" s="11"/>
      <c r="N2057" s="208" t="s">
        <v>3213</v>
      </c>
      <c r="O2057" s="273">
        <v>44999</v>
      </c>
      <c r="P2057" s="43"/>
      <c r="Q2057" s="43"/>
      <c r="R2057" s="209"/>
    </row>
    <row r="2058" spans="1:18" ht="35.25" customHeight="1">
      <c r="A2058" s="15">
        <f t="shared" si="31"/>
        <v>2048</v>
      </c>
      <c r="B2058" s="208" t="s">
        <v>3196</v>
      </c>
      <c r="C2058" s="211" t="s">
        <v>3193</v>
      </c>
      <c r="D2058" s="19"/>
      <c r="E2058" s="19"/>
      <c r="F2058" s="19"/>
      <c r="G2058" s="220"/>
      <c r="H2058" s="141"/>
      <c r="I2058" s="186" t="s">
        <v>18</v>
      </c>
      <c r="J2058" s="232">
        <v>1</v>
      </c>
      <c r="K2058" s="142" t="s">
        <v>730</v>
      </c>
      <c r="L2058" s="275" t="s">
        <v>3209</v>
      </c>
      <c r="M2058" s="11"/>
      <c r="N2058" s="208" t="s">
        <v>3213</v>
      </c>
      <c r="O2058" s="273">
        <v>44999</v>
      </c>
      <c r="P2058" s="43"/>
      <c r="Q2058" s="43"/>
      <c r="R2058" s="209"/>
    </row>
    <row r="2059" spans="1:18" ht="31.5" customHeight="1">
      <c r="A2059" s="15">
        <f t="shared" si="31"/>
        <v>2049</v>
      </c>
      <c r="B2059" s="208" t="s">
        <v>3197</v>
      </c>
      <c r="C2059" s="220" t="s">
        <v>3198</v>
      </c>
      <c r="D2059" s="19"/>
      <c r="E2059" s="19"/>
      <c r="F2059" s="19"/>
      <c r="G2059" s="220"/>
      <c r="H2059" s="141"/>
      <c r="I2059" s="219" t="s">
        <v>181</v>
      </c>
      <c r="J2059" s="219">
        <v>1</v>
      </c>
      <c r="K2059" s="142" t="s">
        <v>730</v>
      </c>
      <c r="L2059" s="275" t="s">
        <v>3209</v>
      </c>
      <c r="M2059" s="11"/>
      <c r="N2059" s="208" t="s">
        <v>3213</v>
      </c>
      <c r="O2059" s="220"/>
      <c r="P2059" s="43"/>
      <c r="Q2059" s="43"/>
      <c r="R2059" s="209"/>
    </row>
    <row r="2060" spans="1:18" ht="31.5">
      <c r="A2060" s="15">
        <f t="shared" si="31"/>
        <v>2050</v>
      </c>
      <c r="B2060" s="141" t="s">
        <v>3222</v>
      </c>
      <c r="C2060" s="64" t="s">
        <v>3223</v>
      </c>
      <c r="D2060" s="11"/>
      <c r="E2060" s="11"/>
      <c r="F2060" s="11"/>
      <c r="G2060" s="64"/>
      <c r="H2060" s="64"/>
      <c r="I2060" s="13" t="s">
        <v>18</v>
      </c>
      <c r="J2060" s="15">
        <v>1</v>
      </c>
      <c r="K2060" s="142" t="s">
        <v>730</v>
      </c>
      <c r="L2060" s="141" t="s">
        <v>3233</v>
      </c>
      <c r="M2060" s="11"/>
      <c r="N2060" s="141" t="s">
        <v>3234</v>
      </c>
      <c r="O2060" s="263">
        <v>45008</v>
      </c>
      <c r="P2060" s="141"/>
      <c r="Q2060" s="141"/>
      <c r="R2060" s="35"/>
    </row>
    <row r="2061" spans="1:18" ht="31.5">
      <c r="A2061" s="15">
        <f t="shared" si="31"/>
        <v>2051</v>
      </c>
      <c r="B2061" s="141" t="s">
        <v>3224</v>
      </c>
      <c r="C2061" s="64" t="s">
        <v>3223</v>
      </c>
      <c r="D2061" s="11"/>
      <c r="E2061" s="11"/>
      <c r="F2061" s="11"/>
      <c r="G2061" s="64"/>
      <c r="H2061" s="64"/>
      <c r="I2061" s="13" t="s">
        <v>18</v>
      </c>
      <c r="J2061" s="15">
        <v>1</v>
      </c>
      <c r="K2061" s="142" t="s">
        <v>730</v>
      </c>
      <c r="L2061" s="141" t="s">
        <v>3233</v>
      </c>
      <c r="M2061" s="11"/>
      <c r="N2061" s="141" t="s">
        <v>3234</v>
      </c>
      <c r="O2061" s="263">
        <v>45008</v>
      </c>
      <c r="P2061" s="141"/>
      <c r="Q2061" s="141"/>
      <c r="R2061" s="35"/>
    </row>
    <row r="2062" spans="1:18" ht="31.5">
      <c r="A2062" s="15">
        <f t="shared" si="31"/>
        <v>2052</v>
      </c>
      <c r="B2062" s="141" t="s">
        <v>3225</v>
      </c>
      <c r="C2062" s="64" t="s">
        <v>3223</v>
      </c>
      <c r="D2062" s="11"/>
      <c r="E2062" s="11"/>
      <c r="F2062" s="11"/>
      <c r="G2062" s="64"/>
      <c r="H2062" s="64"/>
      <c r="I2062" s="13" t="s">
        <v>18</v>
      </c>
      <c r="J2062" s="15">
        <v>1</v>
      </c>
      <c r="K2062" s="142" t="s">
        <v>730</v>
      </c>
      <c r="L2062" s="141" t="s">
        <v>3233</v>
      </c>
      <c r="M2062" s="11"/>
      <c r="N2062" s="141" t="s">
        <v>3234</v>
      </c>
      <c r="O2062" s="263">
        <v>45008</v>
      </c>
      <c r="P2062" s="141"/>
      <c r="Q2062" s="141"/>
      <c r="R2062" s="35"/>
    </row>
    <row r="2063" spans="1:18" ht="31.5">
      <c r="A2063" s="15">
        <f t="shared" si="31"/>
        <v>2053</v>
      </c>
      <c r="B2063" s="141" t="s">
        <v>3226</v>
      </c>
      <c r="C2063" s="64" t="s">
        <v>3223</v>
      </c>
      <c r="D2063" s="11"/>
      <c r="E2063" s="11"/>
      <c r="F2063" s="11"/>
      <c r="G2063" s="64"/>
      <c r="H2063" s="64"/>
      <c r="I2063" s="13" t="s">
        <v>18</v>
      </c>
      <c r="J2063" s="15">
        <v>1</v>
      </c>
      <c r="K2063" s="142" t="s">
        <v>730</v>
      </c>
      <c r="L2063" s="141" t="s">
        <v>3233</v>
      </c>
      <c r="M2063" s="11"/>
      <c r="N2063" s="141" t="s">
        <v>3234</v>
      </c>
      <c r="O2063" s="263">
        <v>45008</v>
      </c>
      <c r="P2063" s="141"/>
      <c r="Q2063" s="141"/>
      <c r="R2063" s="35"/>
    </row>
    <row r="2064" spans="1:18" ht="31.5">
      <c r="A2064" s="15">
        <f t="shared" si="31"/>
        <v>2054</v>
      </c>
      <c r="B2064" s="141" t="s">
        <v>3227</v>
      </c>
      <c r="C2064" s="64" t="s">
        <v>3223</v>
      </c>
      <c r="D2064" s="11"/>
      <c r="E2064" s="11"/>
      <c r="F2064" s="11"/>
      <c r="G2064" s="64"/>
      <c r="H2064" s="64"/>
      <c r="I2064" s="13" t="s">
        <v>18</v>
      </c>
      <c r="J2064" s="15">
        <v>1</v>
      </c>
      <c r="K2064" s="142" t="s">
        <v>730</v>
      </c>
      <c r="L2064" s="141" t="s">
        <v>3233</v>
      </c>
      <c r="M2064" s="11"/>
      <c r="N2064" s="141" t="s">
        <v>3234</v>
      </c>
      <c r="O2064" s="263">
        <v>45008</v>
      </c>
      <c r="P2064" s="141"/>
      <c r="Q2064" s="141"/>
      <c r="R2064" s="35"/>
    </row>
    <row r="2065" spans="1:18" ht="31.5">
      <c r="A2065" s="15">
        <f t="shared" si="31"/>
        <v>2055</v>
      </c>
      <c r="B2065" s="141" t="s">
        <v>3228</v>
      </c>
      <c r="C2065" s="64" t="s">
        <v>3223</v>
      </c>
      <c r="D2065" s="11"/>
      <c r="E2065" s="11"/>
      <c r="F2065" s="11"/>
      <c r="G2065" s="64"/>
      <c r="H2065" s="64"/>
      <c r="I2065" s="13" t="s">
        <v>18</v>
      </c>
      <c r="J2065" s="15">
        <v>1</v>
      </c>
      <c r="K2065" s="142" t="s">
        <v>730</v>
      </c>
      <c r="L2065" s="141" t="s">
        <v>3233</v>
      </c>
      <c r="M2065" s="11"/>
      <c r="N2065" s="141" t="s">
        <v>3234</v>
      </c>
      <c r="O2065" s="263">
        <v>45008</v>
      </c>
      <c r="P2065" s="141"/>
      <c r="Q2065" s="141"/>
      <c r="R2065" s="35"/>
    </row>
    <row r="2066" spans="1:18" ht="31.5">
      <c r="A2066" s="15">
        <f t="shared" si="31"/>
        <v>2056</v>
      </c>
      <c r="B2066" s="141" t="s">
        <v>3229</v>
      </c>
      <c r="C2066" s="64" t="s">
        <v>3223</v>
      </c>
      <c r="D2066" s="11"/>
      <c r="E2066" s="11"/>
      <c r="F2066" s="11"/>
      <c r="G2066" s="64"/>
      <c r="H2066" s="64"/>
      <c r="I2066" s="13" t="s">
        <v>18</v>
      </c>
      <c r="J2066" s="15">
        <v>1</v>
      </c>
      <c r="K2066" s="142" t="s">
        <v>730</v>
      </c>
      <c r="L2066" s="141" t="s">
        <v>3233</v>
      </c>
      <c r="M2066" s="11"/>
      <c r="N2066" s="141" t="s">
        <v>3234</v>
      </c>
      <c r="O2066" s="263">
        <v>45008</v>
      </c>
      <c r="P2066" s="141"/>
      <c r="Q2066" s="141"/>
      <c r="R2066" s="35"/>
    </row>
    <row r="2067" spans="1:18" ht="31.5">
      <c r="A2067" s="15">
        <f t="shared" ref="A2067:A2069" si="32">A2066+1</f>
        <v>2057</v>
      </c>
      <c r="B2067" s="141" t="s">
        <v>3230</v>
      </c>
      <c r="C2067" s="64" t="s">
        <v>3223</v>
      </c>
      <c r="D2067" s="11"/>
      <c r="E2067" s="11"/>
      <c r="F2067" s="11"/>
      <c r="G2067" s="64"/>
      <c r="H2067" s="64"/>
      <c r="I2067" s="13" t="s">
        <v>18</v>
      </c>
      <c r="J2067" s="15">
        <v>1</v>
      </c>
      <c r="K2067" s="142" t="s">
        <v>730</v>
      </c>
      <c r="L2067" s="141" t="s">
        <v>3233</v>
      </c>
      <c r="M2067" s="11"/>
      <c r="N2067" s="141" t="s">
        <v>3234</v>
      </c>
      <c r="O2067" s="263">
        <v>45008</v>
      </c>
      <c r="P2067" s="141"/>
      <c r="Q2067" s="141"/>
      <c r="R2067" s="35"/>
    </row>
    <row r="2068" spans="1:18" ht="31.5">
      <c r="A2068" s="15">
        <f t="shared" si="32"/>
        <v>2058</v>
      </c>
      <c r="B2068" s="141" t="s">
        <v>3231</v>
      </c>
      <c r="C2068" s="64" t="s">
        <v>3223</v>
      </c>
      <c r="D2068" s="11"/>
      <c r="E2068" s="11"/>
      <c r="F2068" s="11"/>
      <c r="G2068" s="64"/>
      <c r="H2068" s="64"/>
      <c r="I2068" s="13" t="s">
        <v>18</v>
      </c>
      <c r="J2068" s="15">
        <v>1</v>
      </c>
      <c r="K2068" s="142" t="s">
        <v>730</v>
      </c>
      <c r="L2068" s="141" t="s">
        <v>3233</v>
      </c>
      <c r="M2068" s="11"/>
      <c r="N2068" s="141" t="s">
        <v>3234</v>
      </c>
      <c r="O2068" s="263">
        <v>45008</v>
      </c>
      <c r="P2068" s="141"/>
      <c r="Q2068" s="141"/>
      <c r="R2068" s="35"/>
    </row>
    <row r="2069" spans="1:18" ht="31.5">
      <c r="A2069" s="15">
        <f t="shared" si="32"/>
        <v>2059</v>
      </c>
      <c r="B2069" s="141" t="s">
        <v>3232</v>
      </c>
      <c r="C2069" s="64" t="s">
        <v>3223</v>
      </c>
      <c r="D2069" s="11"/>
      <c r="E2069" s="11"/>
      <c r="F2069" s="11"/>
      <c r="G2069" s="64"/>
      <c r="H2069" s="64"/>
      <c r="I2069" s="13" t="s">
        <v>18</v>
      </c>
      <c r="J2069" s="15">
        <v>1</v>
      </c>
      <c r="K2069" s="142" t="s">
        <v>730</v>
      </c>
      <c r="L2069" s="141" t="s">
        <v>3233</v>
      </c>
      <c r="M2069" s="11"/>
      <c r="N2069" s="141" t="s">
        <v>3234</v>
      </c>
      <c r="O2069" s="263">
        <v>45008</v>
      </c>
      <c r="P2069" s="141"/>
      <c r="Q2069" s="141"/>
      <c r="R2069" s="35"/>
    </row>
  </sheetData>
  <autoFilter ref="A10:R2069" xr:uid="{0170D713-1945-4EB9-97C8-AAA4F4AFCCFF}"/>
  <mergeCells count="7">
    <mergeCell ref="R1479:R1480"/>
    <mergeCell ref="R425:R435"/>
    <mergeCell ref="R1903:R1909"/>
    <mergeCell ref="A2:R2"/>
    <mergeCell ref="D6:F6"/>
    <mergeCell ref="D7:F7"/>
    <mergeCell ref="D8:F8"/>
  </mergeCells>
  <phoneticPr fontId="11" type="noConversion"/>
  <conditionalFormatting sqref="B11:B19 B41:B43 B48:B53">
    <cfRule type="duplicateValues" dxfId="474" priority="256"/>
  </conditionalFormatting>
  <conditionalFormatting sqref="B20:B34">
    <cfRule type="duplicateValues" dxfId="473" priority="254"/>
  </conditionalFormatting>
  <conditionalFormatting sqref="B35:B37">
    <cfRule type="duplicateValues" dxfId="472" priority="253"/>
  </conditionalFormatting>
  <conditionalFormatting sqref="B38">
    <cfRule type="duplicateValues" dxfId="471" priority="255"/>
  </conditionalFormatting>
  <conditionalFormatting sqref="B55">
    <cfRule type="duplicateValues" dxfId="470" priority="252"/>
  </conditionalFormatting>
  <conditionalFormatting sqref="B64:B66 B68:B69">
    <cfRule type="duplicateValues" dxfId="469" priority="251"/>
  </conditionalFormatting>
  <conditionalFormatting sqref="B72:B77 B79">
    <cfRule type="duplicateValues" dxfId="468" priority="250"/>
  </conditionalFormatting>
  <conditionalFormatting sqref="B81:B83">
    <cfRule type="duplicateValues" dxfId="467" priority="248"/>
  </conditionalFormatting>
  <conditionalFormatting sqref="B90:B96 B80 B84:B86">
    <cfRule type="duplicateValues" dxfId="466" priority="261"/>
  </conditionalFormatting>
  <conditionalFormatting sqref="B99:B104">
    <cfRule type="duplicateValues" dxfId="465" priority="311"/>
  </conditionalFormatting>
  <conditionalFormatting sqref="B106">
    <cfRule type="duplicateValues" dxfId="464" priority="245"/>
  </conditionalFormatting>
  <conditionalFormatting sqref="B155:B163">
    <cfRule type="duplicateValues" dxfId="463" priority="241"/>
  </conditionalFormatting>
  <conditionalFormatting sqref="B164 B105 B107:B154">
    <cfRule type="duplicateValues" dxfId="462" priority="246"/>
  </conditionalFormatting>
  <conditionalFormatting sqref="B166:B180">
    <cfRule type="duplicateValues" dxfId="461" priority="260"/>
  </conditionalFormatting>
  <conditionalFormatting sqref="B182:B183">
    <cfRule type="duplicateValues" dxfId="460" priority="230"/>
  </conditionalFormatting>
  <conditionalFormatting sqref="B190">
    <cfRule type="duplicateValues" dxfId="459" priority="224"/>
  </conditionalFormatting>
  <conditionalFormatting sqref="B191">
    <cfRule type="duplicateValues" dxfId="458" priority="223"/>
  </conditionalFormatting>
  <conditionalFormatting sqref="B192:B194">
    <cfRule type="duplicateValues" dxfId="457" priority="222"/>
  </conditionalFormatting>
  <conditionalFormatting sqref="B195 B209">
    <cfRule type="duplicateValues" dxfId="456" priority="214"/>
  </conditionalFormatting>
  <conditionalFormatting sqref="B195">
    <cfRule type="duplicateValues" dxfId="455" priority="213"/>
  </conditionalFormatting>
  <conditionalFormatting sqref="B196:B198">
    <cfRule type="duplicateValues" dxfId="454" priority="212"/>
  </conditionalFormatting>
  <conditionalFormatting sqref="B329:B334">
    <cfRule type="duplicateValues" dxfId="453" priority="8"/>
  </conditionalFormatting>
  <conditionalFormatting sqref="B460:B462">
    <cfRule type="duplicateValues" dxfId="452" priority="231"/>
  </conditionalFormatting>
  <conditionalFormatting sqref="B463:B467">
    <cfRule type="duplicateValues" dxfId="451" priority="228"/>
  </conditionalFormatting>
  <conditionalFormatting sqref="B693 B184:B189 B210">
    <cfRule type="duplicateValues" dxfId="450" priority="229"/>
  </conditionalFormatting>
  <conditionalFormatting sqref="B694:B709 B712:B803 B315:B316 B536:B692">
    <cfRule type="duplicateValues" dxfId="449" priority="830"/>
  </conditionalFormatting>
  <conditionalFormatting sqref="B999">
    <cfRule type="duplicateValues" dxfId="448" priority="138"/>
  </conditionalFormatting>
  <conditionalFormatting sqref="B1000:B1006 B905:B998">
    <cfRule type="duplicateValues" dxfId="447" priority="220"/>
  </conditionalFormatting>
  <conditionalFormatting sqref="B1007:B1008">
    <cfRule type="duplicateValues" dxfId="446" priority="219"/>
  </conditionalFormatting>
  <conditionalFormatting sqref="B1009:B1020">
    <cfRule type="duplicateValues" dxfId="445" priority="221"/>
  </conditionalFormatting>
  <conditionalFormatting sqref="B1021:B1063">
    <cfRule type="duplicateValues" dxfId="444" priority="217"/>
  </conditionalFormatting>
  <conditionalFormatting sqref="B1064">
    <cfRule type="duplicateValues" dxfId="443" priority="181"/>
  </conditionalFormatting>
  <conditionalFormatting sqref="B1065:B1066 B1072:B1075">
    <cfRule type="duplicateValues" dxfId="442" priority="807"/>
  </conditionalFormatting>
  <conditionalFormatting sqref="B1065:B1075">
    <cfRule type="duplicateValues" dxfId="441" priority="810"/>
  </conditionalFormatting>
  <conditionalFormatting sqref="B1067">
    <cfRule type="duplicateValues" dxfId="440" priority="178"/>
  </conditionalFormatting>
  <conditionalFormatting sqref="B1068:B1071">
    <cfRule type="duplicateValues" dxfId="439" priority="177"/>
  </conditionalFormatting>
  <conditionalFormatting sqref="B1076:B1085">
    <cfRule type="duplicateValues" dxfId="438" priority="176"/>
  </conditionalFormatting>
  <conditionalFormatting sqref="B1216">
    <cfRule type="duplicateValues" dxfId="437" priority="192"/>
  </conditionalFormatting>
  <conditionalFormatting sqref="B1217:B1218">
    <cfRule type="duplicateValues" dxfId="436" priority="199"/>
  </conditionalFormatting>
  <conditionalFormatting sqref="B1219:B1220">
    <cfRule type="duplicateValues" dxfId="435" priority="201"/>
  </conditionalFormatting>
  <conditionalFormatting sqref="B1221:B1222">
    <cfRule type="duplicateValues" dxfId="434" priority="205"/>
  </conditionalFormatting>
  <conditionalFormatting sqref="B1227">
    <cfRule type="duplicateValues" dxfId="433" priority="203"/>
  </conditionalFormatting>
  <conditionalFormatting sqref="B1235">
    <cfRule type="duplicateValues" dxfId="432" priority="186"/>
  </conditionalFormatting>
  <conditionalFormatting sqref="B1235:B1236">
    <cfRule type="duplicateValues" dxfId="431" priority="185"/>
  </conditionalFormatting>
  <conditionalFormatting sqref="B1237">
    <cfRule type="duplicateValues" dxfId="430" priority="184"/>
  </conditionalFormatting>
  <conditionalFormatting sqref="B1238">
    <cfRule type="duplicateValues" dxfId="429" priority="183"/>
  </conditionalFormatting>
  <conditionalFormatting sqref="B1239">
    <cfRule type="duplicateValues" dxfId="428" priority="166"/>
  </conditionalFormatting>
  <conditionalFormatting sqref="B1248">
    <cfRule type="duplicateValues" dxfId="427" priority="167"/>
  </conditionalFormatting>
  <conditionalFormatting sqref="B1249">
    <cfRule type="duplicateValues" dxfId="426" priority="168"/>
  </conditionalFormatting>
  <conditionalFormatting sqref="B1250:B1285 B1086:B1234 B1240:B1247 B1287:B1293 B1295:B1307 B1309:B1330 B1332:B1359 B1365:B1474">
    <cfRule type="duplicateValues" dxfId="425" priority="879"/>
  </conditionalFormatting>
  <conditionalFormatting sqref="B1250:B1293 B1240:B1247 B1064:B1238 B1295:B1307 B1309:B1359 B1365:B1474">
    <cfRule type="duplicateValues" dxfId="424" priority="849"/>
  </conditionalFormatting>
  <conditionalFormatting sqref="B1286">
    <cfRule type="duplicateValues" dxfId="423" priority="173"/>
  </conditionalFormatting>
  <conditionalFormatting sqref="B1308">
    <cfRule type="duplicateValues" dxfId="422" priority="139"/>
    <cfRule type="duplicateValues" dxfId="421" priority="141"/>
    <cfRule type="duplicateValues" dxfId="420" priority="144"/>
    <cfRule type="duplicateValues" dxfId="419" priority="142"/>
    <cfRule type="duplicateValues" dxfId="418" priority="140"/>
    <cfRule type="duplicateValues" dxfId="417" priority="143"/>
    <cfRule type="duplicateValues" dxfId="416" priority="145"/>
  </conditionalFormatting>
  <conditionalFormatting sqref="B1331">
    <cfRule type="duplicateValues" dxfId="415" priority="174"/>
  </conditionalFormatting>
  <conditionalFormatting sqref="B1360">
    <cfRule type="duplicateValues" dxfId="414" priority="170"/>
  </conditionalFormatting>
  <conditionalFormatting sqref="B1361:B1364">
    <cfRule type="duplicateValues" dxfId="413" priority="169"/>
  </conditionalFormatting>
  <conditionalFormatting sqref="B1380">
    <cfRule type="duplicateValues" dxfId="412" priority="209"/>
    <cfRule type="duplicateValues" dxfId="411" priority="208"/>
  </conditionalFormatting>
  <conditionalFormatting sqref="B1381">
    <cfRule type="duplicateValues" dxfId="410" priority="206"/>
    <cfRule type="duplicateValues" dxfId="409" priority="207"/>
  </conditionalFormatting>
  <conditionalFormatting sqref="B1397:B1404">
    <cfRule type="duplicateValues" dxfId="408" priority="196"/>
    <cfRule type="duplicateValues" dxfId="407" priority="197"/>
  </conditionalFormatting>
  <conditionalFormatting sqref="B1405:B1425">
    <cfRule type="duplicateValues" dxfId="406" priority="194"/>
    <cfRule type="duplicateValues" dxfId="405" priority="195"/>
  </conditionalFormatting>
  <conditionalFormatting sqref="B1426:B1432">
    <cfRule type="duplicateValues" dxfId="404" priority="189"/>
    <cfRule type="duplicateValues" dxfId="403" priority="190"/>
  </conditionalFormatting>
  <conditionalFormatting sqref="B1433:B1439">
    <cfRule type="duplicateValues" dxfId="402" priority="188"/>
  </conditionalFormatting>
  <conditionalFormatting sqref="B1440:B1469">
    <cfRule type="duplicateValues" dxfId="401" priority="889"/>
  </conditionalFormatting>
  <conditionalFormatting sqref="B1470:B1474 B1250:B1285 B1086:B1215 B1217:B1234 B1240:B1247 B1287:B1293 B1295:B1307 B1309:B1330 B1332:B1359 B1365:B1425">
    <cfRule type="duplicateValues" dxfId="400" priority="193"/>
  </conditionalFormatting>
  <conditionalFormatting sqref="B1470:B1474 B1250:B1285 B1086:B1215 B1223:B1226 B1228:B1234 B1240:B1247 B1287:B1293 B1295:B1307 B1309:B1330 B1332:B1359 B1365:B1379 B1382:B1396">
    <cfRule type="duplicateValues" dxfId="399" priority="210"/>
  </conditionalFormatting>
  <conditionalFormatting sqref="B1475">
    <cfRule type="duplicateValues" dxfId="398" priority="149"/>
    <cfRule type="duplicateValues" dxfId="397" priority="148"/>
    <cfRule type="duplicateValues" dxfId="396" priority="147"/>
  </conditionalFormatting>
  <conditionalFormatting sqref="B1476:B1479">
    <cfRule type="duplicateValues" dxfId="395" priority="152"/>
    <cfRule type="duplicateValues" dxfId="394" priority="151"/>
    <cfRule type="duplicateValues" dxfId="393" priority="150"/>
  </conditionalFormatting>
  <conditionalFormatting sqref="B1480:B1481">
    <cfRule type="duplicateValues" dxfId="392" priority="155"/>
    <cfRule type="duplicateValues" dxfId="391" priority="154"/>
    <cfRule type="duplicateValues" dxfId="390" priority="153"/>
  </conditionalFormatting>
  <conditionalFormatting sqref="B1482:B1483">
    <cfRule type="duplicateValues" dxfId="389" priority="158"/>
    <cfRule type="duplicateValues" dxfId="388" priority="156"/>
    <cfRule type="duplicateValues" dxfId="387" priority="159"/>
    <cfRule type="duplicateValues" dxfId="386" priority="157"/>
  </conditionalFormatting>
  <conditionalFormatting sqref="B1484 B1294">
    <cfRule type="duplicateValues" dxfId="385" priority="749"/>
  </conditionalFormatting>
  <conditionalFormatting sqref="B1484 B1309:B1474 B1064:B1307">
    <cfRule type="duplicateValues" dxfId="384" priority="753"/>
  </conditionalFormatting>
  <conditionalFormatting sqref="B1719">
    <cfRule type="duplicateValues" dxfId="383" priority="102"/>
  </conditionalFormatting>
  <conditionalFormatting sqref="B1720:B1781">
    <cfRule type="duplicateValues" dxfId="382" priority="110"/>
  </conditionalFormatting>
  <conditionalFormatting sqref="B1782:B1783">
    <cfRule type="duplicateValues" dxfId="381" priority="101"/>
  </conditionalFormatting>
  <conditionalFormatting sqref="B1784:B1828">
    <cfRule type="duplicateValues" dxfId="380" priority="100"/>
  </conditionalFormatting>
  <conditionalFormatting sqref="B1829 B1852:B1855">
    <cfRule type="duplicateValues" dxfId="379" priority="108"/>
  </conditionalFormatting>
  <conditionalFormatting sqref="B1831:B1840">
    <cfRule type="duplicateValues" dxfId="378" priority="99"/>
  </conditionalFormatting>
  <conditionalFormatting sqref="B1841">
    <cfRule type="duplicateValues" dxfId="377" priority="98"/>
  </conditionalFormatting>
  <conditionalFormatting sqref="B1842:B1850">
    <cfRule type="duplicateValues" dxfId="376" priority="97"/>
  </conditionalFormatting>
  <conditionalFormatting sqref="B1851">
    <cfRule type="duplicateValues" dxfId="375" priority="107"/>
  </conditionalFormatting>
  <conditionalFormatting sqref="B1856">
    <cfRule type="duplicateValues" dxfId="374" priority="96"/>
  </conditionalFormatting>
  <conditionalFormatting sqref="B1857:B1861 B1864:B1867">
    <cfRule type="duplicateValues" dxfId="373" priority="109"/>
  </conditionalFormatting>
  <conditionalFormatting sqref="B1862:B1863">
    <cfRule type="duplicateValues" dxfId="372" priority="95"/>
  </conditionalFormatting>
  <conditionalFormatting sqref="B1868">
    <cfRule type="duplicateValues" dxfId="371" priority="94"/>
  </conditionalFormatting>
  <conditionalFormatting sqref="B1869">
    <cfRule type="duplicateValues" dxfId="370" priority="92"/>
  </conditionalFormatting>
  <conditionalFormatting sqref="B1870">
    <cfRule type="duplicateValues" dxfId="369" priority="93"/>
  </conditionalFormatting>
  <conditionalFormatting sqref="B1874:B1875">
    <cfRule type="duplicateValues" dxfId="368" priority="91"/>
  </conditionalFormatting>
  <conditionalFormatting sqref="B1877:B1886 B1888:B1890">
    <cfRule type="duplicateValues" dxfId="367" priority="90"/>
  </conditionalFormatting>
  <conditionalFormatting sqref="B1891 B1897:B1899">
    <cfRule type="duplicateValues" dxfId="366" priority="106"/>
  </conditionalFormatting>
  <conditionalFormatting sqref="B1891 B1897:B1902">
    <cfRule type="duplicateValues" dxfId="365" priority="105"/>
  </conditionalFormatting>
  <conditionalFormatting sqref="B1891">
    <cfRule type="duplicateValues" dxfId="364" priority="103"/>
    <cfRule type="duplicateValues" dxfId="363" priority="104"/>
  </conditionalFormatting>
  <conditionalFormatting sqref="B1891:B1896">
    <cfRule type="duplicateValues" dxfId="362" priority="89"/>
  </conditionalFormatting>
  <conditionalFormatting sqref="B1903:B1909">
    <cfRule type="duplicateValues" dxfId="361" priority="88"/>
  </conditionalFormatting>
  <conditionalFormatting sqref="B1910:B1911">
    <cfRule type="duplicateValues" dxfId="360" priority="77"/>
    <cfRule type="duplicateValues" dxfId="359" priority="76"/>
    <cfRule type="duplicateValues" dxfId="358" priority="75"/>
    <cfRule type="duplicateValues" dxfId="357" priority="72"/>
    <cfRule type="duplicateValues" dxfId="356" priority="73"/>
    <cfRule type="duplicateValues" dxfId="355" priority="74"/>
  </conditionalFormatting>
  <conditionalFormatting sqref="B1912:B1913">
    <cfRule type="duplicateValues" dxfId="354" priority="71"/>
    <cfRule type="duplicateValues" dxfId="353" priority="70"/>
    <cfRule type="duplicateValues" dxfId="352" priority="69"/>
    <cfRule type="duplicateValues" dxfId="351" priority="68"/>
    <cfRule type="duplicateValues" dxfId="350" priority="67"/>
    <cfRule type="duplicateValues" dxfId="349" priority="66"/>
  </conditionalFormatting>
  <conditionalFormatting sqref="B1914:B1941 B2000:B2001">
    <cfRule type="duplicateValues" dxfId="348" priority="914"/>
  </conditionalFormatting>
  <conditionalFormatting sqref="B1914:B2002">
    <cfRule type="duplicateValues" dxfId="347" priority="908"/>
  </conditionalFormatting>
  <conditionalFormatting sqref="B1942:B1993">
    <cfRule type="duplicateValues" dxfId="346" priority="86"/>
  </conditionalFormatting>
  <conditionalFormatting sqref="B1994:B1996">
    <cfRule type="duplicateValues" dxfId="345" priority="82"/>
  </conditionalFormatting>
  <conditionalFormatting sqref="B1997">
    <cfRule type="duplicateValues" dxfId="344" priority="83"/>
  </conditionalFormatting>
  <conditionalFormatting sqref="B2003">
    <cfRule type="duplicateValues" dxfId="343" priority="65"/>
  </conditionalFormatting>
  <conditionalFormatting sqref="B2004:B2005">
    <cfRule type="duplicateValues" dxfId="342" priority="64"/>
  </conditionalFormatting>
  <conditionalFormatting sqref="B2013">
    <cfRule type="duplicateValues" dxfId="341" priority="63"/>
  </conditionalFormatting>
  <conditionalFormatting sqref="B2014">
    <cfRule type="duplicateValues" dxfId="340" priority="50"/>
    <cfRule type="duplicateValues" dxfId="339" priority="51"/>
  </conditionalFormatting>
  <conditionalFormatting sqref="B2015">
    <cfRule type="duplicateValues" dxfId="338" priority="62"/>
  </conditionalFormatting>
  <conditionalFormatting sqref="B2016">
    <cfRule type="duplicateValues" dxfId="337" priority="61"/>
    <cfRule type="duplicateValues" dxfId="336" priority="60"/>
  </conditionalFormatting>
  <conditionalFormatting sqref="B2017">
    <cfRule type="duplicateValues" dxfId="335" priority="59"/>
    <cfRule type="duplicateValues" dxfId="334" priority="58"/>
  </conditionalFormatting>
  <conditionalFormatting sqref="B2018">
    <cfRule type="duplicateValues" dxfId="333" priority="57"/>
    <cfRule type="duplicateValues" dxfId="332" priority="56"/>
  </conditionalFormatting>
  <conditionalFormatting sqref="B2019">
    <cfRule type="duplicateValues" dxfId="331" priority="47"/>
    <cfRule type="duplicateValues" dxfId="330" priority="46"/>
  </conditionalFormatting>
  <conditionalFormatting sqref="B2020">
    <cfRule type="duplicateValues" dxfId="329" priority="54"/>
    <cfRule type="duplicateValues" dxfId="328" priority="55"/>
  </conditionalFormatting>
  <conditionalFormatting sqref="B2021">
    <cfRule type="duplicateValues" dxfId="327" priority="48"/>
    <cfRule type="duplicateValues" dxfId="326" priority="49"/>
  </conditionalFormatting>
  <conditionalFormatting sqref="B2022">
    <cfRule type="duplicateValues" dxfId="325" priority="41"/>
    <cfRule type="duplicateValues" dxfId="324" priority="40"/>
  </conditionalFormatting>
  <conditionalFormatting sqref="B2023">
    <cfRule type="duplicateValues" dxfId="323" priority="39"/>
    <cfRule type="duplicateValues" dxfId="322" priority="38"/>
  </conditionalFormatting>
  <conditionalFormatting sqref="B2024">
    <cfRule type="duplicateValues" dxfId="321" priority="43"/>
    <cfRule type="duplicateValues" dxfId="320" priority="42"/>
  </conditionalFormatting>
  <conditionalFormatting sqref="B2025">
    <cfRule type="duplicateValues" dxfId="319" priority="52"/>
    <cfRule type="duplicateValues" dxfId="318" priority="53"/>
  </conditionalFormatting>
  <conditionalFormatting sqref="B2026">
    <cfRule type="duplicateValues" dxfId="317" priority="45"/>
    <cfRule type="duplicateValues" dxfId="316" priority="44"/>
  </conditionalFormatting>
  <conditionalFormatting sqref="B2027">
    <cfRule type="duplicateValues" dxfId="315" priority="35"/>
    <cfRule type="duplicateValues" dxfId="314" priority="34"/>
  </conditionalFormatting>
  <conditionalFormatting sqref="B2028">
    <cfRule type="duplicateValues" dxfId="313" priority="37"/>
    <cfRule type="duplicateValues" dxfId="312" priority="36"/>
  </conditionalFormatting>
  <conditionalFormatting sqref="B2029:B2034">
    <cfRule type="duplicateValues" dxfId="311" priority="33"/>
    <cfRule type="duplicateValues" dxfId="310" priority="32"/>
  </conditionalFormatting>
  <conditionalFormatting sqref="B2035">
    <cfRule type="duplicateValues" dxfId="309" priority="31"/>
  </conditionalFormatting>
  <conditionalFormatting sqref="B2036">
    <cfRule type="duplicateValues" dxfId="308" priority="25"/>
    <cfRule type="duplicateValues" dxfId="307" priority="26"/>
    <cfRule type="duplicateValues" dxfId="306" priority="28"/>
    <cfRule type="duplicateValues" dxfId="305" priority="29"/>
    <cfRule type="duplicateValues" dxfId="304" priority="27"/>
    <cfRule type="duplicateValues" dxfId="303" priority="23"/>
    <cfRule type="duplicateValues" dxfId="302" priority="24"/>
  </conditionalFormatting>
  <conditionalFormatting sqref="B2037:B2039">
    <cfRule type="duplicateValues" dxfId="301" priority="81"/>
  </conditionalFormatting>
  <conditionalFormatting sqref="B2037:B2059 B1910:B2035">
    <cfRule type="duplicateValues" dxfId="300" priority="30"/>
  </conditionalFormatting>
  <conditionalFormatting sqref="B2037:B2059 B1914:B2002">
    <cfRule type="duplicateValues" dxfId="299" priority="80"/>
  </conditionalFormatting>
  <conditionalFormatting sqref="B2040:B2058">
    <cfRule type="duplicateValues" dxfId="298" priority="85"/>
  </conditionalFormatting>
  <conditionalFormatting sqref="B2057:B2059">
    <cfRule type="duplicateValues" dxfId="297" priority="87"/>
  </conditionalFormatting>
  <conditionalFormatting sqref="B2060:B2069">
    <cfRule type="duplicateValues" dxfId="296" priority="18"/>
    <cfRule type="duplicateValues" dxfId="295" priority="14"/>
    <cfRule type="duplicateValues" dxfId="294" priority="15"/>
    <cfRule type="duplicateValues" dxfId="293" priority="17"/>
    <cfRule type="duplicateValues" dxfId="292" priority="16"/>
    <cfRule type="duplicateValues" dxfId="291" priority="19"/>
  </conditionalFormatting>
  <conditionalFormatting sqref="B2070:B1048576 B1309:B1474 B1:B198 B209:B328 B1484:B1673 B335:B1307">
    <cfRule type="duplicateValues" dxfId="290" priority="757"/>
  </conditionalFormatting>
  <conditionalFormatting sqref="B2070:B1048576 B1309:B1673 B1:B198 B209:B328 B335:B1307">
    <cfRule type="duplicateValues" dxfId="289" priority="146"/>
  </conditionalFormatting>
  <conditionalFormatting sqref="B2070:B1048576 B1485:B1673 B1:B194 B210:B328 B335:B1063">
    <cfRule type="duplicateValues" dxfId="288" priority="215"/>
  </conditionalFormatting>
  <conditionalFormatting sqref="B2070:B1048576 B1485:B1673 B804:B904 B468:B535 B1:B154 B164:B165 B309:B314 B710:B711 B317:B328 B335:B459">
    <cfRule type="duplicateValues" dxfId="287" priority="915"/>
  </conditionalFormatting>
  <conditionalFormatting sqref="C329:C334">
    <cfRule type="duplicateValues" dxfId="286" priority="9"/>
    <cfRule type="duplicateValues" dxfId="285" priority="10"/>
    <cfRule type="duplicateValues" dxfId="284" priority="12"/>
    <cfRule type="duplicateValues" dxfId="283" priority="11"/>
    <cfRule type="duplicateValues" dxfId="282" priority="13"/>
  </conditionalFormatting>
  <conditionalFormatting sqref="C330:C334">
    <cfRule type="uniqueValues" dxfId="281" priority="7"/>
  </conditionalFormatting>
  <conditionalFormatting sqref="C160:F160">
    <cfRule type="duplicateValues" dxfId="280" priority="772"/>
  </conditionalFormatting>
  <conditionalFormatting sqref="C161:F161">
    <cfRule type="duplicateValues" dxfId="279" priority="773"/>
  </conditionalFormatting>
  <conditionalFormatting sqref="C162:F162">
    <cfRule type="duplicateValues" dxfId="278" priority="774"/>
  </conditionalFormatting>
  <conditionalFormatting sqref="C163:F163">
    <cfRule type="duplicateValues" dxfId="277" priority="775"/>
  </conditionalFormatting>
  <conditionalFormatting sqref="G181">
    <cfRule type="duplicateValues" dxfId="276" priority="226"/>
  </conditionalFormatting>
  <conditionalFormatting sqref="G199">
    <cfRule type="duplicateValues" dxfId="275" priority="137"/>
  </conditionalFormatting>
  <conditionalFormatting sqref="G200">
    <cfRule type="duplicateValues" dxfId="274" priority="134"/>
  </conditionalFormatting>
  <conditionalFormatting sqref="G201">
    <cfRule type="duplicateValues" dxfId="273" priority="131"/>
  </conditionalFormatting>
  <conditionalFormatting sqref="G202">
    <cfRule type="duplicateValues" dxfId="272" priority="128"/>
  </conditionalFormatting>
  <conditionalFormatting sqref="G203">
    <cfRule type="duplicateValues" dxfId="271" priority="125"/>
  </conditionalFormatting>
  <conditionalFormatting sqref="G204">
    <cfRule type="duplicateValues" dxfId="270" priority="119"/>
  </conditionalFormatting>
  <conditionalFormatting sqref="G205:G207">
    <cfRule type="duplicateValues" dxfId="269" priority="116"/>
  </conditionalFormatting>
  <conditionalFormatting sqref="G330:G334">
    <cfRule type="duplicateValues" dxfId="268" priority="2"/>
    <cfRule type="uniqueValues" dxfId="267" priority="1"/>
    <cfRule type="duplicateValues" dxfId="266" priority="3"/>
    <cfRule type="duplicateValues" dxfId="265" priority="6"/>
    <cfRule type="duplicateValues" dxfId="264" priority="5"/>
    <cfRule type="duplicateValues" dxfId="263" priority="4"/>
  </conditionalFormatting>
  <conditionalFormatting sqref="G2006">
    <cfRule type="duplicateValues" dxfId="262" priority="20"/>
    <cfRule type="duplicateValues" dxfId="261" priority="22"/>
    <cfRule type="duplicateValues" dxfId="260" priority="21"/>
  </conditionalFormatting>
  <pageMargins left="0.39370078740157483" right="0.19685039370078741" top="0.39370078740157483" bottom="0.39370078740157483" header="0.31496062992125984" footer="0.31496062992125984"/>
  <pageSetup paperSize="9" scale="76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8FD4B-B027-4102-AFE0-0B70428F44C1}">
  <sheetPr filterMode="1">
    <pageSetUpPr fitToPage="1"/>
  </sheetPr>
  <dimension ref="A2:AM2079"/>
  <sheetViews>
    <sheetView topLeftCell="C15" zoomScale="80" zoomScaleNormal="80" workbookViewId="0">
      <selection activeCell="Q15" sqref="A2:R2075"/>
    </sheetView>
  </sheetViews>
  <sheetFormatPr defaultColWidth="8.625" defaultRowHeight="15.75"/>
  <cols>
    <col min="1" max="1" width="5.75" style="60" customWidth="1"/>
    <col min="2" max="2" width="15.875" style="133" customWidth="1"/>
    <col min="3" max="3" width="28.5" style="62" customWidth="1"/>
    <col min="4" max="5" width="17.125" style="60" bestFit="1" customWidth="1"/>
    <col min="6" max="6" width="15.5" style="60" bestFit="1" customWidth="1"/>
    <col min="7" max="7" width="32.375" style="62" customWidth="1"/>
    <col min="8" max="8" width="15.625" style="62" customWidth="1"/>
    <col min="9" max="10" width="8.75" style="61" customWidth="1"/>
    <col min="11" max="11" width="18.625" style="60" customWidth="1"/>
    <col min="12" max="12" width="18.625" style="133" customWidth="1"/>
    <col min="13" max="13" width="18.875" style="60" bestFit="1" customWidth="1"/>
    <col min="14" max="14" width="26.75" style="286" customWidth="1"/>
    <col min="15" max="15" width="18" style="379" customWidth="1"/>
    <col min="16" max="16" width="17.125" style="372" customWidth="1"/>
    <col min="17" max="17" width="24.875" style="133" bestFit="1" customWidth="1"/>
    <col min="18" max="18" width="24.75" style="135" customWidth="1"/>
    <col min="40" max="16384" width="8.625" style="134"/>
  </cols>
  <sheetData>
    <row r="2" spans="1:18" ht="19.899999999999999" customHeight="1">
      <c r="A2" s="400" t="s">
        <v>4</v>
      </c>
      <c r="B2" s="400"/>
      <c r="C2" s="400"/>
      <c r="D2" s="400"/>
      <c r="E2" s="400"/>
      <c r="F2" s="400"/>
      <c r="G2" s="400"/>
      <c r="H2" s="400"/>
      <c r="I2" s="400"/>
      <c r="J2" s="400"/>
      <c r="K2" s="400"/>
      <c r="L2" s="400"/>
      <c r="M2" s="400"/>
      <c r="N2" s="400"/>
      <c r="O2" s="400"/>
      <c r="P2" s="400"/>
      <c r="Q2" s="400"/>
      <c r="R2" s="400"/>
    </row>
    <row r="3" spans="1:18" ht="19.899999999999999" customHeight="1">
      <c r="A3" s="60" t="s">
        <v>5</v>
      </c>
      <c r="C3" s="62" t="s">
        <v>15</v>
      </c>
    </row>
    <row r="4" spans="1:18" ht="19.899999999999999" customHeight="1">
      <c r="A4" s="60" t="s">
        <v>6</v>
      </c>
      <c r="C4" s="60" t="s">
        <v>381</v>
      </c>
    </row>
    <row r="5" spans="1:18" ht="19.899999999999999" customHeight="1">
      <c r="A5" s="60" t="s">
        <v>9</v>
      </c>
      <c r="C5" s="62" t="s">
        <v>10</v>
      </c>
    </row>
    <row r="6" spans="1:18" ht="19.899999999999999" customHeight="1">
      <c r="A6" s="63" t="s">
        <v>11</v>
      </c>
      <c r="C6" s="62" t="s">
        <v>380</v>
      </c>
      <c r="D6" s="401" t="s">
        <v>379</v>
      </c>
      <c r="E6" s="401"/>
      <c r="F6" s="401"/>
    </row>
    <row r="7" spans="1:18" ht="19.899999999999999" customHeight="1">
      <c r="A7" s="63" t="s">
        <v>11</v>
      </c>
      <c r="C7" s="62" t="s">
        <v>378</v>
      </c>
      <c r="D7" s="401" t="s">
        <v>377</v>
      </c>
      <c r="E7" s="401"/>
      <c r="F7" s="401"/>
    </row>
    <row r="8" spans="1:18" ht="19.899999999999999" customHeight="1">
      <c r="A8" s="63" t="s">
        <v>11</v>
      </c>
      <c r="C8" s="62" t="s">
        <v>726</v>
      </c>
      <c r="D8" s="401" t="s">
        <v>725</v>
      </c>
      <c r="E8" s="401"/>
      <c r="F8" s="401"/>
    </row>
    <row r="9" spans="1:18" ht="19.899999999999999" customHeight="1">
      <c r="A9" s="60" t="s">
        <v>8</v>
      </c>
    </row>
    <row r="10" spans="1:18" ht="63">
      <c r="A10" s="173" t="s">
        <v>0</v>
      </c>
      <c r="B10" s="173" t="s">
        <v>3</v>
      </c>
      <c r="C10" s="174" t="s">
        <v>1</v>
      </c>
      <c r="D10" s="174" t="s">
        <v>733</v>
      </c>
      <c r="E10" s="174" t="s">
        <v>731</v>
      </c>
      <c r="F10" s="174" t="s">
        <v>732</v>
      </c>
      <c r="G10" s="174" t="s">
        <v>376</v>
      </c>
      <c r="H10" s="174" t="s">
        <v>737</v>
      </c>
      <c r="I10" s="174" t="s">
        <v>734</v>
      </c>
      <c r="J10" s="174" t="s">
        <v>12</v>
      </c>
      <c r="K10" s="173" t="s">
        <v>7</v>
      </c>
      <c r="L10" s="173" t="s">
        <v>728</v>
      </c>
      <c r="M10" s="173" t="s">
        <v>727</v>
      </c>
      <c r="N10" s="287" t="s">
        <v>3840</v>
      </c>
      <c r="O10" s="174" t="s">
        <v>724</v>
      </c>
      <c r="P10" s="373" t="s">
        <v>736</v>
      </c>
      <c r="Q10" s="174" t="s">
        <v>735</v>
      </c>
      <c r="R10" s="175" t="s">
        <v>2</v>
      </c>
    </row>
    <row r="11" spans="1:18" ht="35.25" customHeight="1">
      <c r="A11" s="15">
        <v>1</v>
      </c>
      <c r="B11" s="239" t="s">
        <v>738</v>
      </c>
      <c r="C11" s="247" t="s">
        <v>739</v>
      </c>
      <c r="D11" s="66"/>
      <c r="E11" s="66"/>
      <c r="F11" s="66"/>
      <c r="G11" s="64"/>
      <c r="H11" s="141"/>
      <c r="I11" s="202" t="s">
        <v>18</v>
      </c>
      <c r="J11" s="192">
        <v>1</v>
      </c>
      <c r="K11" s="11" t="s">
        <v>730</v>
      </c>
      <c r="L11" s="141" t="s">
        <v>17</v>
      </c>
      <c r="M11" s="11" t="str">
        <f>VLOOKUP(N11,'Mã NV'!$A$3:$B$196,2,0)</f>
        <v>HR01</v>
      </c>
      <c r="N11" s="288" t="s">
        <v>119</v>
      </c>
      <c r="O11" s="387">
        <v>44197</v>
      </c>
      <c r="P11" s="371"/>
      <c r="Q11" s="234"/>
      <c r="R11" s="35" t="s">
        <v>272</v>
      </c>
    </row>
    <row r="12" spans="1:18" ht="35.25" customHeight="1">
      <c r="A12" s="15">
        <f>A11+1</f>
        <v>2</v>
      </c>
      <c r="B12" s="239" t="s">
        <v>740</v>
      </c>
      <c r="C12" s="247" t="s">
        <v>741</v>
      </c>
      <c r="D12" s="66"/>
      <c r="E12" s="66"/>
      <c r="F12" s="66"/>
      <c r="G12" s="64"/>
      <c r="H12" s="141"/>
      <c r="I12" s="202" t="s">
        <v>18</v>
      </c>
      <c r="J12" s="192">
        <v>1</v>
      </c>
      <c r="K12" s="11" t="s">
        <v>730</v>
      </c>
      <c r="L12" s="141" t="s">
        <v>17</v>
      </c>
      <c r="M12" s="11" t="str">
        <f>VLOOKUP(N12,'Mã NV'!$A$3:$B$196,2,0)</f>
        <v>HR01</v>
      </c>
      <c r="N12" s="288" t="s">
        <v>119</v>
      </c>
      <c r="O12" s="387">
        <v>44197</v>
      </c>
      <c r="P12" s="371"/>
      <c r="Q12" s="234"/>
      <c r="R12" s="35" t="s">
        <v>272</v>
      </c>
    </row>
    <row r="13" spans="1:18" ht="35.25" customHeight="1">
      <c r="A13" s="15">
        <f t="shared" ref="A13:A76" si="0">A12+1</f>
        <v>3</v>
      </c>
      <c r="B13" s="239" t="s">
        <v>742</v>
      </c>
      <c r="C13" s="247" t="s">
        <v>743</v>
      </c>
      <c r="D13" s="66"/>
      <c r="E13" s="66"/>
      <c r="F13" s="66"/>
      <c r="G13" s="64"/>
      <c r="H13" s="141"/>
      <c r="I13" s="202" t="s">
        <v>18</v>
      </c>
      <c r="J13" s="192">
        <v>1</v>
      </c>
      <c r="K13" s="11" t="s">
        <v>730</v>
      </c>
      <c r="L13" s="141" t="s">
        <v>17</v>
      </c>
      <c r="M13" s="11" t="str">
        <f>VLOOKUP(N13,'Mã NV'!$A$3:$B$196,2,0)</f>
        <v>HR01</v>
      </c>
      <c r="N13" s="288" t="s">
        <v>119</v>
      </c>
      <c r="O13" s="387">
        <v>44197</v>
      </c>
      <c r="P13" s="371"/>
      <c r="Q13" s="234"/>
      <c r="R13" s="35" t="s">
        <v>272</v>
      </c>
    </row>
    <row r="14" spans="1:18" ht="35.25" customHeight="1">
      <c r="A14" s="15">
        <f t="shared" si="0"/>
        <v>4</v>
      </c>
      <c r="B14" s="239" t="s">
        <v>744</v>
      </c>
      <c r="C14" s="247" t="s">
        <v>745</v>
      </c>
      <c r="D14" s="66"/>
      <c r="E14" s="66"/>
      <c r="F14" s="66"/>
      <c r="G14" s="64"/>
      <c r="H14" s="141"/>
      <c r="I14" s="202" t="s">
        <v>18</v>
      </c>
      <c r="J14" s="192">
        <v>1</v>
      </c>
      <c r="K14" s="11" t="s">
        <v>730</v>
      </c>
      <c r="L14" s="141" t="s">
        <v>17</v>
      </c>
      <c r="M14" s="11" t="str">
        <f>VLOOKUP(N14,'Mã NV'!$A$3:$B$196,2,0)</f>
        <v>HR01</v>
      </c>
      <c r="N14" s="288" t="s">
        <v>119</v>
      </c>
      <c r="O14" s="387">
        <v>44197</v>
      </c>
      <c r="P14" s="371"/>
      <c r="Q14" s="234"/>
      <c r="R14" s="35" t="s">
        <v>272</v>
      </c>
    </row>
    <row r="15" spans="1:18" ht="35.25" customHeight="1">
      <c r="A15" s="15">
        <f t="shared" si="0"/>
        <v>5</v>
      </c>
      <c r="B15" s="239" t="s">
        <v>746</v>
      </c>
      <c r="C15" s="247" t="s">
        <v>747</v>
      </c>
      <c r="D15" s="43"/>
      <c r="E15" s="43"/>
      <c r="F15" s="43"/>
      <c r="G15" s="64"/>
      <c r="H15" s="141"/>
      <c r="I15" s="202" t="s">
        <v>18</v>
      </c>
      <c r="J15" s="192">
        <v>1</v>
      </c>
      <c r="K15" s="11" t="s">
        <v>730</v>
      </c>
      <c r="L15" s="141" t="s">
        <v>17</v>
      </c>
      <c r="M15" s="11" t="str">
        <f>VLOOKUP(N15,'Mã NV'!$A$3:$B$196,2,0)</f>
        <v>HR01</v>
      </c>
      <c r="N15" s="288" t="s">
        <v>119</v>
      </c>
      <c r="O15" s="387">
        <v>44197</v>
      </c>
      <c r="P15" s="371"/>
      <c r="Q15" s="234"/>
      <c r="R15" s="35" t="s">
        <v>272</v>
      </c>
    </row>
    <row r="16" spans="1:18" ht="35.25" customHeight="1">
      <c r="A16" s="15">
        <f t="shared" si="0"/>
        <v>6</v>
      </c>
      <c r="B16" s="239" t="s">
        <v>748</v>
      </c>
      <c r="C16" s="247" t="s">
        <v>749</v>
      </c>
      <c r="D16" s="43"/>
      <c r="E16" s="43"/>
      <c r="F16" s="43"/>
      <c r="G16" s="64"/>
      <c r="H16" s="141"/>
      <c r="I16" s="202" t="s">
        <v>18</v>
      </c>
      <c r="J16" s="192">
        <v>1</v>
      </c>
      <c r="K16" s="11" t="s">
        <v>730</v>
      </c>
      <c r="L16" s="141" t="s">
        <v>17</v>
      </c>
      <c r="M16" s="11" t="str">
        <f>VLOOKUP(N16,'Mã NV'!$A$3:$B$196,2,0)</f>
        <v>HR01</v>
      </c>
      <c r="N16" s="288" t="s">
        <v>119</v>
      </c>
      <c r="O16" s="387">
        <v>44197</v>
      </c>
      <c r="P16" s="371"/>
      <c r="Q16" s="43"/>
      <c r="R16" s="35" t="s">
        <v>272</v>
      </c>
    </row>
    <row r="17" spans="1:18" ht="35.25" customHeight="1">
      <c r="A17" s="15">
        <f t="shared" si="0"/>
        <v>7</v>
      </c>
      <c r="B17" s="239" t="s">
        <v>750</v>
      </c>
      <c r="C17" s="247" t="s">
        <v>749</v>
      </c>
      <c r="D17" s="43"/>
      <c r="E17" s="43"/>
      <c r="F17" s="43"/>
      <c r="G17" s="64"/>
      <c r="H17" s="141"/>
      <c r="I17" s="202" t="s">
        <v>18</v>
      </c>
      <c r="J17" s="192">
        <v>1</v>
      </c>
      <c r="K17" s="11" t="s">
        <v>730</v>
      </c>
      <c r="L17" s="141" t="s">
        <v>17</v>
      </c>
      <c r="M17" s="11" t="str">
        <f>VLOOKUP(N17,'Mã NV'!$A$3:$B$196,2,0)</f>
        <v>HR01</v>
      </c>
      <c r="N17" s="288" t="s">
        <v>119</v>
      </c>
      <c r="O17" s="387">
        <v>44197</v>
      </c>
      <c r="P17" s="371"/>
      <c r="Q17" s="43"/>
      <c r="R17" s="35" t="s">
        <v>272</v>
      </c>
    </row>
    <row r="18" spans="1:18" ht="35.25" customHeight="1">
      <c r="A18" s="15">
        <f t="shared" si="0"/>
        <v>8</v>
      </c>
      <c r="B18" s="239" t="s">
        <v>751</v>
      </c>
      <c r="C18" s="247" t="s">
        <v>752</v>
      </c>
      <c r="D18" s="43"/>
      <c r="E18" s="43"/>
      <c r="F18" s="43"/>
      <c r="G18" s="64"/>
      <c r="H18" s="141"/>
      <c r="I18" s="202" t="s">
        <v>18</v>
      </c>
      <c r="J18" s="192">
        <v>1</v>
      </c>
      <c r="K18" s="11" t="s">
        <v>730</v>
      </c>
      <c r="L18" s="141" t="s">
        <v>17</v>
      </c>
      <c r="M18" s="11" t="str">
        <f>VLOOKUP(N18,'Mã NV'!$A$3:$B$196,2,0)</f>
        <v>HR01</v>
      </c>
      <c r="N18" s="288" t="s">
        <v>119</v>
      </c>
      <c r="O18" s="387">
        <v>44197</v>
      </c>
      <c r="P18" s="371"/>
      <c r="Q18" s="43"/>
      <c r="R18" s="35" t="s">
        <v>272</v>
      </c>
    </row>
    <row r="19" spans="1:18" ht="35.25" customHeight="1">
      <c r="A19" s="15">
        <f t="shared" si="0"/>
        <v>9</v>
      </c>
      <c r="B19" s="239" t="s">
        <v>753</v>
      </c>
      <c r="C19" s="247" t="s">
        <v>754</v>
      </c>
      <c r="D19" s="43"/>
      <c r="E19" s="43"/>
      <c r="F19" s="43"/>
      <c r="G19" s="64"/>
      <c r="H19" s="141"/>
      <c r="I19" s="202" t="s">
        <v>18</v>
      </c>
      <c r="J19" s="192">
        <v>1</v>
      </c>
      <c r="K19" s="11" t="s">
        <v>730</v>
      </c>
      <c r="L19" s="141" t="s">
        <v>17</v>
      </c>
      <c r="M19" s="11" t="str">
        <f>VLOOKUP(N19,'Mã NV'!$A$3:$B$196,2,0)</f>
        <v>HR01</v>
      </c>
      <c r="N19" s="288" t="s">
        <v>119</v>
      </c>
      <c r="O19" s="387">
        <v>44197</v>
      </c>
      <c r="P19" s="371"/>
      <c r="Q19" s="43"/>
      <c r="R19" s="35" t="s">
        <v>272</v>
      </c>
    </row>
    <row r="20" spans="1:18" ht="35.25" customHeight="1">
      <c r="A20" s="15">
        <f t="shared" si="0"/>
        <v>10</v>
      </c>
      <c r="B20" s="239" t="s">
        <v>755</v>
      </c>
      <c r="C20" s="247" t="s">
        <v>756</v>
      </c>
      <c r="D20" s="43"/>
      <c r="E20" s="43"/>
      <c r="F20" s="43"/>
      <c r="G20" s="64"/>
      <c r="H20" s="141"/>
      <c r="I20" s="202" t="s">
        <v>18</v>
      </c>
      <c r="J20" s="192">
        <v>1</v>
      </c>
      <c r="K20" s="11" t="s">
        <v>730</v>
      </c>
      <c r="L20" s="141" t="s">
        <v>17</v>
      </c>
      <c r="M20" s="11" t="str">
        <f>VLOOKUP(N20,'Mã NV'!$A$3:$B$196,2,0)</f>
        <v>HR01</v>
      </c>
      <c r="N20" s="288" t="s">
        <v>119</v>
      </c>
      <c r="O20" s="387">
        <v>44197</v>
      </c>
      <c r="P20" s="371"/>
      <c r="Q20" s="43"/>
      <c r="R20" s="35" t="s">
        <v>272</v>
      </c>
    </row>
    <row r="21" spans="1:18" ht="35.25" customHeight="1">
      <c r="A21" s="15">
        <f t="shared" si="0"/>
        <v>11</v>
      </c>
      <c r="B21" s="239" t="s">
        <v>757</v>
      </c>
      <c r="C21" s="247" t="s">
        <v>758</v>
      </c>
      <c r="D21" s="43"/>
      <c r="E21" s="43"/>
      <c r="F21" s="43"/>
      <c r="G21" s="64"/>
      <c r="H21" s="141"/>
      <c r="I21" s="202" t="s">
        <v>18</v>
      </c>
      <c r="J21" s="192">
        <v>1</v>
      </c>
      <c r="K21" s="11" t="s">
        <v>730</v>
      </c>
      <c r="L21" s="141" t="s">
        <v>17</v>
      </c>
      <c r="M21" s="11" t="str">
        <f>VLOOKUP(N21,'Mã NV'!$A$3:$B$196,2,0)</f>
        <v>HR01</v>
      </c>
      <c r="N21" s="288" t="s">
        <v>119</v>
      </c>
      <c r="O21" s="387">
        <v>44197</v>
      </c>
      <c r="P21" s="371"/>
      <c r="Q21" s="43"/>
      <c r="R21" s="35" t="s">
        <v>272</v>
      </c>
    </row>
    <row r="22" spans="1:18" ht="35.25" customHeight="1">
      <c r="A22" s="15">
        <f t="shared" si="0"/>
        <v>12</v>
      </c>
      <c r="B22" s="239" t="s">
        <v>759</v>
      </c>
      <c r="C22" s="247" t="s">
        <v>760</v>
      </c>
      <c r="D22" s="43"/>
      <c r="E22" s="43"/>
      <c r="F22" s="43"/>
      <c r="G22" s="64"/>
      <c r="H22" s="141"/>
      <c r="I22" s="202" t="s">
        <v>18</v>
      </c>
      <c r="J22" s="192">
        <v>1</v>
      </c>
      <c r="K22" s="11" t="s">
        <v>730</v>
      </c>
      <c r="L22" s="141" t="s">
        <v>17</v>
      </c>
      <c r="M22" s="11" t="str">
        <f>VLOOKUP(N22,'Mã NV'!$A$3:$B$196,2,0)</f>
        <v>HR01</v>
      </c>
      <c r="N22" s="288" t="s">
        <v>119</v>
      </c>
      <c r="O22" s="387">
        <v>44197</v>
      </c>
      <c r="P22" s="371"/>
      <c r="Q22" s="43"/>
      <c r="R22" s="35" t="s">
        <v>272</v>
      </c>
    </row>
    <row r="23" spans="1:18" ht="35.25" customHeight="1">
      <c r="A23" s="15">
        <f t="shared" si="0"/>
        <v>13</v>
      </c>
      <c r="B23" s="239" t="s">
        <v>761</v>
      </c>
      <c r="C23" s="247" t="s">
        <v>762</v>
      </c>
      <c r="D23" s="43"/>
      <c r="E23" s="43"/>
      <c r="F23" s="43"/>
      <c r="G23" s="64"/>
      <c r="H23" s="141"/>
      <c r="I23" s="202" t="s">
        <v>18</v>
      </c>
      <c r="J23" s="192">
        <v>1</v>
      </c>
      <c r="K23" s="11" t="s">
        <v>730</v>
      </c>
      <c r="L23" s="141" t="s">
        <v>17</v>
      </c>
      <c r="M23" s="11" t="str">
        <f>VLOOKUP(N23,'Mã NV'!$A$3:$B$196,2,0)</f>
        <v>HR01</v>
      </c>
      <c r="N23" s="288" t="s">
        <v>119</v>
      </c>
      <c r="O23" s="387">
        <v>44197</v>
      </c>
      <c r="P23" s="371"/>
      <c r="Q23" s="43"/>
      <c r="R23" s="35" t="s">
        <v>272</v>
      </c>
    </row>
    <row r="24" spans="1:18" ht="35.25" customHeight="1">
      <c r="A24" s="15">
        <f t="shared" si="0"/>
        <v>14</v>
      </c>
      <c r="B24" s="239" t="s">
        <v>763</v>
      </c>
      <c r="C24" s="247" t="s">
        <v>764</v>
      </c>
      <c r="D24" s="43"/>
      <c r="E24" s="43"/>
      <c r="F24" s="43"/>
      <c r="G24" s="64"/>
      <c r="H24" s="141"/>
      <c r="I24" s="202" t="s">
        <v>18</v>
      </c>
      <c r="J24" s="192">
        <v>1</v>
      </c>
      <c r="K24" s="11" t="s">
        <v>730</v>
      </c>
      <c r="L24" s="141" t="s">
        <v>17</v>
      </c>
      <c r="M24" s="11" t="str">
        <f>VLOOKUP(N24,'Mã NV'!$A$3:$B$196,2,0)</f>
        <v>HR01</v>
      </c>
      <c r="N24" s="288" t="s">
        <v>119</v>
      </c>
      <c r="O24" s="387">
        <v>44197</v>
      </c>
      <c r="P24" s="371"/>
      <c r="Q24" s="43"/>
      <c r="R24" s="35" t="s">
        <v>272</v>
      </c>
    </row>
    <row r="25" spans="1:18" ht="45" customHeight="1">
      <c r="A25" s="15">
        <f t="shared" si="0"/>
        <v>15</v>
      </c>
      <c r="B25" s="239" t="s">
        <v>765</v>
      </c>
      <c r="C25" s="247" t="s">
        <v>766</v>
      </c>
      <c r="D25" s="43"/>
      <c r="E25" s="43"/>
      <c r="F25" s="43"/>
      <c r="G25" s="64"/>
      <c r="H25" s="141"/>
      <c r="I25" s="202" t="s">
        <v>18</v>
      </c>
      <c r="J25" s="192">
        <v>1</v>
      </c>
      <c r="K25" s="11" t="s">
        <v>730</v>
      </c>
      <c r="L25" s="141" t="s">
        <v>17</v>
      </c>
      <c r="M25" s="11" t="str">
        <f>VLOOKUP(N25,'Mã NV'!$A$3:$B$196,2,0)</f>
        <v>HR01</v>
      </c>
      <c r="N25" s="288" t="s">
        <v>119</v>
      </c>
      <c r="O25" s="387">
        <v>44197</v>
      </c>
      <c r="P25" s="371"/>
      <c r="Q25" s="43"/>
      <c r="R25" s="35" t="s">
        <v>272</v>
      </c>
    </row>
    <row r="26" spans="1:18" ht="45" customHeight="1">
      <c r="A26" s="15">
        <f t="shared" si="0"/>
        <v>16</v>
      </c>
      <c r="B26" s="239" t="s">
        <v>767</v>
      </c>
      <c r="C26" s="247" t="s">
        <v>766</v>
      </c>
      <c r="D26" s="43"/>
      <c r="E26" s="43"/>
      <c r="F26" s="43"/>
      <c r="G26" s="64"/>
      <c r="H26" s="141"/>
      <c r="I26" s="202" t="s">
        <v>18</v>
      </c>
      <c r="J26" s="192">
        <v>1</v>
      </c>
      <c r="K26" s="11" t="s">
        <v>730</v>
      </c>
      <c r="L26" s="141" t="s">
        <v>17</v>
      </c>
      <c r="M26" s="11" t="str">
        <f>VLOOKUP(N26,'Mã NV'!$A$3:$B$196,2,0)</f>
        <v>HR01</v>
      </c>
      <c r="N26" s="288" t="s">
        <v>119</v>
      </c>
      <c r="O26" s="387">
        <v>44197</v>
      </c>
      <c r="P26" s="371"/>
      <c r="Q26" s="43"/>
      <c r="R26" s="35" t="s">
        <v>272</v>
      </c>
    </row>
    <row r="27" spans="1:18" ht="45" customHeight="1">
      <c r="A27" s="15">
        <f t="shared" si="0"/>
        <v>17</v>
      </c>
      <c r="B27" s="239" t="s">
        <v>768</v>
      </c>
      <c r="C27" s="247" t="s">
        <v>769</v>
      </c>
      <c r="D27" s="43"/>
      <c r="E27" s="43"/>
      <c r="F27" s="43"/>
      <c r="G27" s="64"/>
      <c r="H27" s="141"/>
      <c r="I27" s="202" t="s">
        <v>18</v>
      </c>
      <c r="J27" s="192">
        <v>1</v>
      </c>
      <c r="K27" s="11" t="s">
        <v>730</v>
      </c>
      <c r="L27" s="141" t="s">
        <v>17</v>
      </c>
      <c r="M27" s="11" t="str">
        <f>VLOOKUP(N27,'Mã NV'!$A$3:$B$196,2,0)</f>
        <v>HR01</v>
      </c>
      <c r="N27" s="288" t="s">
        <v>119</v>
      </c>
      <c r="O27" s="387">
        <v>44197</v>
      </c>
      <c r="P27" s="371"/>
      <c r="Q27" s="43"/>
      <c r="R27" s="35" t="s">
        <v>272</v>
      </c>
    </row>
    <row r="28" spans="1:18" ht="45" customHeight="1">
      <c r="A28" s="15">
        <f t="shared" si="0"/>
        <v>18</v>
      </c>
      <c r="B28" s="239" t="s">
        <v>770</v>
      </c>
      <c r="C28" s="247" t="s">
        <v>771</v>
      </c>
      <c r="D28" s="43"/>
      <c r="E28" s="43"/>
      <c r="F28" s="43"/>
      <c r="G28" s="64"/>
      <c r="H28" s="141"/>
      <c r="I28" s="202" t="s">
        <v>18</v>
      </c>
      <c r="J28" s="192">
        <v>1</v>
      </c>
      <c r="K28" s="11" t="s">
        <v>730</v>
      </c>
      <c r="L28" s="141" t="s">
        <v>17</v>
      </c>
      <c r="M28" s="11" t="str">
        <f>VLOOKUP(N28,'Mã NV'!$A$3:$B$196,2,0)</f>
        <v>HR01</v>
      </c>
      <c r="N28" s="288" t="s">
        <v>119</v>
      </c>
      <c r="O28" s="387">
        <v>44197</v>
      </c>
      <c r="P28" s="371"/>
      <c r="Q28" s="43"/>
      <c r="R28" s="35" t="s">
        <v>272</v>
      </c>
    </row>
    <row r="29" spans="1:18" ht="45" customHeight="1">
      <c r="A29" s="15">
        <f t="shared" si="0"/>
        <v>19</v>
      </c>
      <c r="B29" s="239" t="s">
        <v>772</v>
      </c>
      <c r="C29" s="247" t="s">
        <v>773</v>
      </c>
      <c r="D29" s="43"/>
      <c r="E29" s="43"/>
      <c r="F29" s="43"/>
      <c r="G29" s="64"/>
      <c r="H29" s="141"/>
      <c r="I29" s="202" t="s">
        <v>18</v>
      </c>
      <c r="J29" s="192">
        <v>1</v>
      </c>
      <c r="K29" s="11" t="s">
        <v>730</v>
      </c>
      <c r="L29" s="141" t="s">
        <v>17</v>
      </c>
      <c r="M29" s="11" t="str">
        <f>VLOOKUP(N29,'Mã NV'!$A$3:$B$196,2,0)</f>
        <v>HR01</v>
      </c>
      <c r="N29" s="288" t="s">
        <v>119</v>
      </c>
      <c r="O29" s="387">
        <v>44197</v>
      </c>
      <c r="P29" s="371"/>
      <c r="Q29" s="43"/>
      <c r="R29" s="35" t="s">
        <v>272</v>
      </c>
    </row>
    <row r="30" spans="1:18" ht="45" customHeight="1">
      <c r="A30" s="15">
        <f t="shared" si="0"/>
        <v>20</v>
      </c>
      <c r="B30" s="239" t="s">
        <v>774</v>
      </c>
      <c r="C30" s="247" t="s">
        <v>775</v>
      </c>
      <c r="D30" s="43"/>
      <c r="E30" s="43"/>
      <c r="F30" s="43"/>
      <c r="G30" s="64"/>
      <c r="H30" s="141"/>
      <c r="I30" s="202" t="s">
        <v>18</v>
      </c>
      <c r="J30" s="192">
        <v>1</v>
      </c>
      <c r="K30" s="11" t="s">
        <v>730</v>
      </c>
      <c r="L30" s="141" t="s">
        <v>17</v>
      </c>
      <c r="M30" s="11" t="str">
        <f>VLOOKUP(N30,'Mã NV'!$A$3:$B$196,2,0)</f>
        <v>HR01</v>
      </c>
      <c r="N30" s="288" t="s">
        <v>119</v>
      </c>
      <c r="O30" s="387">
        <v>44197</v>
      </c>
      <c r="P30" s="371"/>
      <c r="Q30" s="43"/>
      <c r="R30" s="35" t="s">
        <v>272</v>
      </c>
    </row>
    <row r="31" spans="1:18" ht="45" customHeight="1">
      <c r="A31" s="15">
        <f t="shared" si="0"/>
        <v>21</v>
      </c>
      <c r="B31" s="239" t="s">
        <v>776</v>
      </c>
      <c r="C31" s="247" t="s">
        <v>777</v>
      </c>
      <c r="D31" s="43"/>
      <c r="E31" s="43"/>
      <c r="F31" s="43"/>
      <c r="G31" s="64"/>
      <c r="H31" s="141"/>
      <c r="I31" s="202" t="s">
        <v>18</v>
      </c>
      <c r="J31" s="192">
        <v>1</v>
      </c>
      <c r="K31" s="11" t="s">
        <v>730</v>
      </c>
      <c r="L31" s="141" t="s">
        <v>17</v>
      </c>
      <c r="M31" s="11" t="str">
        <f>VLOOKUP(N31,'Mã NV'!$A$3:$B$196,2,0)</f>
        <v>HR01</v>
      </c>
      <c r="N31" s="288" t="s">
        <v>119</v>
      </c>
      <c r="O31" s="387">
        <v>44197</v>
      </c>
      <c r="P31" s="371"/>
      <c r="Q31" s="43"/>
      <c r="R31" s="35" t="s">
        <v>272</v>
      </c>
    </row>
    <row r="32" spans="1:18" ht="45" customHeight="1">
      <c r="A32" s="15">
        <f t="shared" si="0"/>
        <v>22</v>
      </c>
      <c r="B32" s="239" t="s">
        <v>778</v>
      </c>
      <c r="C32" s="247" t="s">
        <v>777</v>
      </c>
      <c r="D32" s="43"/>
      <c r="E32" s="43"/>
      <c r="F32" s="43"/>
      <c r="G32" s="64"/>
      <c r="H32" s="141"/>
      <c r="I32" s="202" t="s">
        <v>18</v>
      </c>
      <c r="J32" s="192">
        <v>1</v>
      </c>
      <c r="K32" s="11" t="s">
        <v>730</v>
      </c>
      <c r="L32" s="141" t="s">
        <v>17</v>
      </c>
      <c r="M32" s="11" t="str">
        <f>VLOOKUP(N32,'Mã NV'!$A$3:$B$196,2,0)</f>
        <v>HR01</v>
      </c>
      <c r="N32" s="288" t="s">
        <v>119</v>
      </c>
      <c r="O32" s="387">
        <v>44197</v>
      </c>
      <c r="P32" s="371"/>
      <c r="Q32" s="43"/>
      <c r="R32" s="35" t="s">
        <v>272</v>
      </c>
    </row>
    <row r="33" spans="1:18" ht="45" customHeight="1">
      <c r="A33" s="15">
        <f t="shared" si="0"/>
        <v>23</v>
      </c>
      <c r="B33" s="239" t="s">
        <v>779</v>
      </c>
      <c r="C33" s="247" t="s">
        <v>780</v>
      </c>
      <c r="D33" s="43"/>
      <c r="E33" s="43"/>
      <c r="F33" s="43"/>
      <c r="G33" s="64"/>
      <c r="H33" s="141"/>
      <c r="I33" s="202" t="s">
        <v>18</v>
      </c>
      <c r="J33" s="192">
        <v>1</v>
      </c>
      <c r="K33" s="11" t="s">
        <v>730</v>
      </c>
      <c r="L33" s="141" t="s">
        <v>17</v>
      </c>
      <c r="M33" s="11" t="str">
        <f>VLOOKUP(N33,'Mã NV'!$A$3:$B$196,2,0)</f>
        <v>HR01</v>
      </c>
      <c r="N33" s="288" t="s">
        <v>119</v>
      </c>
      <c r="O33" s="387">
        <v>44197</v>
      </c>
      <c r="P33" s="371"/>
      <c r="Q33" s="43"/>
      <c r="R33" s="35" t="s">
        <v>272</v>
      </c>
    </row>
    <row r="34" spans="1:18" ht="45" customHeight="1">
      <c r="A34" s="15">
        <f t="shared" si="0"/>
        <v>24</v>
      </c>
      <c r="B34" s="239" t="s">
        <v>781</v>
      </c>
      <c r="C34" s="247" t="s">
        <v>782</v>
      </c>
      <c r="D34" s="43"/>
      <c r="E34" s="43"/>
      <c r="F34" s="43"/>
      <c r="G34" s="64"/>
      <c r="H34" s="141"/>
      <c r="I34" s="202" t="s">
        <v>18</v>
      </c>
      <c r="J34" s="192">
        <v>1</v>
      </c>
      <c r="K34" s="11" t="s">
        <v>730</v>
      </c>
      <c r="L34" s="141" t="s">
        <v>17</v>
      </c>
      <c r="M34" s="11" t="str">
        <f>VLOOKUP(N34,'Mã NV'!$A$3:$B$196,2,0)</f>
        <v>HR01</v>
      </c>
      <c r="N34" s="288" t="s">
        <v>119</v>
      </c>
      <c r="O34" s="387">
        <v>44197</v>
      </c>
      <c r="P34" s="371"/>
      <c r="Q34" s="43"/>
      <c r="R34" s="35" t="s">
        <v>272</v>
      </c>
    </row>
    <row r="35" spans="1:18" ht="45" customHeight="1">
      <c r="A35" s="15">
        <f t="shared" si="0"/>
        <v>25</v>
      </c>
      <c r="B35" s="239" t="s">
        <v>783</v>
      </c>
      <c r="C35" s="247" t="s">
        <v>771</v>
      </c>
      <c r="D35" s="43"/>
      <c r="E35" s="43"/>
      <c r="F35" s="43"/>
      <c r="G35" s="64"/>
      <c r="H35" s="141"/>
      <c r="I35" s="202" t="s">
        <v>18</v>
      </c>
      <c r="J35" s="192">
        <v>1</v>
      </c>
      <c r="K35" s="11" t="s">
        <v>730</v>
      </c>
      <c r="L35" s="141" t="s">
        <v>17</v>
      </c>
      <c r="M35" s="11" t="str">
        <f>VLOOKUP(N35,'Mã NV'!$A$3:$B$196,2,0)</f>
        <v>HR01</v>
      </c>
      <c r="N35" s="288" t="s">
        <v>119</v>
      </c>
      <c r="O35" s="387">
        <v>44197</v>
      </c>
      <c r="P35" s="371"/>
      <c r="Q35" s="43"/>
      <c r="R35" s="35" t="s">
        <v>272</v>
      </c>
    </row>
    <row r="36" spans="1:18" ht="45" customHeight="1">
      <c r="A36" s="15">
        <f t="shared" si="0"/>
        <v>26</v>
      </c>
      <c r="B36" s="239" t="s">
        <v>784</v>
      </c>
      <c r="C36" s="247" t="s">
        <v>771</v>
      </c>
      <c r="D36" s="43"/>
      <c r="E36" s="43"/>
      <c r="F36" s="43"/>
      <c r="G36" s="64"/>
      <c r="H36" s="141"/>
      <c r="I36" s="202" t="s">
        <v>18</v>
      </c>
      <c r="J36" s="192">
        <v>1</v>
      </c>
      <c r="K36" s="11" t="s">
        <v>730</v>
      </c>
      <c r="L36" s="141" t="s">
        <v>17</v>
      </c>
      <c r="M36" s="11" t="str">
        <f>VLOOKUP(N36,'Mã NV'!$A$3:$B$196,2,0)</f>
        <v>HR01</v>
      </c>
      <c r="N36" s="288" t="s">
        <v>119</v>
      </c>
      <c r="O36" s="387">
        <v>44197</v>
      </c>
      <c r="P36" s="371"/>
      <c r="Q36" s="43"/>
      <c r="R36" s="35" t="s">
        <v>272</v>
      </c>
    </row>
    <row r="37" spans="1:18" ht="45" customHeight="1">
      <c r="A37" s="15">
        <f t="shared" si="0"/>
        <v>27</v>
      </c>
      <c r="B37" s="239" t="s">
        <v>785</v>
      </c>
      <c r="C37" s="247" t="s">
        <v>786</v>
      </c>
      <c r="D37" s="43"/>
      <c r="E37" s="43"/>
      <c r="F37" s="43"/>
      <c r="G37" s="64"/>
      <c r="H37" s="141"/>
      <c r="I37" s="202" t="s">
        <v>18</v>
      </c>
      <c r="J37" s="192">
        <v>1</v>
      </c>
      <c r="K37" s="11" t="s">
        <v>730</v>
      </c>
      <c r="L37" s="141" t="s">
        <v>17</v>
      </c>
      <c r="M37" s="11" t="str">
        <f>VLOOKUP(N37,'Mã NV'!$A$3:$B$196,2,0)</f>
        <v>HR01</v>
      </c>
      <c r="N37" s="288" t="s">
        <v>119</v>
      </c>
      <c r="O37" s="387">
        <v>44197</v>
      </c>
      <c r="P37" s="371"/>
      <c r="Q37" s="43"/>
      <c r="R37" s="35" t="s">
        <v>272</v>
      </c>
    </row>
    <row r="38" spans="1:18" ht="45" customHeight="1">
      <c r="A38" s="15">
        <f t="shared" si="0"/>
        <v>28</v>
      </c>
      <c r="B38" s="239" t="s">
        <v>787</v>
      </c>
      <c r="C38" s="247" t="s">
        <v>788</v>
      </c>
      <c r="D38" s="43"/>
      <c r="E38" s="43"/>
      <c r="F38" s="43"/>
      <c r="G38" s="64"/>
      <c r="H38" s="141"/>
      <c r="I38" s="202" t="s">
        <v>18</v>
      </c>
      <c r="J38" s="192">
        <v>1</v>
      </c>
      <c r="K38" s="11" t="s">
        <v>730</v>
      </c>
      <c r="L38" s="141" t="s">
        <v>17</v>
      </c>
      <c r="M38" s="11" t="str">
        <f>VLOOKUP(N38,'Mã NV'!$A$3:$B$196,2,0)</f>
        <v>HR01</v>
      </c>
      <c r="N38" s="288" t="s">
        <v>119</v>
      </c>
      <c r="O38" s="387">
        <v>44197</v>
      </c>
      <c r="P38" s="371"/>
      <c r="Q38" s="43"/>
      <c r="R38" s="35" t="s">
        <v>272</v>
      </c>
    </row>
    <row r="39" spans="1:18" ht="45" customHeight="1">
      <c r="A39" s="15">
        <f t="shared" si="0"/>
        <v>29</v>
      </c>
      <c r="B39" s="239" t="s">
        <v>789</v>
      </c>
      <c r="C39" s="247" t="s">
        <v>790</v>
      </c>
      <c r="D39" s="43"/>
      <c r="E39" s="43"/>
      <c r="F39" s="43"/>
      <c r="G39" s="64"/>
      <c r="H39" s="141"/>
      <c r="I39" s="202" t="s">
        <v>18</v>
      </c>
      <c r="J39" s="192">
        <v>1</v>
      </c>
      <c r="K39" s="11" t="s">
        <v>730</v>
      </c>
      <c r="L39" s="141" t="s">
        <v>17</v>
      </c>
      <c r="M39" s="11" t="str">
        <f>VLOOKUP(N39,'Mã NV'!$A$3:$B$196,2,0)</f>
        <v>HR01</v>
      </c>
      <c r="N39" s="288" t="s">
        <v>119</v>
      </c>
      <c r="O39" s="387">
        <v>44197</v>
      </c>
      <c r="P39" s="371"/>
      <c r="Q39" s="43"/>
      <c r="R39" s="35" t="s">
        <v>272</v>
      </c>
    </row>
    <row r="40" spans="1:18" ht="45" customHeight="1">
      <c r="A40" s="15">
        <f t="shared" si="0"/>
        <v>30</v>
      </c>
      <c r="B40" s="239" t="s">
        <v>791</v>
      </c>
      <c r="C40" s="247" t="s">
        <v>792</v>
      </c>
      <c r="D40" s="43"/>
      <c r="E40" s="43"/>
      <c r="F40" s="43"/>
      <c r="G40" s="64"/>
      <c r="H40" s="141"/>
      <c r="I40" s="202" t="s">
        <v>18</v>
      </c>
      <c r="J40" s="192">
        <v>1</v>
      </c>
      <c r="K40" s="11" t="s">
        <v>730</v>
      </c>
      <c r="L40" s="141" t="s">
        <v>17</v>
      </c>
      <c r="M40" s="11" t="str">
        <f>VLOOKUP(N40,'Mã NV'!$A$3:$B$196,2,0)</f>
        <v>HR01</v>
      </c>
      <c r="N40" s="288" t="s">
        <v>119</v>
      </c>
      <c r="O40" s="387">
        <v>44197</v>
      </c>
      <c r="P40" s="371"/>
      <c r="Q40" s="43"/>
      <c r="R40" s="35" t="s">
        <v>272</v>
      </c>
    </row>
    <row r="41" spans="1:18" ht="45" customHeight="1">
      <c r="A41" s="15">
        <f t="shared" si="0"/>
        <v>31</v>
      </c>
      <c r="B41" s="239" t="s">
        <v>793</v>
      </c>
      <c r="C41" s="247" t="s">
        <v>794</v>
      </c>
      <c r="D41" s="19"/>
      <c r="E41" s="19"/>
      <c r="F41" s="19"/>
      <c r="G41" s="64"/>
      <c r="H41" s="141"/>
      <c r="I41" s="202" t="s">
        <v>18</v>
      </c>
      <c r="J41" s="192">
        <v>1</v>
      </c>
      <c r="K41" s="11" t="s">
        <v>730</v>
      </c>
      <c r="L41" s="141" t="s">
        <v>17</v>
      </c>
      <c r="M41" s="11" t="str">
        <f>VLOOKUP(N41,'Mã NV'!$A$3:$B$196,2,0)</f>
        <v>HR01</v>
      </c>
      <c r="N41" s="288" t="s">
        <v>119</v>
      </c>
      <c r="O41" s="387">
        <v>44197</v>
      </c>
      <c r="P41" s="371"/>
      <c r="Q41" s="43"/>
      <c r="R41" s="35" t="s">
        <v>272</v>
      </c>
    </row>
    <row r="42" spans="1:18" ht="45" customHeight="1">
      <c r="A42" s="15">
        <f t="shared" si="0"/>
        <v>32</v>
      </c>
      <c r="B42" s="239" t="s">
        <v>795</v>
      </c>
      <c r="C42" s="247" t="s">
        <v>796</v>
      </c>
      <c r="D42" s="46"/>
      <c r="E42" s="46"/>
      <c r="F42" s="46"/>
      <c r="G42" s="64"/>
      <c r="H42" s="141"/>
      <c r="I42" s="202" t="s">
        <v>18</v>
      </c>
      <c r="J42" s="192">
        <v>1</v>
      </c>
      <c r="K42" s="11" t="s">
        <v>730</v>
      </c>
      <c r="L42" s="141" t="s">
        <v>17</v>
      </c>
      <c r="M42" s="11" t="str">
        <f>VLOOKUP(N42,'Mã NV'!$A$3:$B$196,2,0)</f>
        <v>HR01</v>
      </c>
      <c r="N42" s="288" t="s">
        <v>119</v>
      </c>
      <c r="O42" s="387">
        <v>44197</v>
      </c>
      <c r="P42" s="371"/>
      <c r="Q42" s="43"/>
      <c r="R42" s="35" t="s">
        <v>272</v>
      </c>
    </row>
    <row r="43" spans="1:18" ht="45" customHeight="1">
      <c r="A43" s="15">
        <f t="shared" si="0"/>
        <v>33</v>
      </c>
      <c r="B43" s="239" t="s">
        <v>797</v>
      </c>
      <c r="C43" s="247" t="s">
        <v>798</v>
      </c>
      <c r="D43" s="46"/>
      <c r="E43" s="46"/>
      <c r="F43" s="46"/>
      <c r="G43" s="64"/>
      <c r="H43" s="141"/>
      <c r="I43" s="202" t="s">
        <v>18</v>
      </c>
      <c r="J43" s="192">
        <v>1</v>
      </c>
      <c r="K43" s="11" t="s">
        <v>730</v>
      </c>
      <c r="L43" s="141" t="s">
        <v>17</v>
      </c>
      <c r="M43" s="11" t="str">
        <f>VLOOKUP(N43,'Mã NV'!$A$3:$B$196,2,0)</f>
        <v>HR01</v>
      </c>
      <c r="N43" s="288" t="s">
        <v>119</v>
      </c>
      <c r="O43" s="387">
        <v>44197</v>
      </c>
      <c r="P43" s="371"/>
      <c r="Q43" s="43"/>
      <c r="R43" s="35" t="s">
        <v>272</v>
      </c>
    </row>
    <row r="44" spans="1:18" ht="45" customHeight="1">
      <c r="A44" s="15">
        <f t="shared" si="0"/>
        <v>34</v>
      </c>
      <c r="B44" s="239" t="s">
        <v>799</v>
      </c>
      <c r="C44" s="247" t="s">
        <v>800</v>
      </c>
      <c r="D44" s="46"/>
      <c r="E44" s="46"/>
      <c r="F44" s="46"/>
      <c r="G44" s="64"/>
      <c r="H44" s="141"/>
      <c r="I44" s="202" t="s">
        <v>18</v>
      </c>
      <c r="J44" s="192">
        <v>1</v>
      </c>
      <c r="K44" s="11" t="s">
        <v>730</v>
      </c>
      <c r="L44" s="141" t="s">
        <v>17</v>
      </c>
      <c r="M44" s="11" t="str">
        <f>VLOOKUP(N44,'Mã NV'!$A$3:$B$196,2,0)</f>
        <v>HR01</v>
      </c>
      <c r="N44" s="288" t="s">
        <v>119</v>
      </c>
      <c r="O44" s="387">
        <v>44197</v>
      </c>
      <c r="P44" s="371"/>
      <c r="Q44" s="43"/>
      <c r="R44" s="35" t="s">
        <v>272</v>
      </c>
    </row>
    <row r="45" spans="1:18" ht="45" customHeight="1">
      <c r="A45" s="15">
        <f t="shared" si="0"/>
        <v>35</v>
      </c>
      <c r="B45" s="239" t="s">
        <v>801</v>
      </c>
      <c r="C45" s="247" t="s">
        <v>802</v>
      </c>
      <c r="D45" s="46"/>
      <c r="E45" s="46"/>
      <c r="F45" s="46"/>
      <c r="G45" s="64"/>
      <c r="H45" s="141"/>
      <c r="I45" s="202" t="s">
        <v>18</v>
      </c>
      <c r="J45" s="192">
        <v>1</v>
      </c>
      <c r="K45" s="11" t="s">
        <v>730</v>
      </c>
      <c r="L45" s="141" t="s">
        <v>17</v>
      </c>
      <c r="M45" s="11" t="str">
        <f>VLOOKUP(N45,'Mã NV'!$A$3:$B$196,2,0)</f>
        <v>HR01</v>
      </c>
      <c r="N45" s="288" t="s">
        <v>119</v>
      </c>
      <c r="O45" s="387">
        <v>44197</v>
      </c>
      <c r="P45" s="371"/>
      <c r="Q45" s="43"/>
      <c r="R45" s="35" t="s">
        <v>272</v>
      </c>
    </row>
    <row r="46" spans="1:18" ht="45" customHeight="1">
      <c r="A46" s="15">
        <f t="shared" si="0"/>
        <v>36</v>
      </c>
      <c r="B46" s="239" t="s">
        <v>803</v>
      </c>
      <c r="C46" s="247" t="s">
        <v>802</v>
      </c>
      <c r="D46" s="46"/>
      <c r="E46" s="46"/>
      <c r="F46" s="46"/>
      <c r="G46" s="64"/>
      <c r="H46" s="141"/>
      <c r="I46" s="202" t="s">
        <v>18</v>
      </c>
      <c r="J46" s="192">
        <v>1</v>
      </c>
      <c r="K46" s="11" t="s">
        <v>730</v>
      </c>
      <c r="L46" s="141" t="s">
        <v>17</v>
      </c>
      <c r="M46" s="11" t="str">
        <f>VLOOKUP(N46,'Mã NV'!$A$3:$B$196,2,0)</f>
        <v>HR01</v>
      </c>
      <c r="N46" s="288" t="s">
        <v>119</v>
      </c>
      <c r="O46" s="387">
        <v>44197</v>
      </c>
      <c r="P46" s="371"/>
      <c r="Q46" s="43"/>
      <c r="R46" s="35" t="s">
        <v>272</v>
      </c>
    </row>
    <row r="47" spans="1:18" ht="45" customHeight="1">
      <c r="A47" s="15">
        <f t="shared" si="0"/>
        <v>37</v>
      </c>
      <c r="B47" s="239" t="s">
        <v>804</v>
      </c>
      <c r="C47" s="247" t="s">
        <v>805</v>
      </c>
      <c r="D47" s="46"/>
      <c r="E47" s="46"/>
      <c r="F47" s="46"/>
      <c r="G47" s="64"/>
      <c r="H47" s="141"/>
      <c r="I47" s="202" t="s">
        <v>18</v>
      </c>
      <c r="J47" s="192">
        <v>1</v>
      </c>
      <c r="K47" s="11" t="s">
        <v>730</v>
      </c>
      <c r="L47" s="141" t="s">
        <v>17</v>
      </c>
      <c r="M47" s="11" t="str">
        <f>VLOOKUP(N47,'Mã NV'!$A$3:$B$196,2,0)</f>
        <v>HR01</v>
      </c>
      <c r="N47" s="288" t="s">
        <v>119</v>
      </c>
      <c r="O47" s="387">
        <v>44197</v>
      </c>
      <c r="P47" s="371"/>
      <c r="Q47" s="43"/>
      <c r="R47" s="35" t="s">
        <v>272</v>
      </c>
    </row>
    <row r="48" spans="1:18" ht="45" customHeight="1">
      <c r="A48" s="15">
        <f t="shared" si="0"/>
        <v>38</v>
      </c>
      <c r="B48" s="239" t="s">
        <v>806</v>
      </c>
      <c r="C48" s="247" t="s">
        <v>807</v>
      </c>
      <c r="D48" s="46"/>
      <c r="E48" s="46"/>
      <c r="F48" s="46"/>
      <c r="G48" s="64"/>
      <c r="H48" s="141"/>
      <c r="I48" s="202" t="s">
        <v>18</v>
      </c>
      <c r="J48" s="192">
        <v>1</v>
      </c>
      <c r="K48" s="11" t="s">
        <v>730</v>
      </c>
      <c r="L48" s="141" t="s">
        <v>17</v>
      </c>
      <c r="M48" s="11" t="str">
        <f>VLOOKUP(N48,'Mã NV'!$A$3:$B$196,2,0)</f>
        <v>HR01</v>
      </c>
      <c r="N48" s="288" t="s">
        <v>119</v>
      </c>
      <c r="O48" s="387">
        <v>44197</v>
      </c>
      <c r="P48" s="371"/>
      <c r="Q48" s="43"/>
      <c r="R48" s="35" t="s">
        <v>272</v>
      </c>
    </row>
    <row r="49" spans="1:18" ht="45" customHeight="1">
      <c r="A49" s="15">
        <f t="shared" si="0"/>
        <v>39</v>
      </c>
      <c r="B49" s="239" t="s">
        <v>808</v>
      </c>
      <c r="C49" s="247" t="s">
        <v>807</v>
      </c>
      <c r="D49" s="46"/>
      <c r="E49" s="46"/>
      <c r="F49" s="46"/>
      <c r="G49" s="64"/>
      <c r="H49" s="141"/>
      <c r="I49" s="202" t="s">
        <v>18</v>
      </c>
      <c r="J49" s="192">
        <v>1</v>
      </c>
      <c r="K49" s="11" t="s">
        <v>730</v>
      </c>
      <c r="L49" s="141" t="s">
        <v>17</v>
      </c>
      <c r="M49" s="11" t="str">
        <f>VLOOKUP(N49,'Mã NV'!$A$3:$B$196,2,0)</f>
        <v>HR01</v>
      </c>
      <c r="N49" s="288" t="s">
        <v>119</v>
      </c>
      <c r="O49" s="387">
        <v>44197</v>
      </c>
      <c r="P49" s="371"/>
      <c r="Q49" s="43"/>
      <c r="R49" s="35" t="s">
        <v>272</v>
      </c>
    </row>
    <row r="50" spans="1:18" ht="45" customHeight="1">
      <c r="A50" s="15">
        <f t="shared" si="0"/>
        <v>40</v>
      </c>
      <c r="B50" s="239" t="s">
        <v>809</v>
      </c>
      <c r="C50" s="247" t="s">
        <v>807</v>
      </c>
      <c r="D50" s="46"/>
      <c r="E50" s="46"/>
      <c r="F50" s="46"/>
      <c r="G50" s="64"/>
      <c r="H50" s="141"/>
      <c r="I50" s="202" t="s">
        <v>18</v>
      </c>
      <c r="J50" s="192">
        <v>1</v>
      </c>
      <c r="K50" s="11" t="s">
        <v>730</v>
      </c>
      <c r="L50" s="141" t="s">
        <v>17</v>
      </c>
      <c r="M50" s="11" t="str">
        <f>VLOOKUP(N50,'Mã NV'!$A$3:$B$196,2,0)</f>
        <v>HR01</v>
      </c>
      <c r="N50" s="288" t="s">
        <v>119</v>
      </c>
      <c r="O50" s="387">
        <v>44197</v>
      </c>
      <c r="P50" s="371"/>
      <c r="Q50" s="43"/>
      <c r="R50" s="35" t="s">
        <v>272</v>
      </c>
    </row>
    <row r="51" spans="1:18" ht="45" customHeight="1">
      <c r="A51" s="15">
        <f t="shared" si="0"/>
        <v>41</v>
      </c>
      <c r="B51" s="239" t="s">
        <v>810</v>
      </c>
      <c r="C51" s="247" t="s">
        <v>807</v>
      </c>
      <c r="D51" s="46"/>
      <c r="E51" s="46"/>
      <c r="F51" s="46"/>
      <c r="G51" s="64"/>
      <c r="H51" s="141"/>
      <c r="I51" s="202" t="s">
        <v>18</v>
      </c>
      <c r="J51" s="192">
        <v>1</v>
      </c>
      <c r="K51" s="11" t="s">
        <v>730</v>
      </c>
      <c r="L51" s="141" t="s">
        <v>17</v>
      </c>
      <c r="M51" s="11" t="str">
        <f>VLOOKUP(N51,'Mã NV'!$A$3:$B$196,2,0)</f>
        <v>HR01</v>
      </c>
      <c r="N51" s="288" t="s">
        <v>119</v>
      </c>
      <c r="O51" s="387">
        <v>44197</v>
      </c>
      <c r="P51" s="371"/>
      <c r="Q51" s="43"/>
      <c r="R51" s="35" t="s">
        <v>272</v>
      </c>
    </row>
    <row r="52" spans="1:18" ht="45" customHeight="1">
      <c r="A52" s="15">
        <f t="shared" si="0"/>
        <v>42</v>
      </c>
      <c r="B52" s="239" t="s">
        <v>811</v>
      </c>
      <c r="C52" s="247" t="s">
        <v>812</v>
      </c>
      <c r="D52" s="46"/>
      <c r="E52" s="46"/>
      <c r="F52" s="46"/>
      <c r="G52" s="64"/>
      <c r="H52" s="141"/>
      <c r="I52" s="202" t="s">
        <v>18</v>
      </c>
      <c r="J52" s="192">
        <v>1</v>
      </c>
      <c r="K52" s="11" t="s">
        <v>730</v>
      </c>
      <c r="L52" s="141" t="s">
        <v>17</v>
      </c>
      <c r="M52" s="11" t="str">
        <f>VLOOKUP(N52,'Mã NV'!$A$3:$B$196,2,0)</f>
        <v>HR01</v>
      </c>
      <c r="N52" s="288" t="s">
        <v>119</v>
      </c>
      <c r="O52" s="387">
        <v>44197</v>
      </c>
      <c r="P52" s="371"/>
      <c r="Q52" s="43"/>
      <c r="R52" s="35" t="s">
        <v>272</v>
      </c>
    </row>
    <row r="53" spans="1:18" ht="45" customHeight="1">
      <c r="A53" s="15">
        <f t="shared" si="0"/>
        <v>43</v>
      </c>
      <c r="B53" s="239" t="s">
        <v>813</v>
      </c>
      <c r="C53" s="247" t="s">
        <v>812</v>
      </c>
      <c r="D53" s="46"/>
      <c r="E53" s="46"/>
      <c r="F53" s="46"/>
      <c r="G53" s="64"/>
      <c r="H53" s="141"/>
      <c r="I53" s="202" t="s">
        <v>18</v>
      </c>
      <c r="J53" s="192">
        <v>1</v>
      </c>
      <c r="K53" s="11" t="s">
        <v>730</v>
      </c>
      <c r="L53" s="141" t="s">
        <v>17</v>
      </c>
      <c r="M53" s="11" t="str">
        <f>VLOOKUP(N53,'Mã NV'!$A$3:$B$196,2,0)</f>
        <v>HR01</v>
      </c>
      <c r="N53" s="288" t="s">
        <v>119</v>
      </c>
      <c r="O53" s="387">
        <v>44197</v>
      </c>
      <c r="P53" s="371"/>
      <c r="Q53" s="43"/>
      <c r="R53" s="35" t="s">
        <v>272</v>
      </c>
    </row>
    <row r="54" spans="1:18" ht="45" customHeight="1">
      <c r="A54" s="15">
        <f t="shared" si="0"/>
        <v>44</v>
      </c>
      <c r="B54" s="239" t="s">
        <v>814</v>
      </c>
      <c r="C54" s="247" t="s">
        <v>812</v>
      </c>
      <c r="D54" s="46"/>
      <c r="E54" s="46"/>
      <c r="F54" s="46"/>
      <c r="G54" s="64"/>
      <c r="H54" s="141"/>
      <c r="I54" s="202" t="s">
        <v>18</v>
      </c>
      <c r="J54" s="192">
        <v>1</v>
      </c>
      <c r="K54" s="11" t="s">
        <v>730</v>
      </c>
      <c r="L54" s="141" t="s">
        <v>17</v>
      </c>
      <c r="M54" s="11" t="str">
        <f>VLOOKUP(N54,'Mã NV'!$A$3:$B$196,2,0)</f>
        <v>HR01</v>
      </c>
      <c r="N54" s="288" t="s">
        <v>119</v>
      </c>
      <c r="O54" s="387">
        <v>44197</v>
      </c>
      <c r="P54" s="371"/>
      <c r="Q54" s="43"/>
      <c r="R54" s="35" t="s">
        <v>272</v>
      </c>
    </row>
    <row r="55" spans="1:18" ht="45" customHeight="1">
      <c r="A55" s="15">
        <f t="shared" si="0"/>
        <v>45</v>
      </c>
      <c r="B55" s="239" t="s">
        <v>815</v>
      </c>
      <c r="C55" s="247" t="s">
        <v>812</v>
      </c>
      <c r="D55" s="43"/>
      <c r="E55" s="43"/>
      <c r="F55" s="43"/>
      <c r="G55" s="64"/>
      <c r="H55" s="141"/>
      <c r="I55" s="202" t="s">
        <v>18</v>
      </c>
      <c r="J55" s="192">
        <v>1</v>
      </c>
      <c r="K55" s="11" t="s">
        <v>730</v>
      </c>
      <c r="L55" s="141" t="s">
        <v>17</v>
      </c>
      <c r="M55" s="11" t="str">
        <f>VLOOKUP(N55,'Mã NV'!$A$3:$B$196,2,0)</f>
        <v>HR01</v>
      </c>
      <c r="N55" s="288" t="s">
        <v>119</v>
      </c>
      <c r="O55" s="387">
        <v>44197</v>
      </c>
      <c r="P55" s="371"/>
      <c r="Q55" s="43"/>
      <c r="R55" s="35" t="s">
        <v>272</v>
      </c>
    </row>
    <row r="56" spans="1:18" ht="45" customHeight="1">
      <c r="A56" s="15">
        <f t="shared" si="0"/>
        <v>46</v>
      </c>
      <c r="B56" s="239" t="s">
        <v>816</v>
      </c>
      <c r="C56" s="247" t="s">
        <v>817</v>
      </c>
      <c r="D56" s="66"/>
      <c r="E56" s="66"/>
      <c r="F56" s="66"/>
      <c r="G56" s="64"/>
      <c r="H56" s="141"/>
      <c r="I56" s="202" t="s">
        <v>18</v>
      </c>
      <c r="J56" s="192">
        <v>1</v>
      </c>
      <c r="K56" s="11" t="s">
        <v>730</v>
      </c>
      <c r="L56" s="141" t="s">
        <v>17</v>
      </c>
      <c r="M56" s="11" t="str">
        <f>VLOOKUP(N56,'Mã NV'!$A$3:$B$196,2,0)</f>
        <v>HR01</v>
      </c>
      <c r="N56" s="288" t="s">
        <v>119</v>
      </c>
      <c r="O56" s="387">
        <v>44197</v>
      </c>
      <c r="P56" s="371"/>
      <c r="Q56" s="43"/>
      <c r="R56" s="35" t="s">
        <v>272</v>
      </c>
    </row>
    <row r="57" spans="1:18" ht="45" customHeight="1">
      <c r="A57" s="15">
        <f t="shared" si="0"/>
        <v>47</v>
      </c>
      <c r="B57" s="239" t="s">
        <v>818</v>
      </c>
      <c r="C57" s="247" t="s">
        <v>819</v>
      </c>
      <c r="D57" s="66"/>
      <c r="E57" s="66"/>
      <c r="F57" s="66"/>
      <c r="G57" s="64"/>
      <c r="H57" s="141"/>
      <c r="I57" s="202" t="s">
        <v>18</v>
      </c>
      <c r="J57" s="192">
        <v>1</v>
      </c>
      <c r="K57" s="11" t="s">
        <v>730</v>
      </c>
      <c r="L57" s="141" t="s">
        <v>17</v>
      </c>
      <c r="M57" s="11" t="str">
        <f>VLOOKUP(N57,'Mã NV'!$A$3:$B$196,2,0)</f>
        <v>HR01</v>
      </c>
      <c r="N57" s="288" t="s">
        <v>119</v>
      </c>
      <c r="O57" s="387">
        <v>44197</v>
      </c>
      <c r="P57" s="371"/>
      <c r="Q57" s="43"/>
      <c r="R57" s="35" t="s">
        <v>272</v>
      </c>
    </row>
    <row r="58" spans="1:18" ht="45" customHeight="1">
      <c r="A58" s="15">
        <f t="shared" si="0"/>
        <v>48</v>
      </c>
      <c r="B58" s="239" t="s">
        <v>820</v>
      </c>
      <c r="C58" s="247" t="s">
        <v>821</v>
      </c>
      <c r="D58" s="66"/>
      <c r="E58" s="66"/>
      <c r="F58" s="66"/>
      <c r="G58" s="64"/>
      <c r="H58" s="141"/>
      <c r="I58" s="202" t="s">
        <v>18</v>
      </c>
      <c r="J58" s="192">
        <v>1</v>
      </c>
      <c r="K58" s="11" t="s">
        <v>730</v>
      </c>
      <c r="L58" s="141" t="s">
        <v>17</v>
      </c>
      <c r="M58" s="11" t="str">
        <f>VLOOKUP(N58,'Mã NV'!$A$3:$B$196,2,0)</f>
        <v>HR01</v>
      </c>
      <c r="N58" s="288" t="s">
        <v>119</v>
      </c>
      <c r="O58" s="387">
        <v>44197</v>
      </c>
      <c r="P58" s="371"/>
      <c r="Q58" s="43"/>
      <c r="R58" s="35" t="s">
        <v>272</v>
      </c>
    </row>
    <row r="59" spans="1:18" ht="45" customHeight="1">
      <c r="A59" s="15">
        <f t="shared" si="0"/>
        <v>49</v>
      </c>
      <c r="B59" s="239" t="s">
        <v>822</v>
      </c>
      <c r="C59" s="247" t="s">
        <v>821</v>
      </c>
      <c r="D59" s="66"/>
      <c r="E59" s="66"/>
      <c r="F59" s="66"/>
      <c r="G59" s="64"/>
      <c r="H59" s="141"/>
      <c r="I59" s="202" t="s">
        <v>18</v>
      </c>
      <c r="J59" s="192">
        <v>1</v>
      </c>
      <c r="K59" s="11" t="s">
        <v>730</v>
      </c>
      <c r="L59" s="141" t="s">
        <v>17</v>
      </c>
      <c r="M59" s="11" t="str">
        <f>VLOOKUP(N59,'Mã NV'!$A$3:$B$196,2,0)</f>
        <v>HR01</v>
      </c>
      <c r="N59" s="288" t="s">
        <v>119</v>
      </c>
      <c r="O59" s="387">
        <v>44197</v>
      </c>
      <c r="P59" s="371"/>
      <c r="Q59" s="43"/>
      <c r="R59" s="35" t="s">
        <v>272</v>
      </c>
    </row>
    <row r="60" spans="1:18" ht="45" customHeight="1">
      <c r="A60" s="15">
        <f t="shared" si="0"/>
        <v>50</v>
      </c>
      <c r="B60" s="239" t="s">
        <v>823</v>
      </c>
      <c r="C60" s="247" t="s">
        <v>824</v>
      </c>
      <c r="D60" s="66"/>
      <c r="E60" s="66"/>
      <c r="F60" s="66"/>
      <c r="G60" s="64"/>
      <c r="H60" s="141"/>
      <c r="I60" s="202" t="s">
        <v>18</v>
      </c>
      <c r="J60" s="192">
        <v>1</v>
      </c>
      <c r="K60" s="11" t="s">
        <v>730</v>
      </c>
      <c r="L60" s="141" t="s">
        <v>17</v>
      </c>
      <c r="M60" s="11" t="str">
        <f>VLOOKUP(N60,'Mã NV'!$A$3:$B$196,2,0)</f>
        <v>HR01</v>
      </c>
      <c r="N60" s="288" t="s">
        <v>119</v>
      </c>
      <c r="O60" s="387">
        <v>44197</v>
      </c>
      <c r="P60" s="371"/>
      <c r="Q60" s="43"/>
      <c r="R60" s="35" t="s">
        <v>272</v>
      </c>
    </row>
    <row r="61" spans="1:18" ht="45" customHeight="1">
      <c r="A61" s="15">
        <f t="shared" si="0"/>
        <v>51</v>
      </c>
      <c r="B61" s="239" t="s">
        <v>825</v>
      </c>
      <c r="C61" s="247" t="s">
        <v>826</v>
      </c>
      <c r="D61" s="66"/>
      <c r="E61" s="66"/>
      <c r="F61" s="66"/>
      <c r="G61" s="64"/>
      <c r="H61" s="141"/>
      <c r="I61" s="202" t="s">
        <v>18</v>
      </c>
      <c r="J61" s="192">
        <v>1</v>
      </c>
      <c r="K61" s="11" t="s">
        <v>730</v>
      </c>
      <c r="L61" s="141" t="s">
        <v>17</v>
      </c>
      <c r="M61" s="11" t="str">
        <f>VLOOKUP(N61,'Mã NV'!$A$3:$B$196,2,0)</f>
        <v>HR01</v>
      </c>
      <c r="N61" s="288" t="s">
        <v>119</v>
      </c>
      <c r="O61" s="387">
        <v>44197</v>
      </c>
      <c r="P61" s="371"/>
      <c r="Q61" s="43"/>
      <c r="R61" s="35" t="s">
        <v>272</v>
      </c>
    </row>
    <row r="62" spans="1:18" ht="35.25" customHeight="1">
      <c r="A62" s="15">
        <f t="shared" si="0"/>
        <v>52</v>
      </c>
      <c r="B62" s="239" t="s">
        <v>827</v>
      </c>
      <c r="C62" s="247" t="s">
        <v>828</v>
      </c>
      <c r="D62" s="66"/>
      <c r="E62" s="66"/>
      <c r="F62" s="66"/>
      <c r="G62" s="64"/>
      <c r="H62" s="141"/>
      <c r="I62" s="202" t="s">
        <v>18</v>
      </c>
      <c r="J62" s="192">
        <v>1</v>
      </c>
      <c r="K62" s="11" t="s">
        <v>730</v>
      </c>
      <c r="L62" s="141" t="s">
        <v>17</v>
      </c>
      <c r="M62" s="11" t="str">
        <f>VLOOKUP(N62,'Mã NV'!$A$3:$B$196,2,0)</f>
        <v>HR01</v>
      </c>
      <c r="N62" s="288" t="s">
        <v>119</v>
      </c>
      <c r="O62" s="387">
        <v>44197</v>
      </c>
      <c r="P62" s="371"/>
      <c r="Q62" s="43"/>
      <c r="R62" s="35" t="s">
        <v>272</v>
      </c>
    </row>
    <row r="63" spans="1:18" ht="35.25" customHeight="1">
      <c r="A63" s="15">
        <f t="shared" si="0"/>
        <v>53</v>
      </c>
      <c r="B63" s="239" t="s">
        <v>829</v>
      </c>
      <c r="C63" s="247" t="s">
        <v>828</v>
      </c>
      <c r="D63" s="66"/>
      <c r="E63" s="66"/>
      <c r="F63" s="66"/>
      <c r="G63" s="64"/>
      <c r="H63" s="141"/>
      <c r="I63" s="202" t="s">
        <v>18</v>
      </c>
      <c r="J63" s="192">
        <v>1</v>
      </c>
      <c r="K63" s="11" t="s">
        <v>730</v>
      </c>
      <c r="L63" s="141" t="s">
        <v>17</v>
      </c>
      <c r="M63" s="11" t="str">
        <f>VLOOKUP(N63,'Mã NV'!$A$3:$B$196,2,0)</f>
        <v>HR01</v>
      </c>
      <c r="N63" s="288" t="s">
        <v>119</v>
      </c>
      <c r="O63" s="387">
        <v>44197</v>
      </c>
      <c r="P63" s="371"/>
      <c r="Q63" s="43"/>
      <c r="R63" s="35" t="s">
        <v>272</v>
      </c>
    </row>
    <row r="64" spans="1:18" ht="35.25" customHeight="1">
      <c r="A64" s="15">
        <f t="shared" si="0"/>
        <v>54</v>
      </c>
      <c r="B64" s="239" t="s">
        <v>830</v>
      </c>
      <c r="C64" s="247" t="s">
        <v>828</v>
      </c>
      <c r="D64" s="46"/>
      <c r="E64" s="46"/>
      <c r="F64" s="46"/>
      <c r="G64" s="64"/>
      <c r="H64" s="141"/>
      <c r="I64" s="202" t="s">
        <v>18</v>
      </c>
      <c r="J64" s="192">
        <v>1</v>
      </c>
      <c r="K64" s="11" t="s">
        <v>730</v>
      </c>
      <c r="L64" s="141" t="s">
        <v>17</v>
      </c>
      <c r="M64" s="11" t="str">
        <f>VLOOKUP(N64,'Mã NV'!$A$3:$B$196,2,0)</f>
        <v>HR01</v>
      </c>
      <c r="N64" s="288" t="s">
        <v>119</v>
      </c>
      <c r="O64" s="387">
        <v>44197</v>
      </c>
      <c r="P64" s="371"/>
      <c r="Q64" s="43"/>
      <c r="R64" s="35" t="s">
        <v>272</v>
      </c>
    </row>
    <row r="65" spans="1:18" ht="35.25" customHeight="1">
      <c r="A65" s="15">
        <f t="shared" si="0"/>
        <v>55</v>
      </c>
      <c r="B65" s="239" t="s">
        <v>831</v>
      </c>
      <c r="C65" s="247" t="s">
        <v>828</v>
      </c>
      <c r="D65" s="46"/>
      <c r="E65" s="46"/>
      <c r="F65" s="46"/>
      <c r="G65" s="64"/>
      <c r="H65" s="141"/>
      <c r="I65" s="202" t="s">
        <v>18</v>
      </c>
      <c r="J65" s="192">
        <v>1</v>
      </c>
      <c r="K65" s="11" t="s">
        <v>730</v>
      </c>
      <c r="L65" s="141" t="s">
        <v>17</v>
      </c>
      <c r="M65" s="11" t="str">
        <f>VLOOKUP(N65,'Mã NV'!$A$3:$B$196,2,0)</f>
        <v>HR01</v>
      </c>
      <c r="N65" s="288" t="s">
        <v>119</v>
      </c>
      <c r="O65" s="387">
        <v>44197</v>
      </c>
      <c r="P65" s="371"/>
      <c r="Q65" s="43"/>
      <c r="R65" s="35" t="s">
        <v>272</v>
      </c>
    </row>
    <row r="66" spans="1:18" ht="35.25" customHeight="1">
      <c r="A66" s="15">
        <f t="shared" si="0"/>
        <v>56</v>
      </c>
      <c r="B66" s="239" t="s">
        <v>832</v>
      </c>
      <c r="C66" s="247" t="s">
        <v>833</v>
      </c>
      <c r="D66" s="46"/>
      <c r="E66" s="46"/>
      <c r="F66" s="46"/>
      <c r="G66" s="64"/>
      <c r="H66" s="141"/>
      <c r="I66" s="202" t="s">
        <v>18</v>
      </c>
      <c r="J66" s="192">
        <v>1</v>
      </c>
      <c r="K66" s="11" t="s">
        <v>730</v>
      </c>
      <c r="L66" s="141" t="s">
        <v>17</v>
      </c>
      <c r="M66" s="11" t="str">
        <f>VLOOKUP(N66,'Mã NV'!$A$3:$B$196,2,0)</f>
        <v>HR01</v>
      </c>
      <c r="N66" s="288" t="s">
        <v>119</v>
      </c>
      <c r="O66" s="387">
        <v>44197</v>
      </c>
      <c r="P66" s="371"/>
      <c r="Q66" s="43"/>
      <c r="R66" s="35" t="s">
        <v>272</v>
      </c>
    </row>
    <row r="67" spans="1:18" ht="35.25" customHeight="1">
      <c r="A67" s="15">
        <f t="shared" si="0"/>
        <v>57</v>
      </c>
      <c r="B67" s="239" t="s">
        <v>834</v>
      </c>
      <c r="C67" s="247" t="s">
        <v>833</v>
      </c>
      <c r="D67" s="46"/>
      <c r="E67" s="46"/>
      <c r="F67" s="46"/>
      <c r="G67" s="64"/>
      <c r="H67" s="141"/>
      <c r="I67" s="202" t="s">
        <v>18</v>
      </c>
      <c r="J67" s="192">
        <v>1</v>
      </c>
      <c r="K67" s="11" t="s">
        <v>730</v>
      </c>
      <c r="L67" s="141" t="s">
        <v>17</v>
      </c>
      <c r="M67" s="11" t="str">
        <f>VLOOKUP(N67,'Mã NV'!$A$3:$B$196,2,0)</f>
        <v>HR01</v>
      </c>
      <c r="N67" s="288" t="s">
        <v>119</v>
      </c>
      <c r="O67" s="387">
        <v>44197</v>
      </c>
      <c r="P67" s="371"/>
      <c r="Q67" s="43"/>
      <c r="R67" s="35" t="s">
        <v>272</v>
      </c>
    </row>
    <row r="68" spans="1:18" ht="35.25" customHeight="1">
      <c r="A68" s="15">
        <f t="shared" si="0"/>
        <v>58</v>
      </c>
      <c r="B68" s="239" t="s">
        <v>835</v>
      </c>
      <c r="C68" s="247" t="s">
        <v>833</v>
      </c>
      <c r="D68" s="46"/>
      <c r="E68" s="46"/>
      <c r="F68" s="46"/>
      <c r="G68" s="64"/>
      <c r="H68" s="141"/>
      <c r="I68" s="202" t="s">
        <v>18</v>
      </c>
      <c r="J68" s="192">
        <v>1</v>
      </c>
      <c r="K68" s="11" t="s">
        <v>730</v>
      </c>
      <c r="L68" s="141" t="s">
        <v>17</v>
      </c>
      <c r="M68" s="11" t="str">
        <f>VLOOKUP(N68,'Mã NV'!$A$3:$B$196,2,0)</f>
        <v>HR01</v>
      </c>
      <c r="N68" s="288" t="s">
        <v>119</v>
      </c>
      <c r="O68" s="387">
        <v>44197</v>
      </c>
      <c r="P68" s="371"/>
      <c r="Q68" s="43"/>
      <c r="R68" s="35" t="s">
        <v>272</v>
      </c>
    </row>
    <row r="69" spans="1:18" ht="35.25" customHeight="1">
      <c r="A69" s="15">
        <f t="shared" si="0"/>
        <v>59</v>
      </c>
      <c r="B69" s="239" t="s">
        <v>836</v>
      </c>
      <c r="C69" s="247" t="s">
        <v>833</v>
      </c>
      <c r="D69" s="46"/>
      <c r="E69" s="46"/>
      <c r="F69" s="46"/>
      <c r="G69" s="64"/>
      <c r="H69" s="141"/>
      <c r="I69" s="202" t="s">
        <v>18</v>
      </c>
      <c r="J69" s="192">
        <v>1</v>
      </c>
      <c r="K69" s="11" t="s">
        <v>730</v>
      </c>
      <c r="L69" s="141" t="s">
        <v>17</v>
      </c>
      <c r="M69" s="11" t="str">
        <f>VLOOKUP(N69,'Mã NV'!$A$3:$B$196,2,0)</f>
        <v>HR01</v>
      </c>
      <c r="N69" s="288" t="s">
        <v>119</v>
      </c>
      <c r="O69" s="387">
        <v>44197</v>
      </c>
      <c r="P69" s="371"/>
      <c r="Q69" s="43"/>
      <c r="R69" s="35" t="s">
        <v>272</v>
      </c>
    </row>
    <row r="70" spans="1:18" ht="35.25" customHeight="1">
      <c r="A70" s="15">
        <f t="shared" si="0"/>
        <v>60</v>
      </c>
      <c r="B70" s="239" t="s">
        <v>837</v>
      </c>
      <c r="C70" s="247" t="s">
        <v>838</v>
      </c>
      <c r="D70" s="46"/>
      <c r="E70" s="46"/>
      <c r="F70" s="46"/>
      <c r="G70" s="64"/>
      <c r="H70" s="141"/>
      <c r="I70" s="202" t="s">
        <v>18</v>
      </c>
      <c r="J70" s="192">
        <v>1</v>
      </c>
      <c r="K70" s="11" t="s">
        <v>730</v>
      </c>
      <c r="L70" s="141" t="s">
        <v>17</v>
      </c>
      <c r="M70" s="11" t="str">
        <f>VLOOKUP(N70,'Mã NV'!$A$3:$B$196,2,0)</f>
        <v>HR01</v>
      </c>
      <c r="N70" s="288" t="s">
        <v>119</v>
      </c>
      <c r="O70" s="387">
        <v>44197</v>
      </c>
      <c r="P70" s="371"/>
      <c r="Q70" s="43"/>
      <c r="R70" s="35" t="s">
        <v>272</v>
      </c>
    </row>
    <row r="71" spans="1:18" ht="35.25" customHeight="1">
      <c r="A71" s="15">
        <f t="shared" si="0"/>
        <v>61</v>
      </c>
      <c r="B71" s="239" t="s">
        <v>839</v>
      </c>
      <c r="C71" s="247" t="s">
        <v>840</v>
      </c>
      <c r="D71" s="46"/>
      <c r="E71" s="46"/>
      <c r="F71" s="46"/>
      <c r="G71" s="64"/>
      <c r="H71" s="141"/>
      <c r="I71" s="202" t="s">
        <v>18</v>
      </c>
      <c r="J71" s="192">
        <v>1</v>
      </c>
      <c r="K71" s="11" t="s">
        <v>730</v>
      </c>
      <c r="L71" s="141" t="s">
        <v>17</v>
      </c>
      <c r="M71" s="11" t="str">
        <f>VLOOKUP(N71,'Mã NV'!$A$3:$B$196,2,0)</f>
        <v>HR01</v>
      </c>
      <c r="N71" s="288" t="s">
        <v>119</v>
      </c>
      <c r="O71" s="387">
        <v>44197</v>
      </c>
      <c r="P71" s="371"/>
      <c r="Q71" s="43"/>
      <c r="R71" s="35" t="s">
        <v>272</v>
      </c>
    </row>
    <row r="72" spans="1:18" ht="35.25" customHeight="1">
      <c r="A72" s="15">
        <f t="shared" si="0"/>
        <v>62</v>
      </c>
      <c r="B72" s="239" t="s">
        <v>841</v>
      </c>
      <c r="C72" s="247" t="s">
        <v>842</v>
      </c>
      <c r="D72" s="43"/>
      <c r="E72" s="43"/>
      <c r="F72" s="43"/>
      <c r="G72" s="64"/>
      <c r="H72" s="141"/>
      <c r="I72" s="202" t="s">
        <v>18</v>
      </c>
      <c r="J72" s="192">
        <v>1</v>
      </c>
      <c r="K72" s="11" t="s">
        <v>730</v>
      </c>
      <c r="L72" s="141" t="s">
        <v>17</v>
      </c>
      <c r="M72" s="11" t="str">
        <f>VLOOKUP(N72,'Mã NV'!$A$3:$B$196,2,0)</f>
        <v>HR01</v>
      </c>
      <c r="N72" s="288" t="s">
        <v>119</v>
      </c>
      <c r="O72" s="387">
        <v>44197</v>
      </c>
      <c r="P72" s="371"/>
      <c r="Q72" s="43"/>
      <c r="R72" s="35" t="s">
        <v>272</v>
      </c>
    </row>
    <row r="73" spans="1:18" ht="35.25" customHeight="1">
      <c r="A73" s="15">
        <f t="shared" si="0"/>
        <v>63</v>
      </c>
      <c r="B73" s="239" t="s">
        <v>843</v>
      </c>
      <c r="C73" s="247" t="s">
        <v>844</v>
      </c>
      <c r="D73" s="43"/>
      <c r="E73" s="43"/>
      <c r="F73" s="43"/>
      <c r="G73" s="64"/>
      <c r="H73" s="141"/>
      <c r="I73" s="202" t="s">
        <v>18</v>
      </c>
      <c r="J73" s="192">
        <v>1</v>
      </c>
      <c r="K73" s="11" t="s">
        <v>730</v>
      </c>
      <c r="L73" s="141" t="s">
        <v>17</v>
      </c>
      <c r="M73" s="11" t="str">
        <f>VLOOKUP(N73,'Mã NV'!$A$3:$B$196,2,0)</f>
        <v>HR01</v>
      </c>
      <c r="N73" s="288" t="s">
        <v>119</v>
      </c>
      <c r="O73" s="387">
        <v>44197</v>
      </c>
      <c r="P73" s="371"/>
      <c r="Q73" s="43"/>
      <c r="R73" s="35" t="s">
        <v>272</v>
      </c>
    </row>
    <row r="74" spans="1:18" ht="35.25" customHeight="1">
      <c r="A74" s="15">
        <f t="shared" si="0"/>
        <v>64</v>
      </c>
      <c r="B74" s="239" t="s">
        <v>845</v>
      </c>
      <c r="C74" s="247" t="s">
        <v>844</v>
      </c>
      <c r="D74" s="43"/>
      <c r="E74" s="43"/>
      <c r="F74" s="43"/>
      <c r="G74" s="64"/>
      <c r="H74" s="141"/>
      <c r="I74" s="202" t="s">
        <v>18</v>
      </c>
      <c r="J74" s="192">
        <v>1</v>
      </c>
      <c r="K74" s="11" t="s">
        <v>730</v>
      </c>
      <c r="L74" s="141" t="s">
        <v>17</v>
      </c>
      <c r="M74" s="11" t="str">
        <f>VLOOKUP(N74,'Mã NV'!$A$3:$B$196,2,0)</f>
        <v>HR01</v>
      </c>
      <c r="N74" s="288" t="s">
        <v>119</v>
      </c>
      <c r="O74" s="387">
        <v>44197</v>
      </c>
      <c r="P74" s="371"/>
      <c r="Q74" s="43"/>
      <c r="R74" s="35" t="s">
        <v>272</v>
      </c>
    </row>
    <row r="75" spans="1:18" ht="35.25" customHeight="1">
      <c r="A75" s="15">
        <f t="shared" si="0"/>
        <v>65</v>
      </c>
      <c r="B75" s="239" t="s">
        <v>846</v>
      </c>
      <c r="C75" s="247" t="s">
        <v>847</v>
      </c>
      <c r="D75" s="43"/>
      <c r="E75" s="43"/>
      <c r="F75" s="43"/>
      <c r="G75" s="64"/>
      <c r="H75" s="141"/>
      <c r="I75" s="202" t="s">
        <v>18</v>
      </c>
      <c r="J75" s="192">
        <v>1</v>
      </c>
      <c r="K75" s="11" t="s">
        <v>730</v>
      </c>
      <c r="L75" s="141" t="s">
        <v>17</v>
      </c>
      <c r="M75" s="11" t="str">
        <f>VLOOKUP(N75,'Mã NV'!$A$3:$B$196,2,0)</f>
        <v>HR01</v>
      </c>
      <c r="N75" s="288" t="s">
        <v>119</v>
      </c>
      <c r="O75" s="387">
        <v>44197</v>
      </c>
      <c r="P75" s="371"/>
      <c r="Q75" s="43"/>
      <c r="R75" s="35" t="s">
        <v>272</v>
      </c>
    </row>
    <row r="76" spans="1:18" ht="35.25" hidden="1" customHeight="1">
      <c r="A76" s="15">
        <f t="shared" si="0"/>
        <v>66</v>
      </c>
      <c r="B76" s="239" t="s">
        <v>848</v>
      </c>
      <c r="C76" s="247" t="s">
        <v>849</v>
      </c>
      <c r="D76" s="46"/>
      <c r="E76" s="46"/>
      <c r="F76" s="46"/>
      <c r="G76" s="64"/>
      <c r="H76" s="141"/>
      <c r="I76" s="202" t="s">
        <v>18</v>
      </c>
      <c r="J76" s="192">
        <v>1</v>
      </c>
      <c r="K76" s="11" t="s">
        <v>730</v>
      </c>
      <c r="L76" s="141" t="s">
        <v>17</v>
      </c>
      <c r="M76" s="11" t="str">
        <f>VLOOKUP(N76,'Mã NV'!$A$3:$B$196,2,0)</f>
        <v>NV0013</v>
      </c>
      <c r="N76" s="288" t="s">
        <v>2523</v>
      </c>
      <c r="O76" s="387">
        <v>44197</v>
      </c>
      <c r="P76" s="371"/>
      <c r="Q76" s="43"/>
      <c r="R76" s="35" t="s">
        <v>2638</v>
      </c>
    </row>
    <row r="77" spans="1:18" ht="35.25" hidden="1" customHeight="1">
      <c r="A77" s="15">
        <f t="shared" ref="A77:A140" si="1">A76+1</f>
        <v>67</v>
      </c>
      <c r="B77" s="239" t="s">
        <v>850</v>
      </c>
      <c r="C77" s="247" t="s">
        <v>851</v>
      </c>
      <c r="D77" s="46"/>
      <c r="E77" s="46"/>
      <c r="F77" s="46"/>
      <c r="G77" s="64"/>
      <c r="H77" s="141"/>
      <c r="I77" s="202" t="s">
        <v>18</v>
      </c>
      <c r="J77" s="192">
        <v>1</v>
      </c>
      <c r="K77" s="11" t="s">
        <v>730</v>
      </c>
      <c r="L77" s="141" t="s">
        <v>17</v>
      </c>
      <c r="M77" s="11" t="str">
        <f>VLOOKUP(N77,'Mã NV'!$A$3:$B$196,2,0)</f>
        <v>NV0013</v>
      </c>
      <c r="N77" s="288" t="s">
        <v>2523</v>
      </c>
      <c r="O77" s="387">
        <v>44197</v>
      </c>
      <c r="P77" s="371"/>
      <c r="Q77" s="43"/>
      <c r="R77" s="35" t="s">
        <v>2638</v>
      </c>
    </row>
    <row r="78" spans="1:18" ht="35.25" hidden="1" customHeight="1">
      <c r="A78" s="15">
        <f t="shared" si="1"/>
        <v>68</v>
      </c>
      <c r="B78" s="239" t="s">
        <v>852</v>
      </c>
      <c r="C78" s="247" t="s">
        <v>853</v>
      </c>
      <c r="D78" s="46"/>
      <c r="E78" s="46"/>
      <c r="F78" s="46"/>
      <c r="G78" s="64"/>
      <c r="H78" s="141"/>
      <c r="I78" s="202" t="s">
        <v>18</v>
      </c>
      <c r="J78" s="192">
        <v>1</v>
      </c>
      <c r="K78" s="11" t="s">
        <v>730</v>
      </c>
      <c r="L78" s="141" t="s">
        <v>17</v>
      </c>
      <c r="M78" s="11" t="str">
        <f>VLOOKUP(N78,'Mã NV'!$A$3:$B$196,2,0)</f>
        <v>NV0013</v>
      </c>
      <c r="N78" s="288" t="s">
        <v>2523</v>
      </c>
      <c r="O78" s="387">
        <v>44197</v>
      </c>
      <c r="P78" s="371"/>
      <c r="Q78" s="43"/>
      <c r="R78" s="35" t="s">
        <v>2638</v>
      </c>
    </row>
    <row r="79" spans="1:18" ht="35.25" hidden="1" customHeight="1">
      <c r="A79" s="15">
        <f t="shared" si="1"/>
        <v>69</v>
      </c>
      <c r="B79" s="239" t="s">
        <v>854</v>
      </c>
      <c r="C79" s="247" t="s">
        <v>853</v>
      </c>
      <c r="D79" s="46"/>
      <c r="E79" s="46"/>
      <c r="F79" s="46"/>
      <c r="G79" s="64"/>
      <c r="H79" s="141"/>
      <c r="I79" s="202" t="s">
        <v>18</v>
      </c>
      <c r="J79" s="192">
        <v>1</v>
      </c>
      <c r="K79" s="11" t="s">
        <v>730</v>
      </c>
      <c r="L79" s="141" t="s">
        <v>17</v>
      </c>
      <c r="M79" s="11" t="str">
        <f>VLOOKUP(N79,'Mã NV'!$A$3:$B$196,2,0)</f>
        <v>NV0013</v>
      </c>
      <c r="N79" s="288" t="s">
        <v>2523</v>
      </c>
      <c r="O79" s="387">
        <v>44197</v>
      </c>
      <c r="P79" s="371"/>
      <c r="Q79" s="43"/>
      <c r="R79" s="35" t="s">
        <v>2638</v>
      </c>
    </row>
    <row r="80" spans="1:18" ht="35.25" customHeight="1">
      <c r="A80" s="15">
        <f t="shared" si="1"/>
        <v>70</v>
      </c>
      <c r="B80" s="141" t="s">
        <v>374</v>
      </c>
      <c r="C80" s="146" t="s">
        <v>373</v>
      </c>
      <c r="D80" s="43"/>
      <c r="E80" s="43"/>
      <c r="F80" s="43"/>
      <c r="G80" s="141" t="s">
        <v>365</v>
      </c>
      <c r="H80" s="141"/>
      <c r="I80" s="13" t="s">
        <v>18</v>
      </c>
      <c r="J80" s="13">
        <v>1</v>
      </c>
      <c r="K80" s="11" t="s">
        <v>730</v>
      </c>
      <c r="L80" s="141" t="s">
        <v>17</v>
      </c>
      <c r="M80" s="11" t="str">
        <f>VLOOKUP(N80,'Mã NV'!$A$3:$B$196,2,0)</f>
        <v>HR01</v>
      </c>
      <c r="N80" s="288" t="s">
        <v>119</v>
      </c>
      <c r="O80" s="380">
        <f>VLOOKUP(B80,'Tổng hợp (3)'!$C$4:$E$985,3,0)</f>
        <v>44383</v>
      </c>
      <c r="P80" s="378"/>
      <c r="Q80" s="43"/>
      <c r="R80" s="35" t="s">
        <v>272</v>
      </c>
    </row>
    <row r="81" spans="1:18" ht="35.25" hidden="1" customHeight="1">
      <c r="A81" s="15">
        <f t="shared" si="1"/>
        <v>71</v>
      </c>
      <c r="B81" s="141" t="s">
        <v>372</v>
      </c>
      <c r="C81" s="146" t="s">
        <v>371</v>
      </c>
      <c r="D81" s="19"/>
      <c r="E81" s="19"/>
      <c r="F81" s="19"/>
      <c r="G81" s="146" t="s">
        <v>368</v>
      </c>
      <c r="H81" s="141"/>
      <c r="I81" s="13" t="s">
        <v>18</v>
      </c>
      <c r="J81" s="13">
        <v>1</v>
      </c>
      <c r="K81" s="11" t="s">
        <v>730</v>
      </c>
      <c r="L81" s="141" t="s">
        <v>17</v>
      </c>
      <c r="M81" s="11" t="str">
        <f>VLOOKUP(N81,'Mã NV'!$A$3:$B$196,2,0)</f>
        <v>NV0013</v>
      </c>
      <c r="N81" s="288" t="s">
        <v>2523</v>
      </c>
      <c r="O81" s="387">
        <v>44197</v>
      </c>
      <c r="P81" s="371"/>
      <c r="Q81" s="43"/>
      <c r="R81" s="35" t="s">
        <v>80</v>
      </c>
    </row>
    <row r="82" spans="1:18" ht="35.25" hidden="1" customHeight="1">
      <c r="A82" s="15">
        <f t="shared" si="1"/>
        <v>72</v>
      </c>
      <c r="B82" s="141" t="s">
        <v>370</v>
      </c>
      <c r="C82" s="146" t="s">
        <v>369</v>
      </c>
      <c r="D82" s="19"/>
      <c r="E82" s="19"/>
      <c r="F82" s="19"/>
      <c r="G82" s="146" t="s">
        <v>368</v>
      </c>
      <c r="H82" s="141"/>
      <c r="I82" s="13" t="s">
        <v>18</v>
      </c>
      <c r="J82" s="13">
        <v>1</v>
      </c>
      <c r="K82" s="11" t="s">
        <v>730</v>
      </c>
      <c r="L82" s="141" t="s">
        <v>17</v>
      </c>
      <c r="M82" s="11" t="str">
        <f>VLOOKUP(N82,'Mã NV'!$A$3:$B$196,2,0)</f>
        <v>NV0013</v>
      </c>
      <c r="N82" s="288" t="s">
        <v>2523</v>
      </c>
      <c r="O82" s="380">
        <f>VLOOKUP(B82,'Tổng hợp (3)'!$C$4:$E$985,3,0)</f>
        <v>44905</v>
      </c>
      <c r="P82" s="378"/>
      <c r="Q82" s="43"/>
      <c r="R82" s="35" t="s">
        <v>88</v>
      </c>
    </row>
    <row r="83" spans="1:18" ht="35.25" customHeight="1">
      <c r="A83" s="15">
        <f t="shared" si="1"/>
        <v>73</v>
      </c>
      <c r="B83" s="141" t="s">
        <v>367</v>
      </c>
      <c r="C83" s="146" t="s">
        <v>366</v>
      </c>
      <c r="D83" s="19"/>
      <c r="E83" s="19"/>
      <c r="F83" s="19"/>
      <c r="G83" s="141" t="s">
        <v>365</v>
      </c>
      <c r="H83" s="141"/>
      <c r="I83" s="13" t="s">
        <v>18</v>
      </c>
      <c r="J83" s="13">
        <v>1</v>
      </c>
      <c r="K83" s="11" t="s">
        <v>730</v>
      </c>
      <c r="L83" s="141" t="s">
        <v>17</v>
      </c>
      <c r="M83" s="11" t="str">
        <f>VLOOKUP(N83,'Mã NV'!$A$3:$B$196,2,0)</f>
        <v>HR01</v>
      </c>
      <c r="N83" s="288" t="s">
        <v>119</v>
      </c>
      <c r="O83" s="380">
        <f>VLOOKUP(B83,'Tổng hợp (3)'!$C$4:$E$985,3,0)</f>
        <v>44384</v>
      </c>
      <c r="P83" s="378"/>
      <c r="Q83" s="43"/>
      <c r="R83" s="35" t="s">
        <v>272</v>
      </c>
    </row>
    <row r="84" spans="1:18" ht="35.25" customHeight="1">
      <c r="A84" s="15">
        <f t="shared" si="1"/>
        <v>74</v>
      </c>
      <c r="B84" s="141" t="s">
        <v>364</v>
      </c>
      <c r="C84" s="146" t="s">
        <v>363</v>
      </c>
      <c r="D84" s="46"/>
      <c r="E84" s="46"/>
      <c r="F84" s="46"/>
      <c r="G84" s="141" t="s">
        <v>363</v>
      </c>
      <c r="H84" s="141"/>
      <c r="I84" s="13" t="s">
        <v>18</v>
      </c>
      <c r="J84" s="13">
        <v>1</v>
      </c>
      <c r="K84" s="11" t="s">
        <v>730</v>
      </c>
      <c r="L84" s="141" t="s">
        <v>17</v>
      </c>
      <c r="M84" s="11" t="str">
        <f>VLOOKUP(N84,'Mã NV'!$A$3:$B$196,2,0)</f>
        <v>HR01</v>
      </c>
      <c r="N84" s="288" t="s">
        <v>119</v>
      </c>
      <c r="O84" s="380">
        <f>VLOOKUP(B84,'Tổng hợp (3)'!$C$4:$E$985,3,0)</f>
        <v>44427</v>
      </c>
      <c r="P84" s="378"/>
      <c r="Q84" s="43"/>
      <c r="R84" s="35" t="s">
        <v>272</v>
      </c>
    </row>
    <row r="85" spans="1:18" ht="35.25" customHeight="1">
      <c r="A85" s="15">
        <f t="shared" si="1"/>
        <v>75</v>
      </c>
      <c r="B85" s="43" t="s">
        <v>362</v>
      </c>
      <c r="C85" s="66" t="s">
        <v>361</v>
      </c>
      <c r="D85" s="46"/>
      <c r="E85" s="46"/>
      <c r="F85" s="46"/>
      <c r="G85" s="43" t="s">
        <v>361</v>
      </c>
      <c r="H85" s="141"/>
      <c r="I85" s="13" t="s">
        <v>18</v>
      </c>
      <c r="J85" s="13">
        <v>1</v>
      </c>
      <c r="K85" s="11" t="s">
        <v>730</v>
      </c>
      <c r="L85" s="43" t="s">
        <v>17</v>
      </c>
      <c r="M85" s="11" t="str">
        <f>VLOOKUP(N85,'Mã NV'!$A$3:$B$196,2,0)</f>
        <v>HR01</v>
      </c>
      <c r="N85" s="288" t="s">
        <v>119</v>
      </c>
      <c r="O85" s="380">
        <f>VLOOKUP(B85,'Tổng hợp (3)'!$C$4:$E$985,3,0)</f>
        <v>44427</v>
      </c>
      <c r="P85" s="378"/>
      <c r="Q85" s="43"/>
      <c r="R85" s="35" t="s">
        <v>272</v>
      </c>
    </row>
    <row r="86" spans="1:18" ht="35.25" customHeight="1">
      <c r="A86" s="15">
        <f t="shared" si="1"/>
        <v>76</v>
      </c>
      <c r="B86" s="43" t="s">
        <v>360</v>
      </c>
      <c r="C86" s="66" t="s">
        <v>359</v>
      </c>
      <c r="D86" s="46"/>
      <c r="E86" s="46"/>
      <c r="F86" s="46"/>
      <c r="G86" s="43" t="s">
        <v>359</v>
      </c>
      <c r="H86" s="141"/>
      <c r="I86" s="13" t="s">
        <v>18</v>
      </c>
      <c r="J86" s="13">
        <v>1</v>
      </c>
      <c r="K86" s="11" t="s">
        <v>730</v>
      </c>
      <c r="L86" s="43" t="s">
        <v>17</v>
      </c>
      <c r="M86" s="11" t="str">
        <f>VLOOKUP(N86,'Mã NV'!$A$3:$B$196,2,0)</f>
        <v>HR01</v>
      </c>
      <c r="N86" s="288" t="s">
        <v>119</v>
      </c>
      <c r="O86" s="380">
        <f>VLOOKUP(B86,'Tổng hợp (3)'!$C$4:$E$985,3,0)</f>
        <v>44427</v>
      </c>
      <c r="P86" s="378"/>
      <c r="Q86" s="43"/>
      <c r="R86" s="35" t="s">
        <v>272</v>
      </c>
    </row>
    <row r="87" spans="1:18" ht="35.25" customHeight="1">
      <c r="A87" s="15">
        <f t="shared" si="1"/>
        <v>77</v>
      </c>
      <c r="B87" s="43" t="s">
        <v>358</v>
      </c>
      <c r="C87" s="66" t="s">
        <v>357</v>
      </c>
      <c r="D87" s="46"/>
      <c r="E87" s="46"/>
      <c r="F87" s="46"/>
      <c r="G87" s="43" t="s">
        <v>357</v>
      </c>
      <c r="H87" s="141"/>
      <c r="I87" s="13" t="s">
        <v>18</v>
      </c>
      <c r="J87" s="13">
        <v>1</v>
      </c>
      <c r="K87" s="11" t="s">
        <v>730</v>
      </c>
      <c r="L87" s="43" t="s">
        <v>17</v>
      </c>
      <c r="M87" s="11" t="str">
        <f>VLOOKUP(N87,'Mã NV'!$A$3:$B$196,2,0)</f>
        <v>HR01</v>
      </c>
      <c r="N87" s="288" t="s">
        <v>119</v>
      </c>
      <c r="O87" s="380">
        <f>VLOOKUP(B87,'Tổng hợp (3)'!$C$4:$E$985,3,0)</f>
        <v>44427</v>
      </c>
      <c r="P87" s="378"/>
      <c r="Q87" s="43"/>
      <c r="R87" s="35" t="s">
        <v>272</v>
      </c>
    </row>
    <row r="88" spans="1:18" ht="35.25" customHeight="1">
      <c r="A88" s="15">
        <f t="shared" si="1"/>
        <v>78</v>
      </c>
      <c r="B88" s="43" t="s">
        <v>356</v>
      </c>
      <c r="C88" s="66" t="s">
        <v>355</v>
      </c>
      <c r="D88" s="46"/>
      <c r="E88" s="46"/>
      <c r="F88" s="46"/>
      <c r="G88" s="43" t="s">
        <v>355</v>
      </c>
      <c r="H88" s="141"/>
      <c r="I88" s="13" t="s">
        <v>18</v>
      </c>
      <c r="J88" s="13">
        <v>1</v>
      </c>
      <c r="K88" s="11" t="s">
        <v>730</v>
      </c>
      <c r="L88" s="43" t="s">
        <v>17</v>
      </c>
      <c r="M88" s="11" t="str">
        <f>VLOOKUP(N88,'Mã NV'!$A$3:$B$196,2,0)</f>
        <v>HR01</v>
      </c>
      <c r="N88" s="288" t="s">
        <v>119</v>
      </c>
      <c r="O88" s="380">
        <f>VLOOKUP(B88,'Tổng hợp (3)'!$C$4:$E$985,3,0)</f>
        <v>44427</v>
      </c>
      <c r="P88" s="378"/>
      <c r="Q88" s="43"/>
      <c r="R88" s="35" t="s">
        <v>272</v>
      </c>
    </row>
    <row r="89" spans="1:18" ht="35.25" customHeight="1">
      <c r="A89" s="15">
        <f t="shared" si="1"/>
        <v>79</v>
      </c>
      <c r="B89" s="141" t="s">
        <v>350</v>
      </c>
      <c r="C89" s="146" t="s">
        <v>349</v>
      </c>
      <c r="D89" s="46"/>
      <c r="E89" s="46"/>
      <c r="F89" s="46"/>
      <c r="G89" s="141" t="s">
        <v>349</v>
      </c>
      <c r="H89" s="141"/>
      <c r="I89" s="13" t="s">
        <v>18</v>
      </c>
      <c r="J89" s="13">
        <v>1</v>
      </c>
      <c r="K89" s="11" t="s">
        <v>730</v>
      </c>
      <c r="L89" s="141" t="s">
        <v>17</v>
      </c>
      <c r="M89" s="11" t="str">
        <f>VLOOKUP(N89,'Mã NV'!$A$3:$B$196,2,0)</f>
        <v>HR01</v>
      </c>
      <c r="N89" s="288" t="s">
        <v>119</v>
      </c>
      <c r="O89" s="380">
        <f>VLOOKUP(B89,'Tổng hợp (3)'!$C$4:$E$985,3,0)</f>
        <v>44547</v>
      </c>
      <c r="P89" s="378"/>
      <c r="Q89" s="43"/>
      <c r="R89" s="35" t="s">
        <v>272</v>
      </c>
    </row>
    <row r="90" spans="1:18" ht="35.25" customHeight="1">
      <c r="A90" s="15">
        <f t="shared" si="1"/>
        <v>80</v>
      </c>
      <c r="B90" s="141" t="s">
        <v>347</v>
      </c>
      <c r="C90" s="146" t="s">
        <v>346</v>
      </c>
      <c r="D90" s="46"/>
      <c r="E90" s="46"/>
      <c r="F90" s="46"/>
      <c r="G90" s="141" t="s">
        <v>346</v>
      </c>
      <c r="H90" s="141"/>
      <c r="I90" s="13" t="s">
        <v>18</v>
      </c>
      <c r="J90" s="13">
        <v>1</v>
      </c>
      <c r="K90" s="11" t="s">
        <v>730</v>
      </c>
      <c r="L90" s="141" t="s">
        <v>17</v>
      </c>
      <c r="M90" s="11" t="str">
        <f>VLOOKUP(N90,'Mã NV'!$A$3:$B$196,2,0)</f>
        <v>HR01</v>
      </c>
      <c r="N90" s="288" t="s">
        <v>119</v>
      </c>
      <c r="O90" s="387">
        <v>44197</v>
      </c>
      <c r="P90" s="371"/>
      <c r="Q90" s="43"/>
      <c r="R90" s="35" t="s">
        <v>272</v>
      </c>
    </row>
    <row r="91" spans="1:18" ht="35.25" customHeight="1">
      <c r="A91" s="15">
        <f t="shared" si="1"/>
        <v>81</v>
      </c>
      <c r="B91" s="141" t="s">
        <v>345</v>
      </c>
      <c r="C91" s="146" t="s">
        <v>344</v>
      </c>
      <c r="D91" s="46"/>
      <c r="E91" s="46"/>
      <c r="F91" s="46"/>
      <c r="G91" s="141" t="s">
        <v>344</v>
      </c>
      <c r="H91" s="141"/>
      <c r="I91" s="13" t="s">
        <v>18</v>
      </c>
      <c r="J91" s="13">
        <v>1</v>
      </c>
      <c r="K91" s="11" t="s">
        <v>730</v>
      </c>
      <c r="L91" s="141" t="s">
        <v>17</v>
      </c>
      <c r="M91" s="11" t="str">
        <f>VLOOKUP(N91,'Mã NV'!$A$3:$B$196,2,0)</f>
        <v>HR01</v>
      </c>
      <c r="N91" s="288" t="s">
        <v>119</v>
      </c>
      <c r="O91" s="380">
        <f>VLOOKUP(B91,'Tổng hợp (3)'!$C$4:$E$985,3,0)</f>
        <v>44550</v>
      </c>
      <c r="P91" s="378"/>
      <c r="Q91" s="43"/>
      <c r="R91" s="35" t="s">
        <v>272</v>
      </c>
    </row>
    <row r="92" spans="1:18" ht="35.25" customHeight="1">
      <c r="A92" s="15">
        <f t="shared" si="1"/>
        <v>82</v>
      </c>
      <c r="B92" s="141" t="s">
        <v>343</v>
      </c>
      <c r="C92" s="146" t="s">
        <v>340</v>
      </c>
      <c r="D92" s="46"/>
      <c r="E92" s="46"/>
      <c r="F92" s="46"/>
      <c r="G92" s="141" t="s">
        <v>340</v>
      </c>
      <c r="H92" s="141"/>
      <c r="I92" s="13" t="s">
        <v>18</v>
      </c>
      <c r="J92" s="13">
        <v>1</v>
      </c>
      <c r="K92" s="11" t="s">
        <v>730</v>
      </c>
      <c r="L92" s="141" t="s">
        <v>17</v>
      </c>
      <c r="M92" s="11" t="str">
        <f>VLOOKUP(N92,'Mã NV'!$A$3:$B$196,2,0)</f>
        <v>HR01</v>
      </c>
      <c r="N92" s="288" t="s">
        <v>119</v>
      </c>
      <c r="O92" s="380">
        <f>VLOOKUP(B92,'Tổng hợp (3)'!$C$4:$E$985,3,0)</f>
        <v>44552</v>
      </c>
      <c r="P92" s="378"/>
      <c r="Q92" s="43"/>
      <c r="R92" s="44" t="s">
        <v>339</v>
      </c>
    </row>
    <row r="93" spans="1:18" ht="35.25" customHeight="1">
      <c r="A93" s="15">
        <f t="shared" si="1"/>
        <v>83</v>
      </c>
      <c r="B93" s="141" t="s">
        <v>342</v>
      </c>
      <c r="C93" s="146" t="s">
        <v>340</v>
      </c>
      <c r="D93" s="46"/>
      <c r="E93" s="46"/>
      <c r="F93" s="46"/>
      <c r="G93" s="141" t="s">
        <v>340</v>
      </c>
      <c r="H93" s="141"/>
      <c r="I93" s="13" t="s">
        <v>18</v>
      </c>
      <c r="J93" s="13">
        <v>1</v>
      </c>
      <c r="K93" s="11" t="s">
        <v>730</v>
      </c>
      <c r="L93" s="141" t="s">
        <v>17</v>
      </c>
      <c r="M93" s="11" t="str">
        <f>VLOOKUP(N93,'Mã NV'!$A$3:$B$196,2,0)</f>
        <v>HR01</v>
      </c>
      <c r="N93" s="288" t="s">
        <v>119</v>
      </c>
      <c r="O93" s="380">
        <f>VLOOKUP(B93,'Tổng hợp (3)'!$C$4:$E$985,3,0)</f>
        <v>44552</v>
      </c>
      <c r="P93" s="378"/>
      <c r="Q93" s="43"/>
      <c r="R93" s="44" t="s">
        <v>339</v>
      </c>
    </row>
    <row r="94" spans="1:18" ht="35.25" customHeight="1">
      <c r="A94" s="15">
        <f t="shared" si="1"/>
        <v>84</v>
      </c>
      <c r="B94" s="141" t="s">
        <v>341</v>
      </c>
      <c r="C94" s="146" t="s">
        <v>340</v>
      </c>
      <c r="D94" s="46"/>
      <c r="E94" s="46"/>
      <c r="F94" s="46"/>
      <c r="G94" s="141" t="s">
        <v>340</v>
      </c>
      <c r="H94" s="141"/>
      <c r="I94" s="13" t="s">
        <v>18</v>
      </c>
      <c r="J94" s="13">
        <v>1</v>
      </c>
      <c r="K94" s="11" t="s">
        <v>730</v>
      </c>
      <c r="L94" s="141" t="s">
        <v>17</v>
      </c>
      <c r="M94" s="11" t="str">
        <f>VLOOKUP(N94,'Mã NV'!$A$3:$B$196,2,0)</f>
        <v>HR01</v>
      </c>
      <c r="N94" s="288" t="s">
        <v>119</v>
      </c>
      <c r="O94" s="380">
        <f>VLOOKUP(B94,'Tổng hợp (3)'!$C$4:$E$985,3,0)</f>
        <v>44552</v>
      </c>
      <c r="P94" s="378"/>
      <c r="Q94" s="43"/>
      <c r="R94" s="44" t="s">
        <v>339</v>
      </c>
    </row>
    <row r="95" spans="1:18" ht="35.25" customHeight="1">
      <c r="A95" s="15">
        <f t="shared" si="1"/>
        <v>85</v>
      </c>
      <c r="B95" s="141" t="s">
        <v>338</v>
      </c>
      <c r="C95" s="146" t="s">
        <v>337</v>
      </c>
      <c r="D95" s="46"/>
      <c r="E95" s="46"/>
      <c r="F95" s="46"/>
      <c r="G95" s="141" t="s">
        <v>337</v>
      </c>
      <c r="H95" s="141"/>
      <c r="I95" s="13" t="s">
        <v>18</v>
      </c>
      <c r="J95" s="13">
        <v>1</v>
      </c>
      <c r="K95" s="11" t="s">
        <v>730</v>
      </c>
      <c r="L95" s="141" t="s">
        <v>17</v>
      </c>
      <c r="M95" s="11" t="str">
        <f>VLOOKUP(N95,'Mã NV'!$A$3:$B$196,2,0)</f>
        <v>HR01</v>
      </c>
      <c r="N95" s="288" t="s">
        <v>119</v>
      </c>
      <c r="O95" s="380">
        <f>VLOOKUP(B95,'Tổng hợp (3)'!$C$4:$E$985,3,0)</f>
        <v>44559</v>
      </c>
      <c r="P95" s="378"/>
      <c r="Q95" s="43"/>
      <c r="R95" s="44" t="s">
        <v>272</v>
      </c>
    </row>
    <row r="96" spans="1:18" ht="35.25" customHeight="1">
      <c r="A96" s="15">
        <f t="shared" si="1"/>
        <v>86</v>
      </c>
      <c r="B96" s="141" t="s">
        <v>336</v>
      </c>
      <c r="C96" s="146" t="s">
        <v>335</v>
      </c>
      <c r="D96" s="19"/>
      <c r="E96" s="19"/>
      <c r="F96" s="19"/>
      <c r="G96" s="141" t="s">
        <v>335</v>
      </c>
      <c r="H96" s="141"/>
      <c r="I96" s="13" t="s">
        <v>18</v>
      </c>
      <c r="J96" s="13">
        <v>1</v>
      </c>
      <c r="K96" s="11" t="s">
        <v>730</v>
      </c>
      <c r="L96" s="141" t="s">
        <v>17</v>
      </c>
      <c r="M96" s="11" t="str">
        <f>VLOOKUP(N96,'Mã NV'!$A$3:$B$196,2,0)</f>
        <v>HR01</v>
      </c>
      <c r="N96" s="288" t="s">
        <v>119</v>
      </c>
      <c r="O96" s="387">
        <v>44197</v>
      </c>
      <c r="P96" s="371"/>
      <c r="Q96" s="43"/>
      <c r="R96" s="44" t="s">
        <v>272</v>
      </c>
    </row>
    <row r="97" spans="1:18" ht="35.25" customHeight="1">
      <c r="A97" s="15">
        <f t="shared" si="1"/>
        <v>87</v>
      </c>
      <c r="B97" s="141" t="s">
        <v>334</v>
      </c>
      <c r="C97" s="146" t="s">
        <v>333</v>
      </c>
      <c r="D97" s="169"/>
      <c r="E97" s="169"/>
      <c r="F97" s="169"/>
      <c r="G97" s="141" t="s">
        <v>333</v>
      </c>
      <c r="H97" s="141"/>
      <c r="I97" s="13" t="s">
        <v>18</v>
      </c>
      <c r="J97" s="13">
        <v>1</v>
      </c>
      <c r="K97" s="11" t="s">
        <v>730</v>
      </c>
      <c r="L97" s="141" t="s">
        <v>17</v>
      </c>
      <c r="M97" s="11" t="str">
        <f>VLOOKUP(N97,'Mã NV'!$A$3:$B$196,2,0)</f>
        <v>HR01</v>
      </c>
      <c r="N97" s="288" t="s">
        <v>119</v>
      </c>
      <c r="O97" s="387">
        <v>44197</v>
      </c>
      <c r="P97" s="371"/>
      <c r="Q97" s="43"/>
      <c r="R97" s="44" t="s">
        <v>272</v>
      </c>
    </row>
    <row r="98" spans="1:18" ht="35.25" customHeight="1">
      <c r="A98" s="15">
        <f t="shared" si="1"/>
        <v>88</v>
      </c>
      <c r="B98" s="43" t="s">
        <v>332</v>
      </c>
      <c r="C98" s="66" t="s">
        <v>331</v>
      </c>
      <c r="D98" s="43"/>
      <c r="E98" s="43"/>
      <c r="F98" s="43"/>
      <c r="G98" s="43" t="s">
        <v>331</v>
      </c>
      <c r="H98" s="141"/>
      <c r="I98" s="13" t="s">
        <v>18</v>
      </c>
      <c r="J98" s="13">
        <v>1</v>
      </c>
      <c r="K98" s="11" t="s">
        <v>730</v>
      </c>
      <c r="L98" s="43" t="s">
        <v>17</v>
      </c>
      <c r="M98" s="11" t="str">
        <f>VLOOKUP(N98,'Mã NV'!$A$3:$B$196,2,0)</f>
        <v>HR01</v>
      </c>
      <c r="N98" s="288" t="s">
        <v>119</v>
      </c>
      <c r="O98" s="387">
        <v>44197</v>
      </c>
      <c r="P98" s="371"/>
      <c r="Q98" s="43"/>
      <c r="R98" s="44" t="s">
        <v>272</v>
      </c>
    </row>
    <row r="99" spans="1:18" ht="35.25" customHeight="1">
      <c r="A99" s="15">
        <f t="shared" si="1"/>
        <v>89</v>
      </c>
      <c r="B99" s="43" t="s">
        <v>330</v>
      </c>
      <c r="C99" s="66" t="s">
        <v>329</v>
      </c>
      <c r="D99" s="66"/>
      <c r="E99" s="66"/>
      <c r="F99" s="66"/>
      <c r="G99" s="43" t="s">
        <v>329</v>
      </c>
      <c r="H99" s="141"/>
      <c r="I99" s="13" t="s">
        <v>18</v>
      </c>
      <c r="J99" s="13">
        <v>1</v>
      </c>
      <c r="K99" s="11" t="s">
        <v>730</v>
      </c>
      <c r="L99" s="43" t="s">
        <v>17</v>
      </c>
      <c r="M99" s="11" t="str">
        <f>VLOOKUP(N99,'Mã NV'!$A$3:$B$196,2,0)</f>
        <v>HR01</v>
      </c>
      <c r="N99" s="288" t="s">
        <v>119</v>
      </c>
      <c r="O99" s="387">
        <v>44197</v>
      </c>
      <c r="P99" s="371"/>
      <c r="Q99" s="43"/>
      <c r="R99" s="44" t="s">
        <v>272</v>
      </c>
    </row>
    <row r="100" spans="1:18" ht="35.25" customHeight="1">
      <c r="A100" s="15">
        <f t="shared" si="1"/>
        <v>90</v>
      </c>
      <c r="B100" s="43" t="s">
        <v>328</v>
      </c>
      <c r="C100" s="66" t="s">
        <v>327</v>
      </c>
      <c r="D100" s="66"/>
      <c r="E100" s="66"/>
      <c r="F100" s="66"/>
      <c r="G100" s="43" t="s">
        <v>327</v>
      </c>
      <c r="H100" s="141"/>
      <c r="I100" s="13" t="s">
        <v>18</v>
      </c>
      <c r="J100" s="13">
        <v>1</v>
      </c>
      <c r="K100" s="11" t="s">
        <v>730</v>
      </c>
      <c r="L100" s="43" t="s">
        <v>17</v>
      </c>
      <c r="M100" s="11" t="str">
        <f>VLOOKUP(N100,'Mã NV'!$A$3:$B$196,2,0)</f>
        <v>HR01</v>
      </c>
      <c r="N100" s="288" t="s">
        <v>119</v>
      </c>
      <c r="O100" s="387">
        <v>44197</v>
      </c>
      <c r="P100" s="371"/>
      <c r="Q100" s="43"/>
      <c r="R100" s="44" t="s">
        <v>272</v>
      </c>
    </row>
    <row r="101" spans="1:18" ht="35.25" customHeight="1">
      <c r="A101" s="15">
        <f t="shared" si="1"/>
        <v>91</v>
      </c>
      <c r="B101" s="43" t="s">
        <v>326</v>
      </c>
      <c r="C101" s="66" t="s">
        <v>325</v>
      </c>
      <c r="D101" s="66"/>
      <c r="E101" s="66"/>
      <c r="F101" s="66"/>
      <c r="G101" s="43" t="s">
        <v>325</v>
      </c>
      <c r="H101" s="141"/>
      <c r="I101" s="13" t="s">
        <v>18</v>
      </c>
      <c r="J101" s="13">
        <v>1</v>
      </c>
      <c r="K101" s="11" t="s">
        <v>730</v>
      </c>
      <c r="L101" s="43" t="s">
        <v>17</v>
      </c>
      <c r="M101" s="11" t="str">
        <f>VLOOKUP(N101,'Mã NV'!$A$3:$B$196,2,0)</f>
        <v>HR01</v>
      </c>
      <c r="N101" s="288" t="s">
        <v>119</v>
      </c>
      <c r="O101" s="387">
        <v>44197</v>
      </c>
      <c r="P101" s="371"/>
      <c r="Q101" s="43"/>
      <c r="R101" s="44" t="s">
        <v>272</v>
      </c>
    </row>
    <row r="102" spans="1:18" ht="35.25" customHeight="1">
      <c r="A102" s="15">
        <f t="shared" si="1"/>
        <v>92</v>
      </c>
      <c r="B102" s="43" t="s">
        <v>324</v>
      </c>
      <c r="C102" s="66" t="s">
        <v>323</v>
      </c>
      <c r="D102" s="66"/>
      <c r="E102" s="66"/>
      <c r="F102" s="66"/>
      <c r="G102" s="43" t="s">
        <v>323</v>
      </c>
      <c r="H102" s="141"/>
      <c r="I102" s="13" t="s">
        <v>18</v>
      </c>
      <c r="J102" s="13">
        <v>1</v>
      </c>
      <c r="K102" s="11" t="s">
        <v>730</v>
      </c>
      <c r="L102" s="43" t="s">
        <v>17</v>
      </c>
      <c r="M102" s="11" t="str">
        <f>VLOOKUP(N102,'Mã NV'!$A$3:$B$196,2,0)</f>
        <v>HR01</v>
      </c>
      <c r="N102" s="288" t="s">
        <v>119</v>
      </c>
      <c r="O102" s="387">
        <v>44197</v>
      </c>
      <c r="P102" s="371"/>
      <c r="Q102" s="43"/>
      <c r="R102" s="44" t="s">
        <v>272</v>
      </c>
    </row>
    <row r="103" spans="1:18" ht="35.25" customHeight="1">
      <c r="A103" s="15">
        <f t="shared" si="1"/>
        <v>93</v>
      </c>
      <c r="B103" s="43" t="s">
        <v>322</v>
      </c>
      <c r="C103" s="66" t="s">
        <v>321</v>
      </c>
      <c r="D103" s="66"/>
      <c r="E103" s="66"/>
      <c r="F103" s="66"/>
      <c r="G103" s="43" t="s">
        <v>321</v>
      </c>
      <c r="H103" s="141"/>
      <c r="I103" s="13" t="s">
        <v>18</v>
      </c>
      <c r="J103" s="13">
        <v>1</v>
      </c>
      <c r="K103" s="11" t="s">
        <v>730</v>
      </c>
      <c r="L103" s="43" t="s">
        <v>17</v>
      </c>
      <c r="M103" s="11" t="str">
        <f>VLOOKUP(N103,'Mã NV'!$A$3:$B$196,2,0)</f>
        <v>HR01</v>
      </c>
      <c r="N103" s="288" t="s">
        <v>119</v>
      </c>
      <c r="O103" s="387">
        <v>44197</v>
      </c>
      <c r="P103" s="371"/>
      <c r="Q103" s="43"/>
      <c r="R103" s="44" t="s">
        <v>272</v>
      </c>
    </row>
    <row r="104" spans="1:18" ht="35.25" customHeight="1">
      <c r="A104" s="15">
        <f t="shared" si="1"/>
        <v>94</v>
      </c>
      <c r="B104" s="43" t="s">
        <v>320</v>
      </c>
      <c r="C104" s="66" t="s">
        <v>319</v>
      </c>
      <c r="D104" s="19"/>
      <c r="E104" s="19"/>
      <c r="F104" s="19"/>
      <c r="G104" s="43" t="s">
        <v>319</v>
      </c>
      <c r="H104" s="141"/>
      <c r="I104" s="13" t="s">
        <v>18</v>
      </c>
      <c r="J104" s="13">
        <v>1</v>
      </c>
      <c r="K104" s="11" t="s">
        <v>730</v>
      </c>
      <c r="L104" s="43" t="s">
        <v>17</v>
      </c>
      <c r="M104" s="11" t="str">
        <f>VLOOKUP(N104,'Mã NV'!$A$3:$B$196,2,0)</f>
        <v>HR01</v>
      </c>
      <c r="N104" s="288" t="s">
        <v>119</v>
      </c>
      <c r="O104" s="387">
        <v>44197</v>
      </c>
      <c r="P104" s="371"/>
      <c r="Q104" s="43"/>
      <c r="R104" s="44" t="s">
        <v>272</v>
      </c>
    </row>
    <row r="105" spans="1:18" ht="35.25" customHeight="1">
      <c r="A105" s="15">
        <f t="shared" si="1"/>
        <v>95</v>
      </c>
      <c r="B105" s="43" t="s">
        <v>318</v>
      </c>
      <c r="C105" s="66" t="s">
        <v>317</v>
      </c>
      <c r="D105" s="19"/>
      <c r="E105" s="19"/>
      <c r="F105" s="19"/>
      <c r="G105" s="43" t="s">
        <v>317</v>
      </c>
      <c r="H105" s="141"/>
      <c r="I105" s="13" t="s">
        <v>18</v>
      </c>
      <c r="J105" s="13">
        <v>1</v>
      </c>
      <c r="K105" s="11" t="s">
        <v>730</v>
      </c>
      <c r="L105" s="43" t="s">
        <v>17</v>
      </c>
      <c r="M105" s="11" t="str">
        <f>VLOOKUP(N105,'Mã NV'!$A$3:$B$196,2,0)</f>
        <v>HR01</v>
      </c>
      <c r="N105" s="288" t="s">
        <v>119</v>
      </c>
      <c r="O105" s="387">
        <v>44197</v>
      </c>
      <c r="P105" s="371"/>
      <c r="Q105" s="43"/>
      <c r="R105" s="44" t="s">
        <v>272</v>
      </c>
    </row>
    <row r="106" spans="1:18" ht="35.25" customHeight="1">
      <c r="A106" s="15">
        <f t="shared" si="1"/>
        <v>96</v>
      </c>
      <c r="B106" s="43" t="s">
        <v>316</v>
      </c>
      <c r="C106" s="66" t="s">
        <v>315</v>
      </c>
      <c r="D106" s="46"/>
      <c r="E106" s="46"/>
      <c r="F106" s="46"/>
      <c r="G106" s="43" t="s">
        <v>315</v>
      </c>
      <c r="H106" s="141"/>
      <c r="I106" s="13" t="s">
        <v>18</v>
      </c>
      <c r="J106" s="13">
        <v>1</v>
      </c>
      <c r="K106" s="11" t="s">
        <v>730</v>
      </c>
      <c r="L106" s="43" t="s">
        <v>17</v>
      </c>
      <c r="M106" s="11" t="str">
        <f>VLOOKUP(N106,'Mã NV'!$A$3:$B$196,2,0)</f>
        <v>HR01</v>
      </c>
      <c r="N106" s="288" t="s">
        <v>119</v>
      </c>
      <c r="O106" s="387">
        <v>44197</v>
      </c>
      <c r="P106" s="371"/>
      <c r="Q106" s="43"/>
      <c r="R106" s="44" t="s">
        <v>272</v>
      </c>
    </row>
    <row r="107" spans="1:18" ht="35.25" customHeight="1">
      <c r="A107" s="15">
        <f t="shared" si="1"/>
        <v>97</v>
      </c>
      <c r="B107" s="43" t="s">
        <v>314</v>
      </c>
      <c r="C107" s="66" t="s">
        <v>313</v>
      </c>
      <c r="D107" s="19"/>
      <c r="E107" s="19"/>
      <c r="F107" s="19"/>
      <c r="G107" s="43" t="s">
        <v>313</v>
      </c>
      <c r="H107" s="141"/>
      <c r="I107" s="13" t="s">
        <v>18</v>
      </c>
      <c r="J107" s="13">
        <v>1</v>
      </c>
      <c r="K107" s="11" t="s">
        <v>730</v>
      </c>
      <c r="L107" s="43" t="s">
        <v>17</v>
      </c>
      <c r="M107" s="11" t="str">
        <f>VLOOKUP(N107,'Mã NV'!$A$3:$B$196,2,0)</f>
        <v>HR01</v>
      </c>
      <c r="N107" s="288" t="s">
        <v>119</v>
      </c>
      <c r="O107" s="387">
        <v>44197</v>
      </c>
      <c r="P107" s="371"/>
      <c r="Q107" s="43"/>
      <c r="R107" s="44" t="s">
        <v>272</v>
      </c>
    </row>
    <row r="108" spans="1:18" ht="35.25" customHeight="1">
      <c r="A108" s="15">
        <f t="shared" si="1"/>
        <v>98</v>
      </c>
      <c r="B108" s="43" t="s">
        <v>312</v>
      </c>
      <c r="C108" s="66" t="s">
        <v>311</v>
      </c>
      <c r="D108" s="19"/>
      <c r="E108" s="19"/>
      <c r="F108" s="19"/>
      <c r="G108" s="43" t="s">
        <v>311</v>
      </c>
      <c r="H108" s="141"/>
      <c r="I108" s="13" t="s">
        <v>18</v>
      </c>
      <c r="J108" s="13">
        <v>1</v>
      </c>
      <c r="K108" s="11" t="s">
        <v>730</v>
      </c>
      <c r="L108" s="43" t="s">
        <v>17</v>
      </c>
      <c r="M108" s="11" t="str">
        <f>VLOOKUP(N108,'Mã NV'!$A$3:$B$196,2,0)</f>
        <v>HR01</v>
      </c>
      <c r="N108" s="288" t="s">
        <v>119</v>
      </c>
      <c r="O108" s="387">
        <v>44197</v>
      </c>
      <c r="P108" s="371"/>
      <c r="Q108" s="43"/>
      <c r="R108" s="44" t="s">
        <v>272</v>
      </c>
    </row>
    <row r="109" spans="1:18" ht="35.25" customHeight="1">
      <c r="A109" s="15">
        <f t="shared" si="1"/>
        <v>99</v>
      </c>
      <c r="B109" s="43" t="s">
        <v>310</v>
      </c>
      <c r="C109" s="66" t="s">
        <v>309</v>
      </c>
      <c r="D109" s="19"/>
      <c r="E109" s="19"/>
      <c r="F109" s="19"/>
      <c r="G109" s="43" t="s">
        <v>309</v>
      </c>
      <c r="H109" s="141"/>
      <c r="I109" s="13" t="s">
        <v>18</v>
      </c>
      <c r="J109" s="13">
        <v>1</v>
      </c>
      <c r="K109" s="11" t="s">
        <v>730</v>
      </c>
      <c r="L109" s="43" t="s">
        <v>17</v>
      </c>
      <c r="M109" s="11" t="str">
        <f>VLOOKUP(N109,'Mã NV'!$A$3:$B$196,2,0)</f>
        <v>HR01</v>
      </c>
      <c r="N109" s="288" t="s">
        <v>119</v>
      </c>
      <c r="O109" s="387">
        <v>44197</v>
      </c>
      <c r="P109" s="371"/>
      <c r="Q109" s="43"/>
      <c r="R109" s="44" t="s">
        <v>272</v>
      </c>
    </row>
    <row r="110" spans="1:18" ht="35.25" customHeight="1">
      <c r="A110" s="15">
        <f t="shared" si="1"/>
        <v>100</v>
      </c>
      <c r="B110" s="43" t="s">
        <v>308</v>
      </c>
      <c r="C110" s="66" t="s">
        <v>307</v>
      </c>
      <c r="D110" s="19"/>
      <c r="E110" s="19"/>
      <c r="F110" s="19"/>
      <c r="G110" s="43" t="s">
        <v>307</v>
      </c>
      <c r="H110" s="141"/>
      <c r="I110" s="13" t="s">
        <v>18</v>
      </c>
      <c r="J110" s="13">
        <v>1</v>
      </c>
      <c r="K110" s="11" t="s">
        <v>730</v>
      </c>
      <c r="L110" s="43" t="s">
        <v>17</v>
      </c>
      <c r="M110" s="11" t="str">
        <f>VLOOKUP(N110,'Mã NV'!$A$3:$B$196,2,0)</f>
        <v>HR01</v>
      </c>
      <c r="N110" s="288" t="s">
        <v>119</v>
      </c>
      <c r="O110" s="387">
        <v>44197</v>
      </c>
      <c r="P110" s="371"/>
      <c r="Q110" s="43"/>
      <c r="R110" s="44" t="s">
        <v>272</v>
      </c>
    </row>
    <row r="111" spans="1:18" ht="35.25" customHeight="1">
      <c r="A111" s="15">
        <f t="shared" si="1"/>
        <v>101</v>
      </c>
      <c r="B111" s="141" t="s">
        <v>299</v>
      </c>
      <c r="C111" s="146" t="s">
        <v>298</v>
      </c>
      <c r="D111" s="19"/>
      <c r="E111" s="19"/>
      <c r="F111" s="19"/>
      <c r="G111" s="146" t="s">
        <v>298</v>
      </c>
      <c r="H111" s="141"/>
      <c r="I111" s="13" t="s">
        <v>18</v>
      </c>
      <c r="J111" s="13">
        <v>1</v>
      </c>
      <c r="K111" s="11" t="s">
        <v>730</v>
      </c>
      <c r="L111" s="141" t="s">
        <v>17</v>
      </c>
      <c r="M111" s="11" t="str">
        <f>VLOOKUP(N111,'Mã NV'!$A$3:$B$196,2,0)</f>
        <v>HR01</v>
      </c>
      <c r="N111" s="288" t="s">
        <v>119</v>
      </c>
      <c r="O111" s="380">
        <f>VLOOKUP(B111,'Tổng hợp (3)'!$C$4:$E$985,3,0)</f>
        <v>44672</v>
      </c>
      <c r="P111" s="378"/>
      <c r="Q111" s="43"/>
      <c r="R111" s="44" t="s">
        <v>272</v>
      </c>
    </row>
    <row r="112" spans="1:18" ht="35.25" customHeight="1">
      <c r="A112" s="15">
        <f t="shared" si="1"/>
        <v>102</v>
      </c>
      <c r="B112" s="141" t="s">
        <v>297</v>
      </c>
      <c r="C112" s="146" t="s">
        <v>296</v>
      </c>
      <c r="D112" s="19"/>
      <c r="E112" s="19"/>
      <c r="F112" s="19"/>
      <c r="G112" s="141" t="s">
        <v>296</v>
      </c>
      <c r="H112" s="141"/>
      <c r="I112" s="13" t="s">
        <v>18</v>
      </c>
      <c r="J112" s="13">
        <v>1</v>
      </c>
      <c r="K112" s="11" t="s">
        <v>730</v>
      </c>
      <c r="L112" s="141" t="s">
        <v>17</v>
      </c>
      <c r="M112" s="11" t="str">
        <f>VLOOKUP(N112,'Mã NV'!$A$3:$B$196,2,0)</f>
        <v>HR01</v>
      </c>
      <c r="N112" s="288" t="s">
        <v>119</v>
      </c>
      <c r="O112" s="380">
        <f>VLOOKUP(B112,'Tổng hợp (3)'!$C$4:$E$985,3,0)</f>
        <v>44672</v>
      </c>
      <c r="P112" s="378"/>
      <c r="Q112" s="43"/>
      <c r="R112" s="44" t="s">
        <v>272</v>
      </c>
    </row>
    <row r="113" spans="1:39" ht="35.25" customHeight="1">
      <c r="A113" s="15">
        <f t="shared" si="1"/>
        <v>103</v>
      </c>
      <c r="B113" s="141" t="s">
        <v>295</v>
      </c>
      <c r="C113" s="64" t="s">
        <v>294</v>
      </c>
      <c r="D113" s="19"/>
      <c r="E113" s="19"/>
      <c r="F113" s="19"/>
      <c r="G113" s="11" t="s">
        <v>294</v>
      </c>
      <c r="H113" s="141"/>
      <c r="I113" s="13" t="s">
        <v>18</v>
      </c>
      <c r="J113" s="13">
        <v>1</v>
      </c>
      <c r="K113" s="11" t="s">
        <v>730</v>
      </c>
      <c r="L113" s="141" t="s">
        <v>17</v>
      </c>
      <c r="M113" s="11" t="str">
        <f>VLOOKUP(N113,'Mã NV'!$A$3:$B$196,2,0)</f>
        <v>HR01</v>
      </c>
      <c r="N113" s="288" t="s">
        <v>119</v>
      </c>
      <c r="O113" s="380">
        <f>VLOOKUP(B113,'Tổng hợp (3)'!$C$4:$E$985,3,0)</f>
        <v>44742</v>
      </c>
      <c r="P113" s="378"/>
      <c r="Q113" s="43"/>
      <c r="R113" s="44" t="s">
        <v>272</v>
      </c>
    </row>
    <row r="114" spans="1:39" ht="35.25" customHeight="1">
      <c r="A114" s="15">
        <f t="shared" si="1"/>
        <v>104</v>
      </c>
      <c r="B114" s="141" t="s">
        <v>293</v>
      </c>
      <c r="C114" s="64" t="s">
        <v>292</v>
      </c>
      <c r="D114" s="19"/>
      <c r="E114" s="19"/>
      <c r="F114" s="19"/>
      <c r="G114" s="64" t="s">
        <v>292</v>
      </c>
      <c r="H114" s="141"/>
      <c r="I114" s="13" t="s">
        <v>18</v>
      </c>
      <c r="J114" s="13">
        <v>1</v>
      </c>
      <c r="K114" s="11" t="s">
        <v>730</v>
      </c>
      <c r="L114" s="141" t="s">
        <v>17</v>
      </c>
      <c r="M114" s="11" t="str">
        <f>VLOOKUP(N114,'Mã NV'!$A$3:$B$196,2,0)</f>
        <v>HR01</v>
      </c>
      <c r="N114" s="288" t="s">
        <v>119</v>
      </c>
      <c r="O114" s="387">
        <v>44562</v>
      </c>
      <c r="P114" s="371"/>
      <c r="Q114" s="43"/>
      <c r="R114" s="44" t="s">
        <v>272</v>
      </c>
    </row>
    <row r="115" spans="1:39" ht="35.25" hidden="1" customHeight="1">
      <c r="A115" s="15">
        <f t="shared" si="1"/>
        <v>105</v>
      </c>
      <c r="B115" s="141" t="s">
        <v>289</v>
      </c>
      <c r="C115" s="64" t="s">
        <v>288</v>
      </c>
      <c r="D115" s="19"/>
      <c r="E115" s="19"/>
      <c r="F115" s="19"/>
      <c r="G115" s="64" t="s">
        <v>288</v>
      </c>
      <c r="H115" s="141"/>
      <c r="I115" s="13" t="s">
        <v>18</v>
      </c>
      <c r="J115" s="13">
        <v>1</v>
      </c>
      <c r="K115" s="11" t="s">
        <v>730</v>
      </c>
      <c r="L115" s="141" t="s">
        <v>17</v>
      </c>
      <c r="M115" s="11" t="str">
        <f>VLOOKUP(N115,'Mã NV'!$A$3:$B$196,2,0)</f>
        <v>NV0013</v>
      </c>
      <c r="N115" s="288" t="s">
        <v>2523</v>
      </c>
      <c r="O115" s="380">
        <f>VLOOKUP(B115,'Tổng hợp (3)'!$C$4:$E$985,3,0)</f>
        <v>44769</v>
      </c>
      <c r="P115" s="378"/>
      <c r="Q115" s="43"/>
      <c r="R115" s="141" t="s">
        <v>88</v>
      </c>
    </row>
    <row r="116" spans="1:39" ht="35.25" hidden="1" customHeight="1">
      <c r="A116" s="15">
        <f t="shared" si="1"/>
        <v>106</v>
      </c>
      <c r="B116" s="141" t="s">
        <v>287</v>
      </c>
      <c r="C116" s="64" t="s">
        <v>286</v>
      </c>
      <c r="D116" s="19"/>
      <c r="E116" s="19"/>
      <c r="F116" s="19"/>
      <c r="G116" s="64" t="s">
        <v>286</v>
      </c>
      <c r="H116" s="141"/>
      <c r="I116" s="13" t="s">
        <v>18</v>
      </c>
      <c r="J116" s="13">
        <v>1</v>
      </c>
      <c r="K116" s="11" t="s">
        <v>730</v>
      </c>
      <c r="L116" s="141" t="s">
        <v>17</v>
      </c>
      <c r="M116" s="11" t="str">
        <f>VLOOKUP(N116,'Mã NV'!$A$3:$B$196,2,0)</f>
        <v>NV0013</v>
      </c>
      <c r="N116" s="288" t="s">
        <v>2523</v>
      </c>
      <c r="O116" s="380">
        <f>VLOOKUP(B116,'Tổng hợp (3)'!$C$4:$E$985,3,0)</f>
        <v>44770</v>
      </c>
      <c r="P116" s="378"/>
      <c r="Q116" s="43"/>
      <c r="R116" s="141" t="s">
        <v>80</v>
      </c>
    </row>
    <row r="117" spans="1:39" ht="35.25" customHeight="1">
      <c r="A117" s="15">
        <f t="shared" si="1"/>
        <v>107</v>
      </c>
      <c r="B117" s="141" t="s">
        <v>285</v>
      </c>
      <c r="C117" s="64" t="s">
        <v>284</v>
      </c>
      <c r="D117" s="19"/>
      <c r="E117" s="19"/>
      <c r="F117" s="19"/>
      <c r="G117" s="64" t="s">
        <v>284</v>
      </c>
      <c r="H117" s="141"/>
      <c r="I117" s="13" t="s">
        <v>18</v>
      </c>
      <c r="J117" s="13">
        <v>1</v>
      </c>
      <c r="K117" s="11" t="s">
        <v>730</v>
      </c>
      <c r="L117" s="141" t="s">
        <v>17</v>
      </c>
      <c r="M117" s="11" t="str">
        <f>VLOOKUP(N117,'Mã NV'!$A$3:$B$196,2,0)</f>
        <v>HR01</v>
      </c>
      <c r="N117" s="288" t="s">
        <v>119</v>
      </c>
      <c r="O117" s="387">
        <v>44197</v>
      </c>
      <c r="P117" s="371"/>
      <c r="Q117" s="43"/>
      <c r="R117" s="44" t="s">
        <v>272</v>
      </c>
    </row>
    <row r="118" spans="1:39" ht="35.25" customHeight="1">
      <c r="A118" s="15">
        <f t="shared" si="1"/>
        <v>108</v>
      </c>
      <c r="B118" s="141" t="s">
        <v>283</v>
      </c>
      <c r="C118" s="64" t="s">
        <v>282</v>
      </c>
      <c r="D118" s="19"/>
      <c r="E118" s="19"/>
      <c r="F118" s="19"/>
      <c r="G118" s="64" t="s">
        <v>282</v>
      </c>
      <c r="H118" s="141"/>
      <c r="I118" s="13" t="s">
        <v>18</v>
      </c>
      <c r="J118" s="13">
        <v>1</v>
      </c>
      <c r="K118" s="11" t="s">
        <v>730</v>
      </c>
      <c r="L118" s="141" t="s">
        <v>17</v>
      </c>
      <c r="M118" s="11" t="str">
        <f>VLOOKUP(N118,'Mã NV'!$A$3:$B$196,2,0)</f>
        <v>HR01</v>
      </c>
      <c r="N118" s="288" t="s">
        <v>119</v>
      </c>
      <c r="O118" s="380">
        <f>VLOOKUP(B118,'Tổng hợp (3)'!$C$4:$E$985,3,0)</f>
        <v>44771</v>
      </c>
      <c r="P118" s="378"/>
      <c r="Q118" s="43"/>
      <c r="R118" s="44" t="s">
        <v>272</v>
      </c>
    </row>
    <row r="119" spans="1:39" ht="35.25" customHeight="1">
      <c r="A119" s="15">
        <f t="shared" si="1"/>
        <v>109</v>
      </c>
      <c r="B119" s="141" t="s">
        <v>281</v>
      </c>
      <c r="C119" s="64" t="s">
        <v>278</v>
      </c>
      <c r="D119" s="19"/>
      <c r="E119" s="19"/>
      <c r="F119" s="19"/>
      <c r="G119" s="64" t="s">
        <v>278</v>
      </c>
      <c r="H119" s="141"/>
      <c r="I119" s="13" t="s">
        <v>18</v>
      </c>
      <c r="J119" s="13">
        <v>1</v>
      </c>
      <c r="K119" s="11" t="s">
        <v>730</v>
      </c>
      <c r="L119" s="141" t="s">
        <v>17</v>
      </c>
      <c r="M119" s="11" t="str">
        <f>VLOOKUP(N119,'Mã NV'!$A$3:$B$196,2,0)</f>
        <v>HR01</v>
      </c>
      <c r="N119" s="288" t="s">
        <v>119</v>
      </c>
      <c r="O119" s="387">
        <v>44197</v>
      </c>
      <c r="P119" s="371"/>
      <c r="Q119" s="43"/>
      <c r="R119" s="44" t="s">
        <v>272</v>
      </c>
    </row>
    <row r="120" spans="1:39" ht="35.25" customHeight="1">
      <c r="A120" s="15">
        <f t="shared" si="1"/>
        <v>110</v>
      </c>
      <c r="B120" s="141" t="s">
        <v>280</v>
      </c>
      <c r="C120" s="64" t="s">
        <v>278</v>
      </c>
      <c r="D120" s="19"/>
      <c r="E120" s="19"/>
      <c r="F120" s="19"/>
      <c r="G120" s="64" t="s">
        <v>278</v>
      </c>
      <c r="H120" s="141"/>
      <c r="I120" s="13" t="s">
        <v>18</v>
      </c>
      <c r="J120" s="13">
        <v>1</v>
      </c>
      <c r="K120" s="11" t="s">
        <v>730</v>
      </c>
      <c r="L120" s="141" t="s">
        <v>17</v>
      </c>
      <c r="M120" s="11" t="str">
        <f>VLOOKUP(N120,'Mã NV'!$A$3:$B$196,2,0)</f>
        <v>HR01</v>
      </c>
      <c r="N120" s="288" t="s">
        <v>119</v>
      </c>
      <c r="O120" s="387">
        <v>44197</v>
      </c>
      <c r="P120" s="371"/>
      <c r="Q120" s="43"/>
      <c r="R120" s="44" t="s">
        <v>272</v>
      </c>
    </row>
    <row r="121" spans="1:39" ht="35.25" customHeight="1">
      <c r="A121" s="15">
        <f t="shared" si="1"/>
        <v>111</v>
      </c>
      <c r="B121" s="141" t="s">
        <v>279</v>
      </c>
      <c r="C121" s="64" t="s">
        <v>278</v>
      </c>
      <c r="D121" s="19"/>
      <c r="E121" s="19"/>
      <c r="F121" s="19"/>
      <c r="G121" s="64" t="s">
        <v>278</v>
      </c>
      <c r="H121" s="141"/>
      <c r="I121" s="13" t="s">
        <v>18</v>
      </c>
      <c r="J121" s="13">
        <v>1</v>
      </c>
      <c r="K121" s="11" t="s">
        <v>730</v>
      </c>
      <c r="L121" s="141" t="s">
        <v>17</v>
      </c>
      <c r="M121" s="11" t="str">
        <f>VLOOKUP(N121,'Mã NV'!$A$3:$B$196,2,0)</f>
        <v>HR01</v>
      </c>
      <c r="N121" s="288" t="s">
        <v>119</v>
      </c>
      <c r="O121" s="387">
        <v>44197</v>
      </c>
      <c r="P121" s="371"/>
      <c r="Q121" s="43"/>
      <c r="R121" s="44" t="s">
        <v>272</v>
      </c>
    </row>
    <row r="122" spans="1:39" ht="35.25" customHeight="1">
      <c r="A122" s="15">
        <f t="shared" si="1"/>
        <v>112</v>
      </c>
      <c r="B122" s="141" t="s">
        <v>277</v>
      </c>
      <c r="C122" s="64" t="s">
        <v>276</v>
      </c>
      <c r="D122" s="19"/>
      <c r="E122" s="19"/>
      <c r="F122" s="19"/>
      <c r="G122" s="64" t="s">
        <v>276</v>
      </c>
      <c r="H122" s="141"/>
      <c r="I122" s="13" t="s">
        <v>18</v>
      </c>
      <c r="J122" s="13">
        <v>1</v>
      </c>
      <c r="K122" s="11" t="s">
        <v>730</v>
      </c>
      <c r="L122" s="141" t="s">
        <v>17</v>
      </c>
      <c r="M122" s="11" t="str">
        <f>VLOOKUP(N122,'Mã NV'!$A$3:$B$196,2,0)</f>
        <v>HR01</v>
      </c>
      <c r="N122" s="288" t="s">
        <v>119</v>
      </c>
      <c r="O122" s="380">
        <f>VLOOKUP(B122,'Tổng hợp (3)'!$C$4:$E$985,3,0)</f>
        <v>44774</v>
      </c>
      <c r="P122" s="378"/>
      <c r="Q122" s="43"/>
      <c r="R122" s="44" t="s">
        <v>272</v>
      </c>
    </row>
    <row r="123" spans="1:39" ht="35.25" customHeight="1">
      <c r="A123" s="15">
        <f t="shared" si="1"/>
        <v>113</v>
      </c>
      <c r="B123" s="141" t="s">
        <v>275</v>
      </c>
      <c r="C123" s="64" t="s">
        <v>273</v>
      </c>
      <c r="D123" s="19"/>
      <c r="E123" s="19"/>
      <c r="F123" s="19"/>
      <c r="G123" s="64" t="s">
        <v>273</v>
      </c>
      <c r="H123" s="141"/>
      <c r="I123" s="13" t="s">
        <v>18</v>
      </c>
      <c r="J123" s="13">
        <v>1</v>
      </c>
      <c r="K123" s="11" t="s">
        <v>730</v>
      </c>
      <c r="L123" s="141" t="s">
        <v>17</v>
      </c>
      <c r="M123" s="11" t="str">
        <f>VLOOKUP(N123,'Mã NV'!$A$3:$B$196,2,0)</f>
        <v>HR01</v>
      </c>
      <c r="N123" s="288" t="s">
        <v>119</v>
      </c>
      <c r="O123" s="380">
        <f>VLOOKUP(B123,'Tổng hợp (3)'!$C$4:$E$985,3,0)</f>
        <v>44758</v>
      </c>
      <c r="P123" s="378"/>
      <c r="Q123" s="43"/>
      <c r="R123" s="44" t="s">
        <v>272</v>
      </c>
    </row>
    <row r="124" spans="1:39" ht="35.25" customHeight="1">
      <c r="A124" s="15">
        <f t="shared" si="1"/>
        <v>114</v>
      </c>
      <c r="B124" s="141" t="s">
        <v>274</v>
      </c>
      <c r="C124" s="64" t="s">
        <v>273</v>
      </c>
      <c r="D124" s="19"/>
      <c r="E124" s="19"/>
      <c r="F124" s="19"/>
      <c r="G124" s="64" t="s">
        <v>273</v>
      </c>
      <c r="H124" s="141"/>
      <c r="I124" s="13" t="s">
        <v>18</v>
      </c>
      <c r="J124" s="13">
        <v>1</v>
      </c>
      <c r="K124" s="11" t="s">
        <v>730</v>
      </c>
      <c r="L124" s="141" t="s">
        <v>17</v>
      </c>
      <c r="M124" s="11" t="str">
        <f>VLOOKUP(N124,'Mã NV'!$A$3:$B$196,2,0)</f>
        <v>HR01</v>
      </c>
      <c r="N124" s="288" t="s">
        <v>119</v>
      </c>
      <c r="O124" s="380">
        <f>VLOOKUP(B124,'Tổng hợp (3)'!$C$4:$E$985,3,0)</f>
        <v>44758</v>
      </c>
      <c r="P124" s="378"/>
      <c r="Q124" s="43"/>
      <c r="R124" s="44" t="s">
        <v>272</v>
      </c>
    </row>
    <row r="125" spans="1:39" s="236" customFormat="1" ht="35.25" hidden="1" customHeight="1">
      <c r="A125" s="15">
        <f t="shared" si="1"/>
        <v>115</v>
      </c>
      <c r="B125" s="147" t="s">
        <v>271</v>
      </c>
      <c r="C125" s="200" t="s">
        <v>270</v>
      </c>
      <c r="D125" s="50"/>
      <c r="E125" s="50"/>
      <c r="F125" s="50"/>
      <c r="G125" s="200" t="s">
        <v>270</v>
      </c>
      <c r="H125" s="147"/>
      <c r="I125" s="51" t="s">
        <v>18</v>
      </c>
      <c r="J125" s="51">
        <v>1</v>
      </c>
      <c r="K125" s="50" t="s">
        <v>3219</v>
      </c>
      <c r="L125" s="147" t="s">
        <v>17</v>
      </c>
      <c r="M125" s="11" t="e">
        <f>VLOOKUP(N125,'Mã NV'!$A$3:$B$196,2,0)</f>
        <v>#N/A</v>
      </c>
      <c r="N125" s="289" t="s">
        <v>176</v>
      </c>
      <c r="O125" s="380" t="str">
        <f>VLOOKUP(B125,'Tổng hợp (3)'!$C$4:$E$985,3,0)</f>
        <v>29/9/2022</v>
      </c>
      <c r="P125" s="163"/>
      <c r="Q125" s="147"/>
      <c r="R125" s="54" t="s">
        <v>2639</v>
      </c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</row>
    <row r="126" spans="1:39" ht="35.25" customHeight="1">
      <c r="A126" s="15">
        <f t="shared" si="1"/>
        <v>116</v>
      </c>
      <c r="B126" s="141" t="s">
        <v>268</v>
      </c>
      <c r="C126" s="146" t="s">
        <v>267</v>
      </c>
      <c r="D126" s="19"/>
      <c r="E126" s="19"/>
      <c r="F126" s="19"/>
      <c r="G126" s="46"/>
      <c r="H126" s="141"/>
      <c r="I126" s="13" t="s">
        <v>18</v>
      </c>
      <c r="J126" s="13">
        <v>1</v>
      </c>
      <c r="K126" s="11" t="s">
        <v>730</v>
      </c>
      <c r="L126" s="141" t="s">
        <v>17</v>
      </c>
      <c r="M126" s="11" t="str">
        <f>VLOOKUP(N126,'Mã NV'!$A$3:$B$196,2,0)</f>
        <v>HR01</v>
      </c>
      <c r="N126" s="288" t="s">
        <v>119</v>
      </c>
      <c r="O126" s="380">
        <f>VLOOKUP(B126,'Tổng hợp (3)'!$C$4:$E$985,3,0)</f>
        <v>44547</v>
      </c>
      <c r="P126" s="378"/>
      <c r="Q126" s="253"/>
      <c r="R126" s="44" t="s">
        <v>272</v>
      </c>
    </row>
    <row r="127" spans="1:39" ht="35.25" hidden="1" customHeight="1">
      <c r="A127" s="15">
        <f t="shared" si="1"/>
        <v>117</v>
      </c>
      <c r="B127" s="146" t="s">
        <v>266</v>
      </c>
      <c r="C127" s="146" t="s">
        <v>265</v>
      </c>
      <c r="D127" s="19"/>
      <c r="E127" s="19"/>
      <c r="F127" s="19"/>
      <c r="G127" s="141" t="s">
        <v>253</v>
      </c>
      <c r="H127" s="141"/>
      <c r="I127" s="13" t="s">
        <v>18</v>
      </c>
      <c r="J127" s="13">
        <v>1</v>
      </c>
      <c r="K127" s="11" t="s">
        <v>730</v>
      </c>
      <c r="L127" s="141" t="s">
        <v>17</v>
      </c>
      <c r="M127" s="11" t="str">
        <f>VLOOKUP(N127,'Mã NV'!$A$3:$B$196,2,0)</f>
        <v>NV0013</v>
      </c>
      <c r="N127" s="288" t="s">
        <v>2523</v>
      </c>
      <c r="O127" s="380">
        <f>VLOOKUP(B127,'Tổng hợp (3)'!$C$4:$E$985,3,0)</f>
        <v>44680</v>
      </c>
      <c r="P127" s="378"/>
      <c r="Q127" s="253"/>
      <c r="R127" s="44"/>
    </row>
    <row r="128" spans="1:39" ht="35.25" hidden="1" customHeight="1">
      <c r="A128" s="15">
        <f t="shared" si="1"/>
        <v>118</v>
      </c>
      <c r="B128" s="146" t="s">
        <v>264</v>
      </c>
      <c r="C128" s="146" t="s">
        <v>261</v>
      </c>
      <c r="D128" s="19"/>
      <c r="E128" s="19"/>
      <c r="F128" s="19"/>
      <c r="G128" s="141" t="s">
        <v>253</v>
      </c>
      <c r="H128" s="141"/>
      <c r="I128" s="13" t="s">
        <v>18</v>
      </c>
      <c r="J128" s="13">
        <v>1</v>
      </c>
      <c r="K128" s="11" t="s">
        <v>730</v>
      </c>
      <c r="L128" s="141" t="s">
        <v>17</v>
      </c>
      <c r="M128" s="11" t="str">
        <f>VLOOKUP(N128,'Mã NV'!$A$3:$B$196,2,0)</f>
        <v>NV0013</v>
      </c>
      <c r="N128" s="288" t="s">
        <v>2523</v>
      </c>
      <c r="O128" s="380">
        <f>VLOOKUP(B128,'Tổng hợp (3)'!$C$4:$E$985,3,0)</f>
        <v>44680</v>
      </c>
      <c r="P128" s="378"/>
      <c r="Q128" s="253"/>
      <c r="R128" s="44"/>
    </row>
    <row r="129" spans="1:18" ht="35.25" hidden="1" customHeight="1">
      <c r="A129" s="15">
        <f t="shared" si="1"/>
        <v>119</v>
      </c>
      <c r="B129" s="146" t="s">
        <v>263</v>
      </c>
      <c r="C129" s="146" t="s">
        <v>261</v>
      </c>
      <c r="D129" s="19"/>
      <c r="E129" s="19"/>
      <c r="F129" s="19"/>
      <c r="G129" s="141" t="s">
        <v>253</v>
      </c>
      <c r="H129" s="141"/>
      <c r="I129" s="13" t="s">
        <v>18</v>
      </c>
      <c r="J129" s="13">
        <v>1</v>
      </c>
      <c r="K129" s="11" t="s">
        <v>730</v>
      </c>
      <c r="L129" s="141" t="s">
        <v>17</v>
      </c>
      <c r="M129" s="11" t="str">
        <f>VLOOKUP(N129,'Mã NV'!$A$3:$B$196,2,0)</f>
        <v>NV0013</v>
      </c>
      <c r="N129" s="288" t="s">
        <v>2523</v>
      </c>
      <c r="O129" s="380">
        <f>VLOOKUP(B129,'Tổng hợp (3)'!$C$4:$E$985,3,0)</f>
        <v>44680</v>
      </c>
      <c r="P129" s="378"/>
      <c r="Q129" s="253"/>
      <c r="R129" s="44"/>
    </row>
    <row r="130" spans="1:18" ht="35.25" hidden="1" customHeight="1">
      <c r="A130" s="15">
        <f t="shared" si="1"/>
        <v>120</v>
      </c>
      <c r="B130" s="146" t="s">
        <v>262</v>
      </c>
      <c r="C130" s="146" t="s">
        <v>261</v>
      </c>
      <c r="D130" s="19"/>
      <c r="E130" s="19"/>
      <c r="F130" s="19"/>
      <c r="G130" s="141" t="s">
        <v>253</v>
      </c>
      <c r="H130" s="141"/>
      <c r="I130" s="13" t="s">
        <v>18</v>
      </c>
      <c r="J130" s="13">
        <v>1</v>
      </c>
      <c r="K130" s="11" t="s">
        <v>730</v>
      </c>
      <c r="L130" s="141" t="s">
        <v>17</v>
      </c>
      <c r="M130" s="11" t="str">
        <f>VLOOKUP(N130,'Mã NV'!$A$3:$B$196,2,0)</f>
        <v>NV0013</v>
      </c>
      <c r="N130" s="288" t="s">
        <v>2523</v>
      </c>
      <c r="O130" s="380">
        <f>VLOOKUP(B130,'Tổng hợp (3)'!$C$4:$E$985,3,0)</f>
        <v>44680</v>
      </c>
      <c r="P130" s="378"/>
      <c r="Q130" s="253"/>
      <c r="R130" s="44"/>
    </row>
    <row r="131" spans="1:18" ht="35.25" hidden="1" customHeight="1">
      <c r="A131" s="15">
        <f t="shared" si="1"/>
        <v>121</v>
      </c>
      <c r="B131" s="146" t="s">
        <v>260</v>
      </c>
      <c r="C131" s="146" t="s">
        <v>259</v>
      </c>
      <c r="D131" s="19"/>
      <c r="E131" s="19"/>
      <c r="F131" s="19"/>
      <c r="G131" s="141" t="s">
        <v>253</v>
      </c>
      <c r="H131" s="141"/>
      <c r="I131" s="13" t="s">
        <v>18</v>
      </c>
      <c r="J131" s="13">
        <v>1</v>
      </c>
      <c r="K131" s="11" t="s">
        <v>730</v>
      </c>
      <c r="L131" s="141" t="s">
        <v>17</v>
      </c>
      <c r="M131" s="11" t="str">
        <f>VLOOKUP(N131,'Mã NV'!$A$3:$B$196,2,0)</f>
        <v>NV0013</v>
      </c>
      <c r="N131" s="288" t="s">
        <v>2523</v>
      </c>
      <c r="O131" s="380">
        <f>VLOOKUP(B131,'Tổng hợp (3)'!$C$4:$E$985,3,0)</f>
        <v>44680</v>
      </c>
      <c r="P131" s="378"/>
      <c r="Q131" s="253"/>
      <c r="R131" s="44"/>
    </row>
    <row r="132" spans="1:18" ht="35.25" hidden="1" customHeight="1">
      <c r="A132" s="15">
        <f t="shared" si="1"/>
        <v>122</v>
      </c>
      <c r="B132" s="146" t="s">
        <v>258</v>
      </c>
      <c r="C132" s="146" t="s">
        <v>257</v>
      </c>
      <c r="D132" s="19"/>
      <c r="E132" s="19"/>
      <c r="F132" s="19"/>
      <c r="G132" s="141" t="s">
        <v>253</v>
      </c>
      <c r="H132" s="141"/>
      <c r="I132" s="13" t="s">
        <v>18</v>
      </c>
      <c r="J132" s="13">
        <v>1</v>
      </c>
      <c r="K132" s="11" t="s">
        <v>730</v>
      </c>
      <c r="L132" s="141" t="s">
        <v>17</v>
      </c>
      <c r="M132" s="11" t="str">
        <f>VLOOKUP(N132,'Mã NV'!$A$3:$B$196,2,0)</f>
        <v>NV0013</v>
      </c>
      <c r="N132" s="288" t="s">
        <v>2523</v>
      </c>
      <c r="O132" s="380">
        <f>VLOOKUP(B132,'Tổng hợp (3)'!$C$4:$E$985,3,0)</f>
        <v>44680</v>
      </c>
      <c r="P132" s="378"/>
      <c r="Q132" s="253"/>
      <c r="R132" s="44"/>
    </row>
    <row r="133" spans="1:18" ht="35.25" hidden="1" customHeight="1">
      <c r="A133" s="15">
        <f t="shared" si="1"/>
        <v>123</v>
      </c>
      <c r="B133" s="146" t="s">
        <v>256</v>
      </c>
      <c r="C133" s="146" t="s">
        <v>254</v>
      </c>
      <c r="D133" s="19"/>
      <c r="E133" s="19"/>
      <c r="F133" s="19"/>
      <c r="G133" s="141" t="s">
        <v>253</v>
      </c>
      <c r="H133" s="141"/>
      <c r="I133" s="13" t="s">
        <v>18</v>
      </c>
      <c r="J133" s="13">
        <v>1</v>
      </c>
      <c r="K133" s="11" t="s">
        <v>730</v>
      </c>
      <c r="L133" s="141" t="s">
        <v>17</v>
      </c>
      <c r="M133" s="11" t="str">
        <f>VLOOKUP(N133,'Mã NV'!$A$3:$B$196,2,0)</f>
        <v>NV0013</v>
      </c>
      <c r="N133" s="288" t="s">
        <v>2523</v>
      </c>
      <c r="O133" s="380">
        <f>VLOOKUP(B133,'Tổng hợp (3)'!$C$4:$E$985,3,0)</f>
        <v>44680</v>
      </c>
      <c r="P133" s="378"/>
      <c r="Q133" s="253"/>
      <c r="R133" s="44"/>
    </row>
    <row r="134" spans="1:18" ht="35.25" hidden="1" customHeight="1">
      <c r="A134" s="15">
        <f t="shared" si="1"/>
        <v>124</v>
      </c>
      <c r="B134" s="146" t="s">
        <v>255</v>
      </c>
      <c r="C134" s="146" t="s">
        <v>254</v>
      </c>
      <c r="D134" s="19"/>
      <c r="E134" s="19"/>
      <c r="F134" s="19"/>
      <c r="G134" s="141" t="s">
        <v>253</v>
      </c>
      <c r="H134" s="141"/>
      <c r="I134" s="13" t="s">
        <v>18</v>
      </c>
      <c r="J134" s="13">
        <v>1</v>
      </c>
      <c r="K134" s="11" t="s">
        <v>730</v>
      </c>
      <c r="L134" s="141" t="s">
        <v>17</v>
      </c>
      <c r="M134" s="11" t="str">
        <f>VLOOKUP(N134,'Mã NV'!$A$3:$B$196,2,0)</f>
        <v>NV0013</v>
      </c>
      <c r="N134" s="288" t="s">
        <v>2523</v>
      </c>
      <c r="O134" s="380">
        <f>VLOOKUP(B134,'Tổng hợp (3)'!$C$4:$E$985,3,0)</f>
        <v>44680</v>
      </c>
      <c r="P134" s="378"/>
      <c r="Q134" s="253"/>
      <c r="R134" s="44"/>
    </row>
    <row r="135" spans="1:18" ht="35.25" hidden="1" customHeight="1">
      <c r="A135" s="15">
        <f t="shared" si="1"/>
        <v>125</v>
      </c>
      <c r="B135" s="146" t="s">
        <v>249</v>
      </c>
      <c r="C135" s="64" t="s">
        <v>248</v>
      </c>
      <c r="D135" s="19"/>
      <c r="E135" s="19"/>
      <c r="F135" s="19"/>
      <c r="G135" s="11" t="s">
        <v>248</v>
      </c>
      <c r="H135" s="141"/>
      <c r="I135" s="13" t="s">
        <v>18</v>
      </c>
      <c r="J135" s="13">
        <v>1</v>
      </c>
      <c r="K135" s="11" t="s">
        <v>730</v>
      </c>
      <c r="L135" s="141" t="s">
        <v>17</v>
      </c>
      <c r="M135" s="11" t="str">
        <f>VLOOKUP(N135,'Mã NV'!$A$3:$B$196,2,0)</f>
        <v>NV0013</v>
      </c>
      <c r="N135" s="288" t="s">
        <v>2523</v>
      </c>
      <c r="O135" s="380">
        <f>VLOOKUP(B135,'Tổng hợp (3)'!$C$4:$E$985,3,0)</f>
        <v>44722</v>
      </c>
      <c r="P135" s="378"/>
      <c r="Q135" s="253"/>
      <c r="R135" s="44"/>
    </row>
    <row r="136" spans="1:18" ht="35.25" hidden="1" customHeight="1">
      <c r="A136" s="15">
        <f t="shared" si="1"/>
        <v>126</v>
      </c>
      <c r="B136" s="146" t="s">
        <v>247</v>
      </c>
      <c r="C136" s="64" t="s">
        <v>246</v>
      </c>
      <c r="D136" s="19"/>
      <c r="E136" s="19"/>
      <c r="F136" s="19"/>
      <c r="G136" s="11" t="s">
        <v>246</v>
      </c>
      <c r="H136" s="141"/>
      <c r="I136" s="13" t="s">
        <v>18</v>
      </c>
      <c r="J136" s="13">
        <v>1</v>
      </c>
      <c r="K136" s="11" t="s">
        <v>730</v>
      </c>
      <c r="L136" s="141" t="s">
        <v>17</v>
      </c>
      <c r="M136" s="11" t="str">
        <f>VLOOKUP(N136,'Mã NV'!$A$3:$B$196,2,0)</f>
        <v>NV0013</v>
      </c>
      <c r="N136" s="288" t="s">
        <v>2523</v>
      </c>
      <c r="O136" s="380">
        <f>VLOOKUP(B136,'Tổng hợp (3)'!$C$4:$E$985,3,0)</f>
        <v>44746</v>
      </c>
      <c r="P136" s="378"/>
      <c r="Q136" s="253"/>
      <c r="R136" s="44" t="s">
        <v>80</v>
      </c>
    </row>
    <row r="137" spans="1:18" ht="35.25" hidden="1" customHeight="1">
      <c r="A137" s="15">
        <f t="shared" si="1"/>
        <v>127</v>
      </c>
      <c r="B137" s="146" t="s">
        <v>245</v>
      </c>
      <c r="C137" s="64" t="s">
        <v>244</v>
      </c>
      <c r="D137" s="19"/>
      <c r="E137" s="19"/>
      <c r="F137" s="19"/>
      <c r="G137" s="64" t="s">
        <v>244</v>
      </c>
      <c r="H137" s="141"/>
      <c r="I137" s="13" t="s">
        <v>18</v>
      </c>
      <c r="J137" s="13">
        <v>1</v>
      </c>
      <c r="K137" s="11" t="s">
        <v>730</v>
      </c>
      <c r="L137" s="141" t="s">
        <v>17</v>
      </c>
      <c r="M137" s="11" t="str">
        <f>VLOOKUP(N137,'Mã NV'!$A$3:$B$196,2,0)</f>
        <v>NV0013</v>
      </c>
      <c r="N137" s="288" t="s">
        <v>2523</v>
      </c>
      <c r="O137" s="380">
        <f>VLOOKUP(B137,'Tổng hợp (3)'!$C$4:$E$985,3,0)</f>
        <v>44772</v>
      </c>
      <c r="P137" s="378"/>
      <c r="Q137" s="43"/>
      <c r="R137" s="44" t="s">
        <v>88</v>
      </c>
    </row>
    <row r="138" spans="1:18" ht="35.25" hidden="1" customHeight="1">
      <c r="A138" s="15">
        <f t="shared" si="1"/>
        <v>128</v>
      </c>
      <c r="B138" s="146" t="s">
        <v>243</v>
      </c>
      <c r="C138" s="64" t="s">
        <v>242</v>
      </c>
      <c r="D138" s="19"/>
      <c r="E138" s="19"/>
      <c r="F138" s="19"/>
      <c r="G138" s="64" t="s">
        <v>242</v>
      </c>
      <c r="H138" s="141"/>
      <c r="I138" s="13" t="s">
        <v>18</v>
      </c>
      <c r="J138" s="13">
        <v>1</v>
      </c>
      <c r="K138" s="11" t="s">
        <v>730</v>
      </c>
      <c r="L138" s="141" t="s">
        <v>17</v>
      </c>
      <c r="M138" s="11" t="str">
        <f>VLOOKUP(N138,'Mã NV'!$A$3:$B$196,2,0)</f>
        <v>NV0013</v>
      </c>
      <c r="N138" s="288" t="s">
        <v>2523</v>
      </c>
      <c r="O138" s="380">
        <f>VLOOKUP(B138,'Tổng hợp (3)'!$C$4:$E$985,3,0)</f>
        <v>44776</v>
      </c>
      <c r="P138" s="378"/>
      <c r="Q138" s="43"/>
      <c r="R138" s="44"/>
    </row>
    <row r="139" spans="1:18" ht="35.25" hidden="1" customHeight="1">
      <c r="A139" s="15">
        <f t="shared" si="1"/>
        <v>129</v>
      </c>
      <c r="B139" s="146" t="s">
        <v>241</v>
      </c>
      <c r="C139" s="64" t="s">
        <v>240</v>
      </c>
      <c r="D139" s="19"/>
      <c r="E139" s="19"/>
      <c r="F139" s="19"/>
      <c r="G139" s="64" t="s">
        <v>240</v>
      </c>
      <c r="H139" s="141"/>
      <c r="I139" s="13" t="s">
        <v>18</v>
      </c>
      <c r="J139" s="13">
        <v>1</v>
      </c>
      <c r="K139" s="11" t="s">
        <v>730</v>
      </c>
      <c r="L139" s="141" t="s">
        <v>17</v>
      </c>
      <c r="M139" s="11" t="str">
        <f>VLOOKUP(N139,'Mã NV'!$A$3:$B$196,2,0)</f>
        <v>NV0013</v>
      </c>
      <c r="N139" s="288" t="s">
        <v>2523</v>
      </c>
      <c r="O139" s="380">
        <f>VLOOKUP(B139,'Tổng hợp (3)'!$C$4:$E$985,3,0)</f>
        <v>44776</v>
      </c>
      <c r="P139" s="378"/>
      <c r="Q139" s="43"/>
      <c r="R139" s="44" t="s">
        <v>80</v>
      </c>
    </row>
    <row r="140" spans="1:18" ht="35.25" hidden="1" customHeight="1">
      <c r="A140" s="15">
        <f t="shared" si="1"/>
        <v>130</v>
      </c>
      <c r="B140" s="146" t="s">
        <v>855</v>
      </c>
      <c r="C140" s="64" t="s">
        <v>856</v>
      </c>
      <c r="D140" s="19"/>
      <c r="E140" s="19"/>
      <c r="F140" s="19"/>
      <c r="G140" s="64" t="s">
        <v>856</v>
      </c>
      <c r="H140" s="141"/>
      <c r="I140" s="13" t="s">
        <v>18</v>
      </c>
      <c r="J140" s="13">
        <v>1</v>
      </c>
      <c r="K140" s="11" t="s">
        <v>730</v>
      </c>
      <c r="L140" s="141" t="s">
        <v>17</v>
      </c>
      <c r="M140" s="11" t="str">
        <f>VLOOKUP(N140,'Mã NV'!$A$3:$B$196,2,0)</f>
        <v>NV0013</v>
      </c>
      <c r="N140" s="288" t="s">
        <v>2523</v>
      </c>
      <c r="O140" s="381">
        <v>44967</v>
      </c>
      <c r="P140" s="371"/>
      <c r="Q140" s="43"/>
      <c r="R140" s="44" t="s">
        <v>80</v>
      </c>
    </row>
    <row r="141" spans="1:18" ht="35.25" hidden="1" customHeight="1">
      <c r="A141" s="15">
        <f t="shared" ref="A141:A204" si="2">A140+1</f>
        <v>131</v>
      </c>
      <c r="B141" s="146" t="s">
        <v>232</v>
      </c>
      <c r="C141" s="64" t="s">
        <v>231</v>
      </c>
      <c r="D141" s="19"/>
      <c r="E141" s="19"/>
      <c r="F141" s="19"/>
      <c r="G141" s="64" t="s">
        <v>231</v>
      </c>
      <c r="H141" s="141"/>
      <c r="I141" s="13" t="s">
        <v>18</v>
      </c>
      <c r="J141" s="13">
        <v>1</v>
      </c>
      <c r="K141" s="11" t="s">
        <v>730</v>
      </c>
      <c r="L141" s="141" t="s">
        <v>17</v>
      </c>
      <c r="M141" s="11" t="str">
        <f>VLOOKUP(N141,'Mã NV'!$A$3:$B$196,2,0)</f>
        <v>NV0013</v>
      </c>
      <c r="N141" s="288" t="s">
        <v>2523</v>
      </c>
      <c r="O141" s="380" t="str">
        <f>VLOOKUP(B141,'Tổng hợp (3)'!$C$4:$E$985,3,0)</f>
        <v>29/9/2022</v>
      </c>
      <c r="P141" s="378"/>
      <c r="Q141" s="43"/>
      <c r="R141" s="44" t="s">
        <v>2640</v>
      </c>
    </row>
    <row r="142" spans="1:18" ht="35.25" customHeight="1">
      <c r="A142" s="15">
        <f t="shared" si="2"/>
        <v>132</v>
      </c>
      <c r="B142" s="141" t="s">
        <v>226</v>
      </c>
      <c r="C142" s="146" t="s">
        <v>46</v>
      </c>
      <c r="D142" s="19"/>
      <c r="E142" s="19"/>
      <c r="F142" s="19"/>
      <c r="G142" s="141" t="s">
        <v>46</v>
      </c>
      <c r="H142" s="141"/>
      <c r="I142" s="13" t="s">
        <v>169</v>
      </c>
      <c r="J142" s="13">
        <v>1</v>
      </c>
      <c r="K142" s="11" t="s">
        <v>730</v>
      </c>
      <c r="L142" s="141" t="s">
        <v>17</v>
      </c>
      <c r="M142" s="11" t="str">
        <f>VLOOKUP(N142,'Mã NV'!$A$3:$B$196,2,0)</f>
        <v>HR01</v>
      </c>
      <c r="N142" s="288" t="s">
        <v>119</v>
      </c>
      <c r="O142" s="380">
        <f>VLOOKUP(B142,'Tổng hợp (3)'!$C$4:$E$985,3,0)</f>
        <v>44327</v>
      </c>
      <c r="P142" s="378"/>
      <c r="Q142" s="43"/>
      <c r="R142" s="44" t="s">
        <v>272</v>
      </c>
    </row>
    <row r="143" spans="1:18" ht="35.25" customHeight="1">
      <c r="A143" s="15">
        <f t="shared" si="2"/>
        <v>133</v>
      </c>
      <c r="B143" s="141" t="s">
        <v>225</v>
      </c>
      <c r="C143" s="146" t="s">
        <v>46</v>
      </c>
      <c r="D143" s="19"/>
      <c r="E143" s="19"/>
      <c r="F143" s="19"/>
      <c r="G143" s="141" t="s">
        <v>46</v>
      </c>
      <c r="H143" s="141"/>
      <c r="I143" s="13" t="s">
        <v>169</v>
      </c>
      <c r="J143" s="13">
        <v>1</v>
      </c>
      <c r="K143" s="11" t="s">
        <v>730</v>
      </c>
      <c r="L143" s="141" t="s">
        <v>17</v>
      </c>
      <c r="M143" s="11" t="str">
        <f>VLOOKUP(N143,'Mã NV'!$A$3:$B$196,2,0)</f>
        <v>HR01</v>
      </c>
      <c r="N143" s="288" t="s">
        <v>119</v>
      </c>
      <c r="O143" s="380">
        <f>VLOOKUP(B143,'Tổng hợp (3)'!$C$4:$E$985,3,0)</f>
        <v>44327</v>
      </c>
      <c r="P143" s="378"/>
      <c r="Q143" s="43"/>
      <c r="R143" s="44" t="s">
        <v>272</v>
      </c>
    </row>
    <row r="144" spans="1:18" ht="35.25" hidden="1" customHeight="1">
      <c r="A144" s="15">
        <f t="shared" si="2"/>
        <v>134</v>
      </c>
      <c r="B144" s="141" t="s">
        <v>224</v>
      </c>
      <c r="C144" s="64" t="s">
        <v>46</v>
      </c>
      <c r="D144" s="19"/>
      <c r="E144" s="19"/>
      <c r="F144" s="19"/>
      <c r="G144" s="64" t="s">
        <v>46</v>
      </c>
      <c r="H144" s="141"/>
      <c r="I144" s="13" t="s">
        <v>169</v>
      </c>
      <c r="J144" s="13">
        <v>1</v>
      </c>
      <c r="K144" s="11" t="s">
        <v>730</v>
      </c>
      <c r="L144" s="141" t="s">
        <v>17</v>
      </c>
      <c r="M144" s="11" t="str">
        <f>VLOOKUP(N144,'Mã NV'!$A$3:$B$196,2,0)</f>
        <v>HR10</v>
      </c>
      <c r="N144" s="288" t="s">
        <v>222</v>
      </c>
      <c r="O144" s="380">
        <f>VLOOKUP(B144,'Tổng hợp (3)'!$C$4:$E$985,3,0)</f>
        <v>44764</v>
      </c>
      <c r="P144" s="378"/>
      <c r="Q144" s="43"/>
      <c r="R144" s="44"/>
    </row>
    <row r="145" spans="1:18" ht="35.25" hidden="1" customHeight="1">
      <c r="A145" s="15">
        <f t="shared" si="2"/>
        <v>135</v>
      </c>
      <c r="B145" s="141" t="s">
        <v>223</v>
      </c>
      <c r="C145" s="64" t="s">
        <v>46</v>
      </c>
      <c r="D145" s="19"/>
      <c r="E145" s="19"/>
      <c r="F145" s="19"/>
      <c r="G145" s="64" t="s">
        <v>46</v>
      </c>
      <c r="H145" s="141"/>
      <c r="I145" s="13" t="s">
        <v>169</v>
      </c>
      <c r="J145" s="13">
        <v>1</v>
      </c>
      <c r="K145" s="11" t="s">
        <v>730</v>
      </c>
      <c r="L145" s="141" t="s">
        <v>17</v>
      </c>
      <c r="M145" s="11" t="str">
        <f>VLOOKUP(N145,'Mã NV'!$A$3:$B$196,2,0)</f>
        <v>HR10</v>
      </c>
      <c r="N145" s="288" t="s">
        <v>222</v>
      </c>
      <c r="O145" s="380">
        <f>VLOOKUP(B145,'Tổng hợp (3)'!$C$4:$E$985,3,0)</f>
        <v>44764</v>
      </c>
      <c r="P145" s="378"/>
      <c r="Q145" s="43"/>
      <c r="R145" s="44"/>
    </row>
    <row r="146" spans="1:18" ht="35.25" hidden="1" customHeight="1">
      <c r="A146" s="15">
        <f t="shared" si="2"/>
        <v>136</v>
      </c>
      <c r="B146" s="141" t="s">
        <v>221</v>
      </c>
      <c r="C146" s="64" t="s">
        <v>218</v>
      </c>
      <c r="D146" s="19"/>
      <c r="E146" s="19"/>
      <c r="F146" s="19"/>
      <c r="G146" s="64" t="s">
        <v>218</v>
      </c>
      <c r="H146" s="141"/>
      <c r="I146" s="13" t="s">
        <v>18</v>
      </c>
      <c r="J146" s="13">
        <v>1</v>
      </c>
      <c r="K146" s="11" t="s">
        <v>730</v>
      </c>
      <c r="L146" s="141" t="s">
        <v>17</v>
      </c>
      <c r="M146" s="11" t="str">
        <f>VLOOKUP(N146,'Mã NV'!$A$3:$B$196,2,0)</f>
        <v>HR04</v>
      </c>
      <c r="N146" s="288" t="s">
        <v>220</v>
      </c>
      <c r="O146" s="380">
        <f>VLOOKUP(B146,'Tổng hợp (3)'!$C$4:$E$985,3,0)</f>
        <v>44793</v>
      </c>
      <c r="P146" s="378"/>
      <c r="Q146" s="43"/>
      <c r="R146" s="44"/>
    </row>
    <row r="147" spans="1:18" ht="35.25" hidden="1" customHeight="1">
      <c r="A147" s="15">
        <f t="shared" si="2"/>
        <v>137</v>
      </c>
      <c r="B147" s="141" t="s">
        <v>219</v>
      </c>
      <c r="C147" s="64" t="s">
        <v>218</v>
      </c>
      <c r="D147" s="19"/>
      <c r="E147" s="19"/>
      <c r="F147" s="19"/>
      <c r="G147" s="64" t="s">
        <v>218</v>
      </c>
      <c r="H147" s="141"/>
      <c r="I147" s="13" t="s">
        <v>18</v>
      </c>
      <c r="J147" s="13">
        <v>1</v>
      </c>
      <c r="K147" s="11" t="s">
        <v>730</v>
      </c>
      <c r="L147" s="141" t="s">
        <v>17</v>
      </c>
      <c r="M147" s="11" t="str">
        <f>VLOOKUP(N147,'Mã NV'!$A$3:$B$196,2,0)</f>
        <v>HR14</v>
      </c>
      <c r="N147" s="288" t="s">
        <v>217</v>
      </c>
      <c r="O147" s="380" t="str">
        <f>VLOOKUP(B147,'Tổng hợp (3)'!$C$4:$E$985,3,0)</f>
        <v>25/10/2022</v>
      </c>
      <c r="P147" s="378"/>
      <c r="Q147" s="43"/>
      <c r="R147" s="44"/>
    </row>
    <row r="148" spans="1:18" ht="35.25" hidden="1" customHeight="1">
      <c r="A148" s="15">
        <f t="shared" si="2"/>
        <v>138</v>
      </c>
      <c r="B148" s="141" t="s">
        <v>216</v>
      </c>
      <c r="C148" s="146" t="s">
        <v>215</v>
      </c>
      <c r="D148" s="19"/>
      <c r="E148" s="19"/>
      <c r="F148" s="19"/>
      <c r="G148" s="146" t="s">
        <v>214</v>
      </c>
      <c r="H148" s="141"/>
      <c r="I148" s="13" t="s">
        <v>18</v>
      </c>
      <c r="J148" s="13">
        <v>1</v>
      </c>
      <c r="K148" s="11" t="s">
        <v>730</v>
      </c>
      <c r="L148" s="141" t="s">
        <v>17</v>
      </c>
      <c r="M148" s="11" t="str">
        <f>VLOOKUP(N148,'Mã NV'!$A$3:$B$196,2,0)</f>
        <v>HR12</v>
      </c>
      <c r="N148" s="288" t="s">
        <v>117</v>
      </c>
      <c r="O148" s="380">
        <f>VLOOKUP(B148,'Tổng hợp (3)'!$C$4:$E$985,3,0)</f>
        <v>44516</v>
      </c>
      <c r="P148" s="378"/>
      <c r="Q148" s="43"/>
      <c r="R148" s="44"/>
    </row>
    <row r="149" spans="1:18" ht="35.25" customHeight="1">
      <c r="A149" s="15">
        <f t="shared" si="2"/>
        <v>139</v>
      </c>
      <c r="B149" s="141" t="s">
        <v>212</v>
      </c>
      <c r="C149" s="64" t="s">
        <v>154</v>
      </c>
      <c r="D149" s="19"/>
      <c r="E149" s="19"/>
      <c r="F149" s="19"/>
      <c r="G149" s="11" t="s">
        <v>154</v>
      </c>
      <c r="H149" s="141"/>
      <c r="I149" s="13" t="s">
        <v>18</v>
      </c>
      <c r="J149" s="13">
        <v>1</v>
      </c>
      <c r="K149" s="11" t="s">
        <v>730</v>
      </c>
      <c r="L149" s="141" t="s">
        <v>17</v>
      </c>
      <c r="M149" s="11" t="str">
        <f>VLOOKUP(N149,'Mã NV'!$A$3:$B$196,2,0)</f>
        <v>HR01</v>
      </c>
      <c r="N149" s="288" t="s">
        <v>119</v>
      </c>
      <c r="O149" s="380">
        <f>VLOOKUP(B149,'Tổng hợp (3)'!$C$4:$E$985,3,0)</f>
        <v>44721</v>
      </c>
      <c r="P149" s="378"/>
      <c r="Q149" s="43"/>
      <c r="R149" s="44"/>
    </row>
    <row r="150" spans="1:18" ht="35.25" customHeight="1">
      <c r="A150" s="15">
        <f t="shared" si="2"/>
        <v>140</v>
      </c>
      <c r="B150" s="141" t="s">
        <v>211</v>
      </c>
      <c r="C150" s="64" t="s">
        <v>154</v>
      </c>
      <c r="D150" s="19"/>
      <c r="E150" s="19"/>
      <c r="F150" s="19"/>
      <c r="G150" s="11" t="s">
        <v>154</v>
      </c>
      <c r="H150" s="141"/>
      <c r="I150" s="13" t="s">
        <v>18</v>
      </c>
      <c r="J150" s="13">
        <v>1</v>
      </c>
      <c r="K150" s="11" t="s">
        <v>730</v>
      </c>
      <c r="L150" s="141" t="s">
        <v>17</v>
      </c>
      <c r="M150" s="11" t="str">
        <f>VLOOKUP(N150,'Mã NV'!$A$3:$B$196,2,0)</f>
        <v>HR01</v>
      </c>
      <c r="N150" s="288" t="s">
        <v>119</v>
      </c>
      <c r="O150" s="380">
        <f>VLOOKUP(B150,'Tổng hợp (3)'!$C$4:$E$985,3,0)</f>
        <v>44721</v>
      </c>
      <c r="P150" s="378"/>
      <c r="Q150" s="43"/>
      <c r="R150" s="44"/>
    </row>
    <row r="151" spans="1:18" ht="35.25" customHeight="1">
      <c r="A151" s="15">
        <f t="shared" si="2"/>
        <v>141</v>
      </c>
      <c r="B151" s="141" t="s">
        <v>210</v>
      </c>
      <c r="C151" s="64" t="s">
        <v>154</v>
      </c>
      <c r="D151" s="19"/>
      <c r="E151" s="19"/>
      <c r="F151" s="19"/>
      <c r="G151" s="11" t="s">
        <v>154</v>
      </c>
      <c r="H151" s="141"/>
      <c r="I151" s="13" t="s">
        <v>18</v>
      </c>
      <c r="J151" s="13">
        <v>1</v>
      </c>
      <c r="K151" s="11" t="s">
        <v>730</v>
      </c>
      <c r="L151" s="141" t="s">
        <v>17</v>
      </c>
      <c r="M151" s="11" t="str">
        <f>VLOOKUP(N151,'Mã NV'!$A$3:$B$196,2,0)</f>
        <v>HR01</v>
      </c>
      <c r="N151" s="288" t="s">
        <v>119</v>
      </c>
      <c r="O151" s="380">
        <f>VLOOKUP(B151,'Tổng hợp (3)'!$C$4:$E$985,3,0)</f>
        <v>44721</v>
      </c>
      <c r="P151" s="378"/>
      <c r="Q151" s="43"/>
      <c r="R151" s="44"/>
    </row>
    <row r="152" spans="1:18" ht="35.25" hidden="1" customHeight="1">
      <c r="A152" s="15">
        <f t="shared" si="2"/>
        <v>142</v>
      </c>
      <c r="B152" s="141" t="s">
        <v>207</v>
      </c>
      <c r="C152" s="64" t="s">
        <v>205</v>
      </c>
      <c r="D152" s="19"/>
      <c r="E152" s="19"/>
      <c r="F152" s="19"/>
      <c r="G152" s="64" t="s">
        <v>205</v>
      </c>
      <c r="H152" s="141"/>
      <c r="I152" s="13" t="s">
        <v>18</v>
      </c>
      <c r="J152" s="13">
        <v>1</v>
      </c>
      <c r="K152" s="11" t="s">
        <v>730</v>
      </c>
      <c r="L152" s="141" t="s">
        <v>17</v>
      </c>
      <c r="M152" s="11" t="str">
        <f>VLOOKUP(N152,'Mã NV'!$A$3:$B$196,2,0)</f>
        <v>HR12</v>
      </c>
      <c r="N152" s="288" t="s">
        <v>117</v>
      </c>
      <c r="O152" s="380">
        <f>VLOOKUP(B152,'Tổng hợp (3)'!$C$4:$E$985,3,0)</f>
        <v>44774</v>
      </c>
      <c r="P152" s="378"/>
      <c r="Q152" s="43"/>
      <c r="R152" s="35"/>
    </row>
    <row r="153" spans="1:18" ht="35.25" hidden="1" customHeight="1">
      <c r="A153" s="15">
        <f t="shared" si="2"/>
        <v>143</v>
      </c>
      <c r="B153" s="141" t="s">
        <v>206</v>
      </c>
      <c r="C153" s="64" t="s">
        <v>205</v>
      </c>
      <c r="D153" s="19"/>
      <c r="E153" s="19"/>
      <c r="F153" s="19"/>
      <c r="G153" s="64" t="s">
        <v>205</v>
      </c>
      <c r="H153" s="141"/>
      <c r="I153" s="13" t="s">
        <v>18</v>
      </c>
      <c r="J153" s="13">
        <v>1</v>
      </c>
      <c r="K153" s="11" t="s">
        <v>730</v>
      </c>
      <c r="L153" s="141" t="s">
        <v>17</v>
      </c>
      <c r="M153" s="11" t="str">
        <f>VLOOKUP(N153,'Mã NV'!$A$3:$B$196,2,0)</f>
        <v>HR12</v>
      </c>
      <c r="N153" s="288" t="s">
        <v>117</v>
      </c>
      <c r="O153" s="380">
        <f>VLOOKUP(B153,'Tổng hợp (3)'!$C$4:$E$985,3,0)</f>
        <v>44774</v>
      </c>
      <c r="P153" s="378"/>
      <c r="Q153" s="43"/>
      <c r="R153" s="35"/>
    </row>
    <row r="154" spans="1:18" ht="35.25" hidden="1" customHeight="1">
      <c r="A154" s="15">
        <f t="shared" si="2"/>
        <v>144</v>
      </c>
      <c r="B154" s="141" t="s">
        <v>204</v>
      </c>
      <c r="C154" s="64" t="s">
        <v>93</v>
      </c>
      <c r="D154" s="19"/>
      <c r="E154" s="19"/>
      <c r="F154" s="19"/>
      <c r="G154" s="64" t="s">
        <v>93</v>
      </c>
      <c r="H154" s="141"/>
      <c r="I154" s="13" t="s">
        <v>18</v>
      </c>
      <c r="J154" s="13">
        <v>1</v>
      </c>
      <c r="K154" s="11" t="s">
        <v>730</v>
      </c>
      <c r="L154" s="141" t="s">
        <v>17</v>
      </c>
      <c r="M154" s="11" t="str">
        <f>VLOOKUP(N154,'Mã NV'!$A$3:$B$196,2,0)</f>
        <v>HR12</v>
      </c>
      <c r="N154" s="288" t="s">
        <v>117</v>
      </c>
      <c r="O154" s="380">
        <f>VLOOKUP(B154,'Tổng hợp (3)'!$C$4:$E$985,3,0)</f>
        <v>44781</v>
      </c>
      <c r="P154" s="378"/>
      <c r="Q154" s="43"/>
      <c r="R154" s="35"/>
    </row>
    <row r="155" spans="1:18" ht="35.25" customHeight="1">
      <c r="A155" s="15">
        <f t="shared" si="2"/>
        <v>145</v>
      </c>
      <c r="B155" s="141" t="s">
        <v>200</v>
      </c>
      <c r="C155" s="64" t="s">
        <v>199</v>
      </c>
      <c r="D155" s="169"/>
      <c r="E155" s="169"/>
      <c r="F155" s="169"/>
      <c r="G155" s="64" t="s">
        <v>199</v>
      </c>
      <c r="H155" s="141"/>
      <c r="I155" s="13" t="s">
        <v>18</v>
      </c>
      <c r="J155" s="13">
        <v>1</v>
      </c>
      <c r="K155" s="11" t="s">
        <v>730</v>
      </c>
      <c r="L155" s="141" t="s">
        <v>17</v>
      </c>
      <c r="M155" s="11" t="str">
        <f>VLOOKUP(N155,'Mã NV'!$A$3:$B$196,2,0)</f>
        <v>HR01</v>
      </c>
      <c r="N155" s="288" t="s">
        <v>119</v>
      </c>
      <c r="O155" s="380">
        <f>VLOOKUP(B155,'Tổng hợp (3)'!$C$4:$E$985,3,0)</f>
        <v>44905</v>
      </c>
      <c r="P155" s="378"/>
      <c r="Q155" s="43"/>
      <c r="R155" s="35" t="s">
        <v>272</v>
      </c>
    </row>
    <row r="156" spans="1:18" ht="35.25" customHeight="1">
      <c r="A156" s="15">
        <f t="shared" si="2"/>
        <v>146</v>
      </c>
      <c r="B156" s="141" t="s">
        <v>198</v>
      </c>
      <c r="C156" s="64" t="s">
        <v>197</v>
      </c>
      <c r="D156" s="169"/>
      <c r="E156" s="169"/>
      <c r="F156" s="169"/>
      <c r="G156" s="64" t="s">
        <v>197</v>
      </c>
      <c r="H156" s="141"/>
      <c r="I156" s="13" t="s">
        <v>18</v>
      </c>
      <c r="J156" s="13">
        <v>1</v>
      </c>
      <c r="K156" s="11" t="s">
        <v>730</v>
      </c>
      <c r="L156" s="141" t="s">
        <v>17</v>
      </c>
      <c r="M156" s="11" t="str">
        <f>VLOOKUP(N156,'Mã NV'!$A$3:$B$196,2,0)</f>
        <v>HR01</v>
      </c>
      <c r="N156" s="288" t="s">
        <v>119</v>
      </c>
      <c r="O156" s="380">
        <f>VLOOKUP(B156,'Tổng hợp (3)'!$C$4:$E$985,3,0)</f>
        <v>44905</v>
      </c>
      <c r="P156" s="378"/>
      <c r="Q156" s="43"/>
      <c r="R156" s="35" t="s">
        <v>272</v>
      </c>
    </row>
    <row r="157" spans="1:18" ht="35.25" customHeight="1">
      <c r="A157" s="15">
        <f t="shared" si="2"/>
        <v>147</v>
      </c>
      <c r="B157" s="141" t="s">
        <v>196</v>
      </c>
      <c r="C157" s="64" t="s">
        <v>195</v>
      </c>
      <c r="D157" s="169"/>
      <c r="E157" s="169"/>
      <c r="F157" s="169"/>
      <c r="G157" s="64" t="s">
        <v>195</v>
      </c>
      <c r="H157" s="141"/>
      <c r="I157" s="13" t="s">
        <v>18</v>
      </c>
      <c r="J157" s="13">
        <v>1</v>
      </c>
      <c r="K157" s="11" t="s">
        <v>730</v>
      </c>
      <c r="L157" s="141" t="s">
        <v>17</v>
      </c>
      <c r="M157" s="11" t="str">
        <f>VLOOKUP(N157,'Mã NV'!$A$3:$B$196,2,0)</f>
        <v>HR01</v>
      </c>
      <c r="N157" s="288" t="s">
        <v>119</v>
      </c>
      <c r="O157" s="387">
        <v>44197</v>
      </c>
      <c r="P157" s="371"/>
      <c r="Q157" s="43"/>
      <c r="R157" s="35" t="s">
        <v>272</v>
      </c>
    </row>
    <row r="158" spans="1:18" ht="35.25" customHeight="1">
      <c r="A158" s="15">
        <f t="shared" si="2"/>
        <v>148</v>
      </c>
      <c r="B158" s="141" t="s">
        <v>194</v>
      </c>
      <c r="C158" s="64" t="s">
        <v>192</v>
      </c>
      <c r="D158" s="169"/>
      <c r="E158" s="169"/>
      <c r="F158" s="169"/>
      <c r="G158" s="64" t="s">
        <v>192</v>
      </c>
      <c r="H158" s="141"/>
      <c r="I158" s="13" t="s">
        <v>18</v>
      </c>
      <c r="J158" s="13">
        <v>1</v>
      </c>
      <c r="K158" s="11" t="s">
        <v>730</v>
      </c>
      <c r="L158" s="141" t="s">
        <v>17</v>
      </c>
      <c r="M158" s="11" t="str">
        <f>VLOOKUP(N158,'Mã NV'!$A$3:$B$196,2,0)</f>
        <v>HR01</v>
      </c>
      <c r="N158" s="288" t="s">
        <v>119</v>
      </c>
      <c r="O158" s="387">
        <v>44562</v>
      </c>
      <c r="P158" s="371"/>
      <c r="Q158" s="43"/>
      <c r="R158" s="35" t="s">
        <v>272</v>
      </c>
    </row>
    <row r="159" spans="1:18" ht="35.25" customHeight="1">
      <c r="A159" s="15">
        <f t="shared" si="2"/>
        <v>149</v>
      </c>
      <c r="B159" s="141" t="s">
        <v>190</v>
      </c>
      <c r="C159" s="64" t="s">
        <v>187</v>
      </c>
      <c r="D159" s="169"/>
      <c r="E159" s="169"/>
      <c r="F159" s="169"/>
      <c r="G159" s="64" t="s">
        <v>186</v>
      </c>
      <c r="H159" s="141"/>
      <c r="I159" s="13" t="s">
        <v>76</v>
      </c>
      <c r="J159" s="13">
        <v>1</v>
      </c>
      <c r="K159" s="11" t="s">
        <v>730</v>
      </c>
      <c r="L159" s="141" t="s">
        <v>17</v>
      </c>
      <c r="M159" s="11" t="str">
        <f>VLOOKUP(N159,'Mã NV'!$A$3:$B$196,2,0)</f>
        <v>HR01</v>
      </c>
      <c r="N159" s="288" t="s">
        <v>119</v>
      </c>
      <c r="O159" s="387">
        <v>44197</v>
      </c>
      <c r="P159" s="371"/>
      <c r="Q159" s="43"/>
      <c r="R159" s="35" t="s">
        <v>272</v>
      </c>
    </row>
    <row r="160" spans="1:18" ht="35.25" customHeight="1">
      <c r="A160" s="15">
        <f t="shared" si="2"/>
        <v>150</v>
      </c>
      <c r="B160" s="141" t="s">
        <v>189</v>
      </c>
      <c r="C160" s="64" t="s">
        <v>187</v>
      </c>
      <c r="D160" s="145"/>
      <c r="E160" s="145"/>
      <c r="F160" s="145"/>
      <c r="G160" s="64" t="s">
        <v>186</v>
      </c>
      <c r="H160" s="141"/>
      <c r="I160" s="13" t="s">
        <v>76</v>
      </c>
      <c r="J160" s="13">
        <v>1</v>
      </c>
      <c r="K160" s="11" t="s">
        <v>730</v>
      </c>
      <c r="L160" s="141" t="s">
        <v>17</v>
      </c>
      <c r="M160" s="11" t="str">
        <f>VLOOKUP(N160,'Mã NV'!$A$3:$B$196,2,0)</f>
        <v>HR01</v>
      </c>
      <c r="N160" s="288" t="s">
        <v>119</v>
      </c>
      <c r="O160" s="387">
        <v>44197</v>
      </c>
      <c r="P160" s="371"/>
      <c r="Q160" s="43"/>
      <c r="R160" s="35" t="s">
        <v>272</v>
      </c>
    </row>
    <row r="161" spans="1:39" ht="35.25" customHeight="1">
      <c r="A161" s="15">
        <f t="shared" si="2"/>
        <v>151</v>
      </c>
      <c r="B161" s="141" t="s">
        <v>188</v>
      </c>
      <c r="C161" s="64" t="s">
        <v>187</v>
      </c>
      <c r="D161" s="145"/>
      <c r="E161" s="145"/>
      <c r="F161" s="145"/>
      <c r="G161" s="64" t="s">
        <v>186</v>
      </c>
      <c r="H161" s="141"/>
      <c r="I161" s="13" t="s">
        <v>76</v>
      </c>
      <c r="J161" s="13">
        <v>1</v>
      </c>
      <c r="K161" s="11" t="s">
        <v>730</v>
      </c>
      <c r="L161" s="141" t="s">
        <v>17</v>
      </c>
      <c r="M161" s="11" t="str">
        <f>VLOOKUP(N161,'Mã NV'!$A$3:$B$196,2,0)</f>
        <v>HR01</v>
      </c>
      <c r="N161" s="288" t="s">
        <v>119</v>
      </c>
      <c r="O161" s="387">
        <v>44197</v>
      </c>
      <c r="P161" s="371"/>
      <c r="Q161" s="43"/>
      <c r="R161" s="35" t="s">
        <v>272</v>
      </c>
    </row>
    <row r="162" spans="1:39" ht="35.25" customHeight="1">
      <c r="A162" s="15">
        <f t="shared" si="2"/>
        <v>152</v>
      </c>
      <c r="B162" s="141" t="s">
        <v>185</v>
      </c>
      <c r="C162" s="64" t="s">
        <v>184</v>
      </c>
      <c r="D162" s="145"/>
      <c r="E162" s="145"/>
      <c r="F162" s="145"/>
      <c r="G162" s="64" t="s">
        <v>184</v>
      </c>
      <c r="H162" s="141"/>
      <c r="I162" s="13" t="s">
        <v>18</v>
      </c>
      <c r="J162" s="13">
        <v>2</v>
      </c>
      <c r="K162" s="11" t="s">
        <v>730</v>
      </c>
      <c r="L162" s="141" t="s">
        <v>17</v>
      </c>
      <c r="M162" s="11" t="str">
        <f>VLOOKUP(N162,'Mã NV'!$A$3:$B$196,2,0)</f>
        <v>HR01</v>
      </c>
      <c r="N162" s="288" t="s">
        <v>119</v>
      </c>
      <c r="O162" s="380">
        <f>VLOOKUP(B162,'Tổng hợp (3)'!$C$4:$E$985,3,0)</f>
        <v>44868</v>
      </c>
      <c r="P162" s="378"/>
      <c r="Q162" s="43"/>
      <c r="R162" s="35" t="s">
        <v>272</v>
      </c>
    </row>
    <row r="163" spans="1:39" s="236" customFormat="1" ht="35.25" hidden="1" customHeight="1">
      <c r="A163" s="15">
        <f t="shared" si="2"/>
        <v>153</v>
      </c>
      <c r="B163" s="147" t="s">
        <v>183</v>
      </c>
      <c r="C163" s="200" t="s">
        <v>182</v>
      </c>
      <c r="D163" s="165"/>
      <c r="E163" s="165"/>
      <c r="F163" s="165"/>
      <c r="G163" s="200" t="s">
        <v>182</v>
      </c>
      <c r="H163" s="147"/>
      <c r="I163" s="51" t="s">
        <v>181</v>
      </c>
      <c r="J163" s="51">
        <v>1</v>
      </c>
      <c r="K163" s="50" t="s">
        <v>3219</v>
      </c>
      <c r="L163" s="147" t="s">
        <v>17</v>
      </c>
      <c r="M163" s="11" t="e">
        <f>VLOOKUP(N163,'Mã NV'!$A$3:$B$196,2,0)</f>
        <v>#N/A</v>
      </c>
      <c r="N163" s="290" t="s">
        <v>176</v>
      </c>
      <c r="O163" s="380">
        <f>VLOOKUP(B163,'Tổng hợp (3)'!$C$4:$E$985,3,0)</f>
        <v>44872</v>
      </c>
      <c r="P163" s="163"/>
      <c r="Q163" s="147"/>
      <c r="R163" s="54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</row>
    <row r="164" spans="1:39" s="236" customFormat="1" ht="35.25" hidden="1" customHeight="1">
      <c r="A164" s="15">
        <f t="shared" si="2"/>
        <v>154</v>
      </c>
      <c r="B164" s="147" t="s">
        <v>180</v>
      </c>
      <c r="C164" s="200" t="s">
        <v>179</v>
      </c>
      <c r="D164" s="50"/>
      <c r="E164" s="50"/>
      <c r="F164" s="50"/>
      <c r="G164" s="50" t="s">
        <v>179</v>
      </c>
      <c r="H164" s="147"/>
      <c r="I164" s="51" t="s">
        <v>18</v>
      </c>
      <c r="J164" s="51">
        <v>1</v>
      </c>
      <c r="K164" s="50" t="s">
        <v>3219</v>
      </c>
      <c r="L164" s="147" t="s">
        <v>17</v>
      </c>
      <c r="M164" s="11" t="e">
        <f>VLOOKUP(N164,'Mã NV'!$A$3:$B$196,2,0)</f>
        <v>#N/A</v>
      </c>
      <c r="N164" s="290" t="s">
        <v>176</v>
      </c>
      <c r="O164" s="380">
        <f>VLOOKUP(B164,'Tổng hợp (3)'!$C$4:$E$985,3,0)</f>
        <v>44873</v>
      </c>
      <c r="P164" s="163"/>
      <c r="Q164" s="147"/>
      <c r="R164" s="5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</row>
    <row r="165" spans="1:39" s="236" customFormat="1" ht="35.25" hidden="1" customHeight="1">
      <c r="A165" s="15">
        <f t="shared" si="2"/>
        <v>155</v>
      </c>
      <c r="B165" s="164" t="s">
        <v>178</v>
      </c>
      <c r="C165" s="170" t="s">
        <v>177</v>
      </c>
      <c r="D165" s="50"/>
      <c r="E165" s="50"/>
      <c r="F165" s="50"/>
      <c r="G165" s="170"/>
      <c r="H165" s="147"/>
      <c r="I165" s="51" t="s">
        <v>18</v>
      </c>
      <c r="J165" s="51">
        <v>1</v>
      </c>
      <c r="K165" s="50" t="s">
        <v>3219</v>
      </c>
      <c r="L165" s="147" t="s">
        <v>17</v>
      </c>
      <c r="M165" s="11" t="e">
        <f>VLOOKUP(N165,'Mã NV'!$A$3:$B$196,2,0)</f>
        <v>#N/A</v>
      </c>
      <c r="N165" s="290" t="s">
        <v>176</v>
      </c>
      <c r="O165" s="380">
        <f>VLOOKUP(B165,'Tổng hợp (3)'!$C$4:$E$985,3,0)</f>
        <v>44891</v>
      </c>
      <c r="P165" s="163"/>
      <c r="Q165" s="147"/>
      <c r="R165" s="54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</row>
    <row r="166" spans="1:39" ht="35.25" hidden="1" customHeight="1">
      <c r="A166" s="15">
        <f t="shared" si="2"/>
        <v>156</v>
      </c>
      <c r="B166" s="141" t="s">
        <v>175</v>
      </c>
      <c r="C166" s="146" t="s">
        <v>174</v>
      </c>
      <c r="D166" s="169"/>
      <c r="E166" s="169"/>
      <c r="F166" s="169"/>
      <c r="G166" s="141" t="s">
        <v>174</v>
      </c>
      <c r="H166" s="141"/>
      <c r="I166" s="13" t="s">
        <v>18</v>
      </c>
      <c r="J166" s="13">
        <v>1</v>
      </c>
      <c r="K166" s="11" t="s">
        <v>730</v>
      </c>
      <c r="L166" s="141" t="s">
        <v>17</v>
      </c>
      <c r="M166" s="11" t="str">
        <f>VLOOKUP(N166,'Mã NV'!$A$3:$B$196,2,0)</f>
        <v>NV0013</v>
      </c>
      <c r="N166" s="288" t="s">
        <v>2523</v>
      </c>
      <c r="O166" s="380">
        <f>VLOOKUP(B166,'Tổng hợp (3)'!$C$4:$E$985,3,0)</f>
        <v>44679</v>
      </c>
      <c r="P166" s="378"/>
      <c r="Q166" s="43"/>
      <c r="R166" s="35"/>
    </row>
    <row r="167" spans="1:39" ht="35.25" customHeight="1">
      <c r="A167" s="15">
        <f t="shared" si="2"/>
        <v>157</v>
      </c>
      <c r="B167" s="141" t="s">
        <v>168</v>
      </c>
      <c r="C167" s="146" t="s">
        <v>167</v>
      </c>
      <c r="D167" s="169"/>
      <c r="E167" s="169"/>
      <c r="F167" s="169"/>
      <c r="G167" s="146" t="s">
        <v>167</v>
      </c>
      <c r="H167" s="141"/>
      <c r="I167" s="13" t="s">
        <v>18</v>
      </c>
      <c r="J167" s="13">
        <v>1</v>
      </c>
      <c r="K167" s="11" t="s">
        <v>730</v>
      </c>
      <c r="L167" s="141" t="s">
        <v>17</v>
      </c>
      <c r="M167" s="11" t="str">
        <f>VLOOKUP(N167,'Mã NV'!$A$3:$B$196,2,0)</f>
        <v>HR01</v>
      </c>
      <c r="N167" s="288" t="s">
        <v>119</v>
      </c>
      <c r="O167" s="380">
        <f>VLOOKUP(B167,'Tổng hợp (3)'!$C$4:$E$985,3,0)</f>
        <v>44691</v>
      </c>
      <c r="P167" s="378"/>
      <c r="Q167" s="43"/>
      <c r="R167" s="35" t="s">
        <v>272</v>
      </c>
    </row>
    <row r="168" spans="1:39" ht="35.25" customHeight="1">
      <c r="A168" s="15">
        <f t="shared" si="2"/>
        <v>158</v>
      </c>
      <c r="B168" s="141" t="s">
        <v>166</v>
      </c>
      <c r="C168" s="146" t="s">
        <v>165</v>
      </c>
      <c r="D168" s="169"/>
      <c r="E168" s="169"/>
      <c r="F168" s="169"/>
      <c r="G168" s="146" t="s">
        <v>164</v>
      </c>
      <c r="H168" s="141"/>
      <c r="I168" s="13" t="s">
        <v>18</v>
      </c>
      <c r="J168" s="13">
        <v>1</v>
      </c>
      <c r="K168" s="11" t="s">
        <v>730</v>
      </c>
      <c r="L168" s="141" t="s">
        <v>17</v>
      </c>
      <c r="M168" s="11" t="str">
        <f>VLOOKUP(N168,'Mã NV'!$A$3:$B$196,2,0)</f>
        <v>HR01</v>
      </c>
      <c r="N168" s="288" t="s">
        <v>119</v>
      </c>
      <c r="O168" s="380">
        <f>VLOOKUP(B168,'Tổng hợp (3)'!$C$4:$E$985,3,0)</f>
        <v>44691</v>
      </c>
      <c r="P168" s="378"/>
      <c r="Q168" s="43"/>
      <c r="R168" s="35" t="s">
        <v>272</v>
      </c>
    </row>
    <row r="169" spans="1:39" ht="35.25" customHeight="1">
      <c r="A169" s="15">
        <f t="shared" si="2"/>
        <v>159</v>
      </c>
      <c r="B169" s="141" t="s">
        <v>163</v>
      </c>
      <c r="C169" s="146" t="s">
        <v>162</v>
      </c>
      <c r="D169" s="169"/>
      <c r="E169" s="169"/>
      <c r="F169" s="169"/>
      <c r="G169" s="146" t="s">
        <v>162</v>
      </c>
      <c r="H169" s="141"/>
      <c r="I169" s="13" t="s">
        <v>18</v>
      </c>
      <c r="J169" s="13">
        <v>1</v>
      </c>
      <c r="K169" s="11" t="s">
        <v>730</v>
      </c>
      <c r="L169" s="141" t="s">
        <v>17</v>
      </c>
      <c r="M169" s="11" t="str">
        <f>VLOOKUP(N169,'Mã NV'!$A$3:$B$196,2,0)</f>
        <v>HR01</v>
      </c>
      <c r="N169" s="288" t="s">
        <v>119</v>
      </c>
      <c r="O169" s="380">
        <f>VLOOKUP(B169,'Tổng hợp (3)'!$C$4:$E$985,3,0)</f>
        <v>44691</v>
      </c>
      <c r="P169" s="378"/>
      <c r="Q169" s="43"/>
      <c r="R169" s="35" t="s">
        <v>272</v>
      </c>
    </row>
    <row r="170" spans="1:39" ht="35.25" customHeight="1">
      <c r="A170" s="15">
        <f t="shared" si="2"/>
        <v>160</v>
      </c>
      <c r="B170" s="141" t="s">
        <v>161</v>
      </c>
      <c r="C170" s="146" t="s">
        <v>160</v>
      </c>
      <c r="D170" s="169"/>
      <c r="E170" s="169"/>
      <c r="F170" s="169"/>
      <c r="G170" s="146" t="s">
        <v>160</v>
      </c>
      <c r="H170" s="141"/>
      <c r="I170" s="13" t="s">
        <v>18</v>
      </c>
      <c r="J170" s="13">
        <v>1</v>
      </c>
      <c r="K170" s="11" t="s">
        <v>730</v>
      </c>
      <c r="L170" s="141" t="s">
        <v>17</v>
      </c>
      <c r="M170" s="11" t="str">
        <f>VLOOKUP(N170,'Mã NV'!$A$3:$B$196,2,0)</f>
        <v>HR01</v>
      </c>
      <c r="N170" s="288" t="s">
        <v>119</v>
      </c>
      <c r="O170" s="380">
        <f>VLOOKUP(B170,'Tổng hợp (3)'!$C$4:$E$985,3,0)</f>
        <v>44691</v>
      </c>
      <c r="P170" s="378"/>
      <c r="Q170" s="43"/>
      <c r="R170" s="35" t="s">
        <v>272</v>
      </c>
    </row>
    <row r="171" spans="1:39" ht="35.25" customHeight="1">
      <c r="A171" s="15">
        <f t="shared" si="2"/>
        <v>161</v>
      </c>
      <c r="B171" s="141" t="s">
        <v>159</v>
      </c>
      <c r="C171" s="146" t="s">
        <v>158</v>
      </c>
      <c r="D171" s="169"/>
      <c r="E171" s="169"/>
      <c r="F171" s="169"/>
      <c r="G171" s="146" t="s">
        <v>158</v>
      </c>
      <c r="H171" s="141"/>
      <c r="I171" s="13" t="s">
        <v>18</v>
      </c>
      <c r="J171" s="13">
        <v>1</v>
      </c>
      <c r="K171" s="11" t="s">
        <v>730</v>
      </c>
      <c r="L171" s="141" t="s">
        <v>17</v>
      </c>
      <c r="M171" s="11" t="str">
        <f>VLOOKUP(N171,'Mã NV'!$A$3:$B$196,2,0)</f>
        <v>HR01</v>
      </c>
      <c r="N171" s="288" t="s">
        <v>119</v>
      </c>
      <c r="O171" s="380">
        <f>VLOOKUP(B171,'Tổng hợp (3)'!$C$4:$E$985,3,0)</f>
        <v>44691</v>
      </c>
      <c r="P171" s="378"/>
      <c r="Q171" s="43"/>
      <c r="R171" s="35" t="s">
        <v>272</v>
      </c>
    </row>
    <row r="172" spans="1:39" ht="35.25" customHeight="1">
      <c r="A172" s="15">
        <f t="shared" si="2"/>
        <v>162</v>
      </c>
      <c r="B172" s="141" t="s">
        <v>157</v>
      </c>
      <c r="C172" s="64" t="s">
        <v>156</v>
      </c>
      <c r="D172" s="169"/>
      <c r="E172" s="169"/>
      <c r="F172" s="169"/>
      <c r="G172" s="11" t="s">
        <v>156</v>
      </c>
      <c r="H172" s="141"/>
      <c r="I172" s="13" t="s">
        <v>18</v>
      </c>
      <c r="J172" s="13">
        <v>1</v>
      </c>
      <c r="K172" s="11" t="s">
        <v>730</v>
      </c>
      <c r="L172" s="141" t="s">
        <v>17</v>
      </c>
      <c r="M172" s="11" t="str">
        <f>VLOOKUP(N172,'Mã NV'!$A$3:$B$196,2,0)</f>
        <v>HR01</v>
      </c>
      <c r="N172" s="288" t="s">
        <v>119</v>
      </c>
      <c r="O172" s="380">
        <f>VLOOKUP(B172,'Tổng hợp (3)'!$C$4:$E$985,3,0)</f>
        <v>44691</v>
      </c>
      <c r="P172" s="378"/>
      <c r="Q172" s="43"/>
      <c r="R172" s="35" t="s">
        <v>272</v>
      </c>
    </row>
    <row r="173" spans="1:39" ht="35.25" customHeight="1">
      <c r="A173" s="15">
        <f t="shared" si="2"/>
        <v>163</v>
      </c>
      <c r="B173" s="141" t="s">
        <v>155</v>
      </c>
      <c r="C173" s="64" t="s">
        <v>154</v>
      </c>
      <c r="D173" s="169"/>
      <c r="E173" s="169"/>
      <c r="F173" s="169"/>
      <c r="G173" s="11" t="s">
        <v>154</v>
      </c>
      <c r="H173" s="141"/>
      <c r="I173" s="13" t="s">
        <v>18</v>
      </c>
      <c r="J173" s="13">
        <v>1</v>
      </c>
      <c r="K173" s="11" t="s">
        <v>730</v>
      </c>
      <c r="L173" s="141" t="s">
        <v>17</v>
      </c>
      <c r="M173" s="11" t="str">
        <f>VLOOKUP(N173,'Mã NV'!$A$3:$B$196,2,0)</f>
        <v>HR01</v>
      </c>
      <c r="N173" s="288" t="s">
        <v>119</v>
      </c>
      <c r="O173" s="380">
        <f>VLOOKUP(B173,'Tổng hợp (3)'!$C$4:$E$985,3,0)</f>
        <v>44719</v>
      </c>
      <c r="P173" s="378"/>
      <c r="Q173" s="43"/>
      <c r="R173" s="35" t="s">
        <v>272</v>
      </c>
    </row>
    <row r="174" spans="1:39" ht="35.25" hidden="1" customHeight="1">
      <c r="A174" s="15">
        <f t="shared" si="2"/>
        <v>164</v>
      </c>
      <c r="B174" s="141" t="s">
        <v>153</v>
      </c>
      <c r="C174" s="64" t="s">
        <v>152</v>
      </c>
      <c r="D174" s="169"/>
      <c r="E174" s="169"/>
      <c r="F174" s="169"/>
      <c r="G174" s="11"/>
      <c r="H174" s="141"/>
      <c r="I174" s="13" t="s">
        <v>18</v>
      </c>
      <c r="J174" s="13">
        <v>1</v>
      </c>
      <c r="K174" s="11" t="s">
        <v>730</v>
      </c>
      <c r="L174" s="141" t="s">
        <v>17</v>
      </c>
      <c r="M174" s="11" t="str">
        <f>VLOOKUP(N174,'Mã NV'!$A$3:$B$196,2,0)</f>
        <v>HR11</v>
      </c>
      <c r="N174" s="288" t="s">
        <v>151</v>
      </c>
      <c r="O174" s="387">
        <v>44562</v>
      </c>
      <c r="P174" s="371"/>
      <c r="Q174" s="43"/>
      <c r="R174" s="35"/>
    </row>
    <row r="175" spans="1:39" ht="35.25" hidden="1" customHeight="1">
      <c r="A175" s="15">
        <f t="shared" si="2"/>
        <v>165</v>
      </c>
      <c r="B175" s="141" t="s">
        <v>150</v>
      </c>
      <c r="C175" s="46" t="s">
        <v>147</v>
      </c>
      <c r="D175" s="169"/>
      <c r="E175" s="169"/>
      <c r="F175" s="169"/>
      <c r="G175" s="11"/>
      <c r="H175" s="141"/>
      <c r="I175" s="13" t="s">
        <v>18</v>
      </c>
      <c r="J175" s="15">
        <v>1</v>
      </c>
      <c r="K175" s="11" t="s">
        <v>730</v>
      </c>
      <c r="L175" s="141" t="s">
        <v>17</v>
      </c>
      <c r="M175" s="11" t="str">
        <f>VLOOKUP(N175,'Mã NV'!$A$3:$B$196,2,0)</f>
        <v>HR02</v>
      </c>
      <c r="N175" s="288" t="s">
        <v>106</v>
      </c>
      <c r="O175" s="387">
        <v>44197</v>
      </c>
      <c r="P175" s="371"/>
      <c r="Q175" s="43"/>
      <c r="R175" s="35"/>
    </row>
    <row r="176" spans="1:39" ht="35.25" hidden="1" customHeight="1">
      <c r="A176" s="15">
        <f t="shared" si="2"/>
        <v>166</v>
      </c>
      <c r="B176" s="141" t="s">
        <v>149</v>
      </c>
      <c r="C176" s="46" t="s">
        <v>147</v>
      </c>
      <c r="D176" s="169"/>
      <c r="E176" s="169"/>
      <c r="F176" s="169"/>
      <c r="G176" s="11"/>
      <c r="H176" s="141"/>
      <c r="I176" s="13" t="s">
        <v>18</v>
      </c>
      <c r="J176" s="15">
        <v>1</v>
      </c>
      <c r="K176" s="11" t="s">
        <v>730</v>
      </c>
      <c r="L176" s="141" t="s">
        <v>17</v>
      </c>
      <c r="M176" s="11" t="str">
        <f>VLOOKUP(N176,'Mã NV'!$A$3:$B$196,2,0)</f>
        <v>NV0013</v>
      </c>
      <c r="N176" s="288" t="s">
        <v>2523</v>
      </c>
      <c r="O176" s="387">
        <v>44197</v>
      </c>
      <c r="P176" s="371"/>
      <c r="Q176" s="43"/>
      <c r="R176" s="35"/>
    </row>
    <row r="177" spans="1:18" ht="35.25" customHeight="1">
      <c r="A177" s="15">
        <f t="shared" si="2"/>
        <v>167</v>
      </c>
      <c r="B177" s="141" t="s">
        <v>148</v>
      </c>
      <c r="C177" s="46" t="s">
        <v>147</v>
      </c>
      <c r="D177" s="169"/>
      <c r="E177" s="169"/>
      <c r="F177" s="169"/>
      <c r="G177" s="11"/>
      <c r="H177" s="141"/>
      <c r="I177" s="13" t="s">
        <v>18</v>
      </c>
      <c r="J177" s="15">
        <v>1</v>
      </c>
      <c r="K177" s="11" t="s">
        <v>730</v>
      </c>
      <c r="L177" s="141" t="s">
        <v>17</v>
      </c>
      <c r="M177" s="11" t="str">
        <f>VLOOKUP(N177,'Mã NV'!$A$3:$B$196,2,0)</f>
        <v>HR01</v>
      </c>
      <c r="N177" s="288" t="s">
        <v>119</v>
      </c>
      <c r="O177" s="387">
        <v>44197</v>
      </c>
      <c r="P177" s="371"/>
      <c r="Q177" s="43"/>
      <c r="R177" s="35"/>
    </row>
    <row r="178" spans="1:18" ht="35.25" hidden="1" customHeight="1">
      <c r="A178" s="15">
        <f t="shared" si="2"/>
        <v>168</v>
      </c>
      <c r="B178" s="141" t="s">
        <v>146</v>
      </c>
      <c r="C178" s="46" t="s">
        <v>143</v>
      </c>
      <c r="D178" s="169"/>
      <c r="E178" s="169"/>
      <c r="F178" s="169"/>
      <c r="G178" s="11"/>
      <c r="H178" s="141"/>
      <c r="I178" s="13" t="s">
        <v>18</v>
      </c>
      <c r="J178" s="15">
        <v>1</v>
      </c>
      <c r="K178" s="11" t="s">
        <v>730</v>
      </c>
      <c r="L178" s="141" t="s">
        <v>17</v>
      </c>
      <c r="M178" s="11" t="str">
        <f>VLOOKUP(N178,'Mã NV'!$A$3:$B$196,2,0)</f>
        <v>HR02</v>
      </c>
      <c r="N178" s="288" t="s">
        <v>106</v>
      </c>
      <c r="O178" s="387">
        <v>44197</v>
      </c>
      <c r="P178" s="371"/>
      <c r="Q178" s="43"/>
      <c r="R178" s="35"/>
    </row>
    <row r="179" spans="1:18" ht="35.25" hidden="1" customHeight="1">
      <c r="A179" s="15">
        <f t="shared" si="2"/>
        <v>169</v>
      </c>
      <c r="B179" s="141" t="s">
        <v>145</v>
      </c>
      <c r="C179" s="46" t="s">
        <v>143</v>
      </c>
      <c r="D179" s="169"/>
      <c r="E179" s="169"/>
      <c r="F179" s="169"/>
      <c r="G179" s="11"/>
      <c r="H179" s="141"/>
      <c r="I179" s="13" t="s">
        <v>18</v>
      </c>
      <c r="J179" s="15">
        <v>1</v>
      </c>
      <c r="K179" s="11" t="s">
        <v>730</v>
      </c>
      <c r="L179" s="141" t="s">
        <v>17</v>
      </c>
      <c r="M179" s="11" t="str">
        <f>VLOOKUP(N179,'Mã NV'!$A$3:$B$196,2,0)</f>
        <v>NV0013</v>
      </c>
      <c r="N179" s="288" t="s">
        <v>2523</v>
      </c>
      <c r="O179" s="387">
        <v>44197</v>
      </c>
      <c r="P179" s="371"/>
      <c r="Q179" s="43"/>
      <c r="R179" s="35"/>
    </row>
    <row r="180" spans="1:18" ht="35.25" customHeight="1">
      <c r="A180" s="15">
        <f t="shared" si="2"/>
        <v>170</v>
      </c>
      <c r="B180" s="141" t="s">
        <v>144</v>
      </c>
      <c r="C180" s="46" t="s">
        <v>143</v>
      </c>
      <c r="D180" s="169"/>
      <c r="E180" s="169"/>
      <c r="F180" s="169"/>
      <c r="G180" s="11"/>
      <c r="H180" s="141"/>
      <c r="I180" s="13" t="s">
        <v>18</v>
      </c>
      <c r="J180" s="15">
        <v>1</v>
      </c>
      <c r="K180" s="11" t="s">
        <v>730</v>
      </c>
      <c r="L180" s="141" t="s">
        <v>17</v>
      </c>
      <c r="M180" s="11" t="str">
        <f>VLOOKUP(N180,'Mã NV'!$A$3:$B$196,2,0)</f>
        <v>HR01</v>
      </c>
      <c r="N180" s="288" t="s">
        <v>119</v>
      </c>
      <c r="O180" s="387">
        <v>44197</v>
      </c>
      <c r="P180" s="371"/>
      <c r="Q180" s="43"/>
      <c r="R180" s="35"/>
    </row>
    <row r="181" spans="1:18" ht="35.25" customHeight="1">
      <c r="A181" s="15">
        <f t="shared" si="2"/>
        <v>171</v>
      </c>
      <c r="B181" s="141" t="s">
        <v>142</v>
      </c>
      <c r="C181" s="64" t="s">
        <v>139</v>
      </c>
      <c r="D181" s="156"/>
      <c r="E181" s="156"/>
      <c r="F181" s="156"/>
      <c r="G181" s="11" t="s">
        <v>141</v>
      </c>
      <c r="H181" s="141"/>
      <c r="I181" s="13" t="s">
        <v>18</v>
      </c>
      <c r="J181" s="15">
        <v>1</v>
      </c>
      <c r="K181" s="11" t="s">
        <v>730</v>
      </c>
      <c r="L181" s="141" t="s">
        <v>17</v>
      </c>
      <c r="M181" s="11" t="str">
        <f>VLOOKUP(N181,'Mã NV'!$A$3:$B$196,2,0)</f>
        <v>HR01</v>
      </c>
      <c r="N181" s="288" t="s">
        <v>119</v>
      </c>
      <c r="O181" s="387">
        <v>44197</v>
      </c>
      <c r="P181" s="371"/>
      <c r="Q181" s="43"/>
      <c r="R181" s="35" t="s">
        <v>272</v>
      </c>
    </row>
    <row r="182" spans="1:18" ht="35.25" customHeight="1">
      <c r="A182" s="15">
        <f t="shared" si="2"/>
        <v>172</v>
      </c>
      <c r="B182" s="141" t="s">
        <v>140</v>
      </c>
      <c r="C182" s="64" t="s">
        <v>139</v>
      </c>
      <c r="D182" s="156"/>
      <c r="E182" s="156"/>
      <c r="F182" s="156"/>
      <c r="G182" s="11" t="s">
        <v>138</v>
      </c>
      <c r="H182" s="141"/>
      <c r="I182" s="13" t="s">
        <v>18</v>
      </c>
      <c r="J182" s="15">
        <v>1</v>
      </c>
      <c r="K182" s="11" t="s">
        <v>730</v>
      </c>
      <c r="L182" s="141" t="s">
        <v>17</v>
      </c>
      <c r="M182" s="11" t="str">
        <f>VLOOKUP(N182,'Mã NV'!$A$3:$B$196,2,0)</f>
        <v>HR01</v>
      </c>
      <c r="N182" s="288" t="s">
        <v>119</v>
      </c>
      <c r="O182" s="387">
        <v>44197</v>
      </c>
      <c r="P182" s="371"/>
      <c r="Q182" s="43"/>
      <c r="R182" s="35" t="s">
        <v>272</v>
      </c>
    </row>
    <row r="183" spans="1:18" ht="35.25" hidden="1" customHeight="1">
      <c r="A183" s="15">
        <f t="shared" si="2"/>
        <v>173</v>
      </c>
      <c r="B183" s="141" t="s">
        <v>690</v>
      </c>
      <c r="C183" s="64" t="s">
        <v>32</v>
      </c>
      <c r="D183" s="156"/>
      <c r="E183" s="156"/>
      <c r="F183" s="156"/>
      <c r="G183" s="11"/>
      <c r="H183" s="141"/>
      <c r="I183" s="13" t="s">
        <v>18</v>
      </c>
      <c r="J183" s="15">
        <v>1</v>
      </c>
      <c r="K183" s="11" t="s">
        <v>730</v>
      </c>
      <c r="L183" s="141" t="s">
        <v>17</v>
      </c>
      <c r="M183" s="11" t="str">
        <f>VLOOKUP(N183,'Mã NV'!$A$3:$B$196,2,0)</f>
        <v>HR12</v>
      </c>
      <c r="N183" s="288" t="s">
        <v>117</v>
      </c>
      <c r="O183" s="387">
        <v>44197</v>
      </c>
      <c r="P183" s="371"/>
      <c r="Q183" s="43"/>
      <c r="R183" s="35"/>
    </row>
    <row r="184" spans="1:18" ht="35.25" hidden="1" customHeight="1">
      <c r="A184" s="15">
        <f t="shared" si="2"/>
        <v>174</v>
      </c>
      <c r="B184" s="141" t="s">
        <v>137</v>
      </c>
      <c r="C184" s="64" t="s">
        <v>32</v>
      </c>
      <c r="D184" s="156"/>
      <c r="E184" s="156"/>
      <c r="F184" s="156"/>
      <c r="G184" s="11"/>
      <c r="H184" s="141"/>
      <c r="I184" s="13" t="s">
        <v>18</v>
      </c>
      <c r="J184" s="15">
        <v>1</v>
      </c>
      <c r="K184" s="11" t="s">
        <v>730</v>
      </c>
      <c r="L184" s="141" t="s">
        <v>17</v>
      </c>
      <c r="M184" s="11" t="str">
        <f>VLOOKUP(N184,'Mã NV'!$A$3:$B$196,2,0)</f>
        <v>HR02</v>
      </c>
      <c r="N184" s="288" t="s">
        <v>106</v>
      </c>
      <c r="O184" s="387">
        <v>44197</v>
      </c>
      <c r="P184" s="371"/>
      <c r="Q184" s="43"/>
      <c r="R184" s="35"/>
    </row>
    <row r="185" spans="1:18" ht="35.25" hidden="1" customHeight="1">
      <c r="A185" s="15">
        <f t="shared" si="2"/>
        <v>175</v>
      </c>
      <c r="B185" s="141" t="s">
        <v>136</v>
      </c>
      <c r="C185" s="64" t="s">
        <v>32</v>
      </c>
      <c r="D185" s="156"/>
      <c r="E185" s="156"/>
      <c r="F185" s="156"/>
      <c r="G185" s="11"/>
      <c r="H185" s="141"/>
      <c r="I185" s="13" t="s">
        <v>18</v>
      </c>
      <c r="J185" s="15">
        <v>1</v>
      </c>
      <c r="K185" s="11" t="s">
        <v>730</v>
      </c>
      <c r="L185" s="141" t="s">
        <v>17</v>
      </c>
      <c r="M185" s="11" t="str">
        <f>VLOOKUP(N185,'Mã NV'!$A$3:$B$196,2,0)</f>
        <v>NV0013</v>
      </c>
      <c r="N185" s="288" t="s">
        <v>2523</v>
      </c>
      <c r="O185" s="380">
        <f>VLOOKUP(B185,'Tổng hợp (3)'!$C$4:$E$985,3,0)</f>
        <v>44721</v>
      </c>
      <c r="P185" s="378"/>
      <c r="Q185" s="43"/>
      <c r="R185" s="35"/>
    </row>
    <row r="186" spans="1:18" ht="35.25" customHeight="1">
      <c r="A186" s="15">
        <f t="shared" si="2"/>
        <v>176</v>
      </c>
      <c r="B186" s="141" t="s">
        <v>134</v>
      </c>
      <c r="C186" s="64" t="s">
        <v>32</v>
      </c>
      <c r="D186" s="156"/>
      <c r="E186" s="156"/>
      <c r="F186" s="156"/>
      <c r="G186" s="11"/>
      <c r="H186" s="141"/>
      <c r="I186" s="13" t="s">
        <v>18</v>
      </c>
      <c r="J186" s="15">
        <v>1</v>
      </c>
      <c r="K186" s="11" t="s">
        <v>730</v>
      </c>
      <c r="L186" s="141" t="s">
        <v>17</v>
      </c>
      <c r="M186" s="11" t="str">
        <f>VLOOKUP(N186,'Mã NV'!$A$3:$B$196,2,0)</f>
        <v>HR01</v>
      </c>
      <c r="N186" s="288" t="s">
        <v>119</v>
      </c>
      <c r="O186" s="387">
        <v>44197</v>
      </c>
      <c r="P186" s="371"/>
      <c r="Q186" s="43"/>
      <c r="R186" s="35"/>
    </row>
    <row r="187" spans="1:18" ht="35.25" hidden="1" customHeight="1">
      <c r="A187" s="15">
        <f t="shared" si="2"/>
        <v>177</v>
      </c>
      <c r="B187" s="141" t="s">
        <v>133</v>
      </c>
      <c r="C187" s="64" t="s">
        <v>132</v>
      </c>
      <c r="D187" s="156"/>
      <c r="E187" s="156"/>
      <c r="F187" s="156"/>
      <c r="G187" s="11" t="s">
        <v>131</v>
      </c>
      <c r="H187" s="141"/>
      <c r="I187" s="13" t="s">
        <v>18</v>
      </c>
      <c r="J187" s="15">
        <v>1</v>
      </c>
      <c r="K187" s="11" t="s">
        <v>730</v>
      </c>
      <c r="L187" s="141" t="s">
        <v>17</v>
      </c>
      <c r="M187" s="11" t="str">
        <f>VLOOKUP(N187,'Mã NV'!$A$3:$B$196,2,0)</f>
        <v>NV0013</v>
      </c>
      <c r="N187" s="288" t="s">
        <v>2523</v>
      </c>
      <c r="O187" s="387">
        <v>44197</v>
      </c>
      <c r="P187" s="371"/>
      <c r="Q187" s="145"/>
      <c r="R187" s="35"/>
    </row>
    <row r="188" spans="1:18" ht="35.25" hidden="1" customHeight="1">
      <c r="A188" s="15">
        <f t="shared" si="2"/>
        <v>178</v>
      </c>
      <c r="B188" s="141" t="s">
        <v>130</v>
      </c>
      <c r="C188" s="64" t="s">
        <v>129</v>
      </c>
      <c r="D188" s="156"/>
      <c r="E188" s="156"/>
      <c r="F188" s="156"/>
      <c r="G188" s="11" t="s">
        <v>128</v>
      </c>
      <c r="H188" s="141"/>
      <c r="I188" s="13" t="s">
        <v>18</v>
      </c>
      <c r="J188" s="15">
        <v>1</v>
      </c>
      <c r="K188" s="11" t="s">
        <v>730</v>
      </c>
      <c r="L188" s="141" t="s">
        <v>17</v>
      </c>
      <c r="M188" s="11" t="str">
        <f>VLOOKUP(N188,'Mã NV'!$A$3:$B$196,2,0)</f>
        <v>HR02</v>
      </c>
      <c r="N188" s="288" t="s">
        <v>106</v>
      </c>
      <c r="O188" s="387">
        <v>44197</v>
      </c>
      <c r="P188" s="371"/>
      <c r="Q188" s="145"/>
      <c r="R188" s="35"/>
    </row>
    <row r="189" spans="1:18" ht="35.25" customHeight="1">
      <c r="A189" s="15">
        <f t="shared" si="2"/>
        <v>179</v>
      </c>
      <c r="B189" s="141" t="s">
        <v>127</v>
      </c>
      <c r="C189" s="64" t="s">
        <v>126</v>
      </c>
      <c r="D189" s="156"/>
      <c r="E189" s="156"/>
      <c r="F189" s="156"/>
      <c r="G189" s="11" t="s">
        <v>125</v>
      </c>
      <c r="H189" s="141"/>
      <c r="I189" s="13" t="s">
        <v>18</v>
      </c>
      <c r="J189" s="15">
        <v>1</v>
      </c>
      <c r="K189" s="11" t="s">
        <v>730</v>
      </c>
      <c r="L189" s="141" t="s">
        <v>17</v>
      </c>
      <c r="M189" s="11" t="str">
        <f>VLOOKUP(N189,'Mã NV'!$A$3:$B$196,2,0)</f>
        <v>HR01</v>
      </c>
      <c r="N189" s="288" t="s">
        <v>119</v>
      </c>
      <c r="O189" s="387">
        <v>44197</v>
      </c>
      <c r="P189" s="371"/>
      <c r="Q189" s="156"/>
      <c r="R189" s="35"/>
    </row>
    <row r="190" spans="1:18" ht="35.25" hidden="1" customHeight="1">
      <c r="A190" s="15">
        <f t="shared" si="2"/>
        <v>180</v>
      </c>
      <c r="B190" s="141" t="s">
        <v>124</v>
      </c>
      <c r="C190" s="64" t="s">
        <v>120</v>
      </c>
      <c r="D190" s="156"/>
      <c r="E190" s="156"/>
      <c r="F190" s="156"/>
      <c r="G190" s="11"/>
      <c r="H190" s="141"/>
      <c r="I190" s="13" t="s">
        <v>18</v>
      </c>
      <c r="J190" s="15">
        <v>1</v>
      </c>
      <c r="K190" s="11" t="s">
        <v>730</v>
      </c>
      <c r="L190" s="141" t="s">
        <v>17</v>
      </c>
      <c r="M190" s="11" t="str">
        <f>VLOOKUP(N190,'Mã NV'!$A$3:$B$196,2,0)</f>
        <v>HR12</v>
      </c>
      <c r="N190" s="288" t="s">
        <v>117</v>
      </c>
      <c r="O190" s="387">
        <v>44197</v>
      </c>
      <c r="P190" s="371"/>
      <c r="Q190" s="156"/>
      <c r="R190" s="35"/>
    </row>
    <row r="191" spans="1:18" ht="35.25" hidden="1" customHeight="1">
      <c r="A191" s="15">
        <f t="shared" si="2"/>
        <v>181</v>
      </c>
      <c r="B191" s="141" t="s">
        <v>123</v>
      </c>
      <c r="C191" s="64" t="s">
        <v>120</v>
      </c>
      <c r="D191" s="156"/>
      <c r="E191" s="156"/>
      <c r="F191" s="156"/>
      <c r="G191" s="11"/>
      <c r="H191" s="141"/>
      <c r="I191" s="13" t="s">
        <v>18</v>
      </c>
      <c r="J191" s="15">
        <v>1</v>
      </c>
      <c r="K191" s="11" t="s">
        <v>730</v>
      </c>
      <c r="L191" s="141" t="s">
        <v>17</v>
      </c>
      <c r="M191" s="11" t="str">
        <f>VLOOKUP(N191,'Mã NV'!$A$3:$B$196,2,0)</f>
        <v>NV0013</v>
      </c>
      <c r="N191" s="288" t="s">
        <v>2523</v>
      </c>
      <c r="O191" s="387">
        <v>44197</v>
      </c>
      <c r="P191" s="371"/>
      <c r="Q191" s="156"/>
      <c r="R191" s="35"/>
    </row>
    <row r="192" spans="1:18" ht="35.25" hidden="1" customHeight="1">
      <c r="A192" s="15">
        <f t="shared" si="2"/>
        <v>182</v>
      </c>
      <c r="B192" s="141" t="s">
        <v>122</v>
      </c>
      <c r="C192" s="64" t="s">
        <v>120</v>
      </c>
      <c r="D192" s="156"/>
      <c r="E192" s="156"/>
      <c r="F192" s="156"/>
      <c r="G192" s="11"/>
      <c r="H192" s="141"/>
      <c r="I192" s="13" t="s">
        <v>18</v>
      </c>
      <c r="J192" s="15">
        <v>1</v>
      </c>
      <c r="K192" s="11" t="s">
        <v>730</v>
      </c>
      <c r="L192" s="141" t="s">
        <v>17</v>
      </c>
      <c r="M192" s="11" t="str">
        <f>VLOOKUP(N192,'Mã NV'!$A$3:$B$196,2,0)</f>
        <v>HR02</v>
      </c>
      <c r="N192" s="288" t="s">
        <v>106</v>
      </c>
      <c r="O192" s="387">
        <v>44197</v>
      </c>
      <c r="P192" s="371"/>
      <c r="Q192" s="156"/>
      <c r="R192" s="35"/>
    </row>
    <row r="193" spans="1:18" ht="35.25" customHeight="1">
      <c r="A193" s="15">
        <f t="shared" si="2"/>
        <v>183</v>
      </c>
      <c r="B193" s="141" t="s">
        <v>121</v>
      </c>
      <c r="C193" s="64" t="s">
        <v>120</v>
      </c>
      <c r="D193" s="156"/>
      <c r="E193" s="156"/>
      <c r="F193" s="156"/>
      <c r="G193" s="11"/>
      <c r="H193" s="141"/>
      <c r="I193" s="13" t="s">
        <v>18</v>
      </c>
      <c r="J193" s="15">
        <v>1</v>
      </c>
      <c r="K193" s="11" t="s">
        <v>730</v>
      </c>
      <c r="L193" s="141" t="s">
        <v>17</v>
      </c>
      <c r="M193" s="11" t="str">
        <f>VLOOKUP(N193,'Mã NV'!$A$3:$B$196,2,0)</f>
        <v>HR01</v>
      </c>
      <c r="N193" s="288" t="s">
        <v>119</v>
      </c>
      <c r="O193" s="387">
        <v>44197</v>
      </c>
      <c r="P193" s="371"/>
      <c r="Q193" s="156"/>
      <c r="R193" s="35"/>
    </row>
    <row r="194" spans="1:18" ht="35.25" hidden="1" customHeight="1">
      <c r="A194" s="15">
        <f t="shared" si="2"/>
        <v>184</v>
      </c>
      <c r="B194" s="141" t="s">
        <v>118</v>
      </c>
      <c r="C194" s="64" t="s">
        <v>115</v>
      </c>
      <c r="D194" s="156"/>
      <c r="E194" s="156"/>
      <c r="F194" s="156"/>
      <c r="G194" s="11"/>
      <c r="H194" s="141"/>
      <c r="I194" s="13" t="s">
        <v>18</v>
      </c>
      <c r="J194" s="15">
        <v>1</v>
      </c>
      <c r="K194" s="11" t="s">
        <v>730</v>
      </c>
      <c r="L194" s="141" t="s">
        <v>17</v>
      </c>
      <c r="M194" s="11" t="str">
        <f>VLOOKUP(N194,'Mã NV'!$A$3:$B$196,2,0)</f>
        <v>HR12</v>
      </c>
      <c r="N194" s="288" t="s">
        <v>117</v>
      </c>
      <c r="O194" s="387">
        <v>44197</v>
      </c>
      <c r="P194" s="371"/>
      <c r="Q194" s="156"/>
      <c r="R194" s="35"/>
    </row>
    <row r="195" spans="1:18" ht="35.25" hidden="1" customHeight="1">
      <c r="A195" s="15">
        <f t="shared" si="2"/>
        <v>185</v>
      </c>
      <c r="B195" s="141" t="s">
        <v>857</v>
      </c>
      <c r="C195" s="64" t="s">
        <v>858</v>
      </c>
      <c r="D195" s="43"/>
      <c r="E195" s="43"/>
      <c r="F195" s="43"/>
      <c r="G195" s="11"/>
      <c r="H195" s="141"/>
      <c r="I195" s="13" t="s">
        <v>18</v>
      </c>
      <c r="J195" s="15">
        <v>1</v>
      </c>
      <c r="K195" s="11" t="s">
        <v>730</v>
      </c>
      <c r="L195" s="141" t="s">
        <v>17</v>
      </c>
      <c r="M195" s="11" t="str">
        <f>VLOOKUP(N195,'Mã NV'!$A$3:$B$196,2,0)</f>
        <v>HR12</v>
      </c>
      <c r="N195" s="288" t="s">
        <v>117</v>
      </c>
      <c r="O195" s="387">
        <v>44197</v>
      </c>
      <c r="P195" s="371"/>
      <c r="Q195" s="156"/>
      <c r="R195" s="35"/>
    </row>
    <row r="196" spans="1:18" ht="35.25" hidden="1" customHeight="1">
      <c r="A196" s="15">
        <f t="shared" si="2"/>
        <v>186</v>
      </c>
      <c r="B196" s="141" t="s">
        <v>116</v>
      </c>
      <c r="C196" s="64" t="s">
        <v>115</v>
      </c>
      <c r="D196" s="46"/>
      <c r="E196" s="46"/>
      <c r="F196" s="46"/>
      <c r="G196" s="11"/>
      <c r="H196" s="141"/>
      <c r="I196" s="13" t="s">
        <v>18</v>
      </c>
      <c r="J196" s="15">
        <v>1</v>
      </c>
      <c r="K196" s="11" t="s">
        <v>730</v>
      </c>
      <c r="L196" s="141" t="s">
        <v>17</v>
      </c>
      <c r="M196" s="11" t="str">
        <f>VLOOKUP(N196,'Mã NV'!$A$3:$B$196,2,0)</f>
        <v>NV0013</v>
      </c>
      <c r="N196" s="288" t="s">
        <v>2523</v>
      </c>
      <c r="O196" s="387">
        <v>44197</v>
      </c>
      <c r="P196" s="371"/>
      <c r="Q196" s="156"/>
      <c r="R196" s="35"/>
    </row>
    <row r="197" spans="1:18" ht="35.25" hidden="1" customHeight="1">
      <c r="A197" s="15">
        <f t="shared" si="2"/>
        <v>187</v>
      </c>
      <c r="B197" s="141" t="s">
        <v>113</v>
      </c>
      <c r="C197" s="64" t="s">
        <v>112</v>
      </c>
      <c r="D197" s="46"/>
      <c r="E197" s="46"/>
      <c r="F197" s="46"/>
      <c r="G197" s="11"/>
      <c r="H197" s="141"/>
      <c r="I197" s="13" t="s">
        <v>18</v>
      </c>
      <c r="J197" s="15">
        <v>1</v>
      </c>
      <c r="K197" s="11" t="s">
        <v>730</v>
      </c>
      <c r="L197" s="141" t="s">
        <v>17</v>
      </c>
      <c r="M197" s="11" t="str">
        <f>VLOOKUP(N197,'Mã NV'!$A$3:$B$196,2,0)</f>
        <v>HR02</v>
      </c>
      <c r="N197" s="288" t="s">
        <v>106</v>
      </c>
      <c r="O197" s="387">
        <v>44197</v>
      </c>
      <c r="P197" s="371"/>
      <c r="Q197" s="156"/>
      <c r="R197" s="35"/>
    </row>
    <row r="198" spans="1:18" ht="35.25" hidden="1" customHeight="1">
      <c r="A198" s="15">
        <f t="shared" si="2"/>
        <v>188</v>
      </c>
      <c r="B198" s="141" t="s">
        <v>111</v>
      </c>
      <c r="C198" s="64" t="s">
        <v>110</v>
      </c>
      <c r="D198" s="46"/>
      <c r="E198" s="46"/>
      <c r="F198" s="46"/>
      <c r="G198" s="11"/>
      <c r="H198" s="141"/>
      <c r="I198" s="13" t="s">
        <v>18</v>
      </c>
      <c r="J198" s="15">
        <v>1</v>
      </c>
      <c r="K198" s="11" t="s">
        <v>730</v>
      </c>
      <c r="L198" s="141" t="s">
        <v>17</v>
      </c>
      <c r="M198" s="11" t="str">
        <f>VLOOKUP(N198,'Mã NV'!$A$3:$B$196,2,0)</f>
        <v>HR02</v>
      </c>
      <c r="N198" s="288" t="s">
        <v>106</v>
      </c>
      <c r="O198" s="387">
        <v>44197</v>
      </c>
      <c r="P198" s="371"/>
      <c r="Q198" s="156"/>
      <c r="R198" s="35"/>
    </row>
    <row r="199" spans="1:18" ht="35.25" hidden="1" customHeight="1">
      <c r="A199" s="15">
        <f t="shared" si="2"/>
        <v>189</v>
      </c>
      <c r="B199" s="141" t="s">
        <v>109</v>
      </c>
      <c r="C199" s="64" t="s">
        <v>108</v>
      </c>
      <c r="D199" s="156"/>
      <c r="E199" s="156"/>
      <c r="F199" s="156"/>
      <c r="G199" s="11" t="s">
        <v>107</v>
      </c>
      <c r="H199" s="141"/>
      <c r="I199" s="13" t="s">
        <v>18</v>
      </c>
      <c r="J199" s="15">
        <v>1</v>
      </c>
      <c r="K199" s="11" t="s">
        <v>730</v>
      </c>
      <c r="L199" s="141" t="s">
        <v>17</v>
      </c>
      <c r="M199" s="11" t="str">
        <f>VLOOKUP(N199,'Mã NV'!$A$3:$B$196,2,0)</f>
        <v>HR02</v>
      </c>
      <c r="N199" s="288" t="s">
        <v>106</v>
      </c>
      <c r="O199" s="387">
        <v>44197</v>
      </c>
      <c r="P199" s="371"/>
      <c r="Q199" s="156"/>
      <c r="R199" s="35"/>
    </row>
    <row r="200" spans="1:18" ht="35.25" customHeight="1">
      <c r="A200" s="15">
        <f t="shared" si="2"/>
        <v>190</v>
      </c>
      <c r="B200" s="141" t="s">
        <v>105</v>
      </c>
      <c r="C200" s="64" t="s">
        <v>104</v>
      </c>
      <c r="D200" s="156"/>
      <c r="E200" s="156"/>
      <c r="F200" s="156"/>
      <c r="G200" s="11"/>
      <c r="H200" s="141"/>
      <c r="I200" s="13" t="s">
        <v>76</v>
      </c>
      <c r="J200" s="15">
        <v>1</v>
      </c>
      <c r="K200" s="11" t="s">
        <v>730</v>
      </c>
      <c r="L200" s="141" t="s">
        <v>17</v>
      </c>
      <c r="M200" s="11" t="str">
        <f>VLOOKUP(N200,'Mã NV'!$A$3:$B$196,2,0)</f>
        <v>HR01</v>
      </c>
      <c r="N200" s="291" t="s">
        <v>119</v>
      </c>
      <c r="O200" s="387">
        <v>44197</v>
      </c>
      <c r="P200" s="371"/>
      <c r="Q200" s="156"/>
      <c r="R200" s="35" t="s">
        <v>103</v>
      </c>
    </row>
    <row r="201" spans="1:18" ht="35.25" customHeight="1">
      <c r="A201" s="15">
        <f t="shared" si="2"/>
        <v>191</v>
      </c>
      <c r="B201" s="141" t="s">
        <v>102</v>
      </c>
      <c r="C201" s="64" t="s">
        <v>101</v>
      </c>
      <c r="D201" s="156"/>
      <c r="E201" s="156"/>
      <c r="F201" s="156"/>
      <c r="G201" s="11"/>
      <c r="H201" s="141"/>
      <c r="I201" s="13" t="s">
        <v>76</v>
      </c>
      <c r="J201" s="15">
        <v>1</v>
      </c>
      <c r="K201" s="11" t="s">
        <v>730</v>
      </c>
      <c r="L201" s="141" t="s">
        <v>17</v>
      </c>
      <c r="M201" s="11" t="str">
        <f>VLOOKUP(N201,'Mã NV'!$A$3:$B$196,2,0)</f>
        <v>HR01</v>
      </c>
      <c r="N201" s="291" t="s">
        <v>119</v>
      </c>
      <c r="O201" s="387">
        <v>44197</v>
      </c>
      <c r="P201" s="371"/>
      <c r="Q201" s="156"/>
      <c r="R201" s="35" t="s">
        <v>100</v>
      </c>
    </row>
    <row r="202" spans="1:18" ht="35.25" customHeight="1">
      <c r="A202" s="15">
        <f t="shared" si="2"/>
        <v>192</v>
      </c>
      <c r="B202" s="141" t="s">
        <v>99</v>
      </c>
      <c r="C202" s="64" t="s">
        <v>98</v>
      </c>
      <c r="D202" s="156"/>
      <c r="E202" s="156"/>
      <c r="F202" s="156"/>
      <c r="G202" s="11"/>
      <c r="H202" s="141"/>
      <c r="I202" s="13" t="s">
        <v>76</v>
      </c>
      <c r="J202" s="15">
        <v>1</v>
      </c>
      <c r="K202" s="11" t="s">
        <v>730</v>
      </c>
      <c r="L202" s="141" t="s">
        <v>17</v>
      </c>
      <c r="M202" s="11" t="str">
        <f>VLOOKUP(N202,'Mã NV'!$A$3:$B$196,2,0)</f>
        <v>HR01</v>
      </c>
      <c r="N202" s="291" t="s">
        <v>119</v>
      </c>
      <c r="O202" s="387">
        <v>44197</v>
      </c>
      <c r="P202" s="371"/>
      <c r="Q202" s="156"/>
      <c r="R202" s="35" t="s">
        <v>97</v>
      </c>
    </row>
    <row r="203" spans="1:18" ht="35.25" customHeight="1">
      <c r="A203" s="15">
        <f t="shared" si="2"/>
        <v>193</v>
      </c>
      <c r="B203" s="141" t="s">
        <v>96</v>
      </c>
      <c r="C203" s="64" t="s">
        <v>859</v>
      </c>
      <c r="D203" s="156"/>
      <c r="E203" s="156"/>
      <c r="F203" s="156"/>
      <c r="G203" s="11" t="s">
        <v>90</v>
      </c>
      <c r="H203" s="141"/>
      <c r="I203" s="13" t="s">
        <v>89</v>
      </c>
      <c r="J203" s="15">
        <v>1</v>
      </c>
      <c r="K203" s="11" t="s">
        <v>730</v>
      </c>
      <c r="L203" s="141" t="s">
        <v>17</v>
      </c>
      <c r="M203" s="11" t="str">
        <f>VLOOKUP(N203,'Mã NV'!$A$3:$B$196,2,0)</f>
        <v>HR01</v>
      </c>
      <c r="N203" s="291" t="s">
        <v>119</v>
      </c>
      <c r="O203" s="387">
        <v>44197</v>
      </c>
      <c r="P203" s="371"/>
      <c r="Q203" s="156"/>
      <c r="R203" s="35" t="s">
        <v>80</v>
      </c>
    </row>
    <row r="204" spans="1:18" ht="35.25" customHeight="1">
      <c r="A204" s="15">
        <f t="shared" si="2"/>
        <v>194</v>
      </c>
      <c r="B204" s="141" t="s">
        <v>95</v>
      </c>
      <c r="C204" s="64" t="s">
        <v>859</v>
      </c>
      <c r="D204" s="156"/>
      <c r="E204" s="156"/>
      <c r="F204" s="156"/>
      <c r="G204" s="11" t="s">
        <v>90</v>
      </c>
      <c r="H204" s="141"/>
      <c r="I204" s="13" t="s">
        <v>89</v>
      </c>
      <c r="J204" s="15">
        <v>1</v>
      </c>
      <c r="K204" s="11" t="s">
        <v>730</v>
      </c>
      <c r="L204" s="141" t="s">
        <v>17</v>
      </c>
      <c r="M204" s="11" t="str">
        <f>VLOOKUP(N204,'Mã NV'!$A$3:$B$196,2,0)</f>
        <v>HR01</v>
      </c>
      <c r="N204" s="291" t="s">
        <v>119</v>
      </c>
      <c r="O204" s="387">
        <v>44197</v>
      </c>
      <c r="P204" s="371"/>
      <c r="Q204" s="156"/>
      <c r="R204" s="35" t="s">
        <v>80</v>
      </c>
    </row>
    <row r="205" spans="1:18" ht="35.25" customHeight="1">
      <c r="A205" s="15">
        <f t="shared" ref="A205:A268" si="3">A204+1</f>
        <v>195</v>
      </c>
      <c r="B205" s="141" t="s">
        <v>94</v>
      </c>
      <c r="C205" s="64" t="s">
        <v>859</v>
      </c>
      <c r="D205" s="156"/>
      <c r="E205" s="156"/>
      <c r="F205" s="156"/>
      <c r="G205" s="11" t="s">
        <v>90</v>
      </c>
      <c r="H205" s="141"/>
      <c r="I205" s="13" t="s">
        <v>89</v>
      </c>
      <c r="J205" s="15">
        <v>1</v>
      </c>
      <c r="K205" s="11" t="s">
        <v>730</v>
      </c>
      <c r="L205" s="141" t="s">
        <v>17</v>
      </c>
      <c r="M205" s="11" t="str">
        <f>VLOOKUP(N205,'Mã NV'!$A$3:$B$196,2,0)</f>
        <v>HR01</v>
      </c>
      <c r="N205" s="291" t="s">
        <v>119</v>
      </c>
      <c r="O205" s="387">
        <v>44197</v>
      </c>
      <c r="P205" s="371"/>
      <c r="Q205" s="156"/>
      <c r="R205" s="35" t="s">
        <v>93</v>
      </c>
    </row>
    <row r="206" spans="1:18" ht="35.25" customHeight="1">
      <c r="A206" s="15">
        <f t="shared" si="3"/>
        <v>196</v>
      </c>
      <c r="B206" s="141" t="s">
        <v>92</v>
      </c>
      <c r="C206" s="64" t="s">
        <v>859</v>
      </c>
      <c r="D206" s="156"/>
      <c r="E206" s="156"/>
      <c r="F206" s="156"/>
      <c r="G206" s="11" t="s">
        <v>90</v>
      </c>
      <c r="H206" s="141"/>
      <c r="I206" s="13" t="s">
        <v>89</v>
      </c>
      <c r="J206" s="15">
        <v>1</v>
      </c>
      <c r="K206" s="11" t="s">
        <v>730</v>
      </c>
      <c r="L206" s="141" t="s">
        <v>17</v>
      </c>
      <c r="M206" s="11" t="str">
        <f>VLOOKUP(N206,'Mã NV'!$A$3:$B$196,2,0)</f>
        <v>HR01</v>
      </c>
      <c r="N206" s="291" t="s">
        <v>119</v>
      </c>
      <c r="O206" s="387">
        <v>44197</v>
      </c>
      <c r="P206" s="371"/>
      <c r="Q206" s="156"/>
      <c r="R206" s="35" t="s">
        <v>88</v>
      </c>
    </row>
    <row r="207" spans="1:18" ht="35.25" customHeight="1">
      <c r="A207" s="15">
        <f t="shared" si="3"/>
        <v>197</v>
      </c>
      <c r="B207" s="141" t="s">
        <v>860</v>
      </c>
      <c r="C207" s="64" t="s">
        <v>859</v>
      </c>
      <c r="D207" s="156"/>
      <c r="E207" s="156"/>
      <c r="F207" s="156"/>
      <c r="G207" s="11" t="s">
        <v>90</v>
      </c>
      <c r="H207" s="141"/>
      <c r="I207" s="13" t="s">
        <v>89</v>
      </c>
      <c r="J207" s="15">
        <v>1</v>
      </c>
      <c r="K207" s="11" t="s">
        <v>730</v>
      </c>
      <c r="L207" s="141" t="s">
        <v>17</v>
      </c>
      <c r="M207" s="11" t="str">
        <f>VLOOKUP(N207,'Mã NV'!$A$3:$B$196,2,0)</f>
        <v>HR01</v>
      </c>
      <c r="N207" s="291" t="s">
        <v>119</v>
      </c>
      <c r="O207" s="387">
        <v>44197</v>
      </c>
      <c r="P207" s="371"/>
      <c r="Q207" s="156"/>
      <c r="R207" s="35" t="s">
        <v>2641</v>
      </c>
    </row>
    <row r="208" spans="1:18" ht="35.25" customHeight="1">
      <c r="A208" s="15">
        <f t="shared" si="3"/>
        <v>198</v>
      </c>
      <c r="B208" s="141" t="s">
        <v>861</v>
      </c>
      <c r="C208" s="64" t="s">
        <v>859</v>
      </c>
      <c r="D208" s="176"/>
      <c r="E208" s="176"/>
      <c r="F208" s="176"/>
      <c r="G208" s="11" t="s">
        <v>90</v>
      </c>
      <c r="H208" s="141"/>
      <c r="I208" s="13" t="s">
        <v>89</v>
      </c>
      <c r="J208" s="15">
        <v>1</v>
      </c>
      <c r="K208" s="11" t="s">
        <v>730</v>
      </c>
      <c r="L208" s="141" t="s">
        <v>17</v>
      </c>
      <c r="M208" s="11" t="str">
        <f>VLOOKUP(N208,'Mã NV'!$A$3:$B$196,2,0)</f>
        <v>HR01</v>
      </c>
      <c r="N208" s="291" t="s">
        <v>119</v>
      </c>
      <c r="O208" s="387">
        <v>44197</v>
      </c>
      <c r="P208" s="371"/>
      <c r="Q208" s="156"/>
      <c r="R208" s="35" t="s">
        <v>2642</v>
      </c>
    </row>
    <row r="209" spans="1:18" ht="35.25" customHeight="1">
      <c r="A209" s="15">
        <f t="shared" si="3"/>
        <v>199</v>
      </c>
      <c r="B209" s="141" t="s">
        <v>87</v>
      </c>
      <c r="C209" s="64" t="s">
        <v>86</v>
      </c>
      <c r="D209" s="43"/>
      <c r="E209" s="43"/>
      <c r="F209" s="43"/>
      <c r="G209" s="11" t="s">
        <v>85</v>
      </c>
      <c r="H209" s="141"/>
      <c r="I209" s="13" t="s">
        <v>18</v>
      </c>
      <c r="J209" s="15">
        <v>1</v>
      </c>
      <c r="K209" s="11" t="s">
        <v>730</v>
      </c>
      <c r="L209" s="141" t="s">
        <v>17</v>
      </c>
      <c r="M209" s="11" t="str">
        <f>VLOOKUP(N209,'Mã NV'!$A$3:$B$196,2,0)</f>
        <v>HR01</v>
      </c>
      <c r="N209" s="291" t="s">
        <v>119</v>
      </c>
      <c r="O209" s="387">
        <v>44197</v>
      </c>
      <c r="P209" s="371"/>
      <c r="Q209" s="156"/>
      <c r="R209" s="35" t="s">
        <v>272</v>
      </c>
    </row>
    <row r="210" spans="1:18" ht="35.25" customHeight="1">
      <c r="A210" s="15">
        <f t="shared" si="3"/>
        <v>200</v>
      </c>
      <c r="B210" s="141" t="s">
        <v>84</v>
      </c>
      <c r="C210" s="64" t="s">
        <v>83</v>
      </c>
      <c r="D210" s="156"/>
      <c r="E210" s="156"/>
      <c r="F210" s="156"/>
      <c r="G210" s="11"/>
      <c r="H210" s="141"/>
      <c r="I210" s="13" t="s">
        <v>18</v>
      </c>
      <c r="J210" s="15">
        <v>1</v>
      </c>
      <c r="K210" s="11" t="s">
        <v>730</v>
      </c>
      <c r="L210" s="141" t="s">
        <v>17</v>
      </c>
      <c r="M210" s="11" t="str">
        <f>VLOOKUP(N210,'Mã NV'!$A$3:$B$196,2,0)</f>
        <v>HR01</v>
      </c>
      <c r="N210" s="291" t="s">
        <v>119</v>
      </c>
      <c r="O210" s="382" t="s">
        <v>4267</v>
      </c>
      <c r="P210" s="371"/>
      <c r="Q210" s="145"/>
      <c r="R210" s="35" t="s">
        <v>272</v>
      </c>
    </row>
    <row r="211" spans="1:18" ht="35.25" customHeight="1">
      <c r="A211" s="15">
        <f t="shared" si="3"/>
        <v>201</v>
      </c>
      <c r="B211" s="141" t="s">
        <v>82</v>
      </c>
      <c r="C211" s="64" t="s">
        <v>81</v>
      </c>
      <c r="D211" s="19"/>
      <c r="E211" s="19"/>
      <c r="F211" s="19"/>
      <c r="G211" s="11"/>
      <c r="H211" s="141"/>
      <c r="I211" s="13" t="s">
        <v>18</v>
      </c>
      <c r="J211" s="15">
        <v>1</v>
      </c>
      <c r="K211" s="11" t="s">
        <v>730</v>
      </c>
      <c r="L211" s="141" t="s">
        <v>17</v>
      </c>
      <c r="M211" s="11" t="str">
        <f>VLOOKUP(N211,'Mã NV'!$A$3:$B$196,2,0)</f>
        <v>HR01</v>
      </c>
      <c r="N211" s="291" t="s">
        <v>119</v>
      </c>
      <c r="O211" s="387">
        <v>44197</v>
      </c>
      <c r="P211" s="371"/>
      <c r="Q211" s="43"/>
      <c r="R211" s="35" t="s">
        <v>80</v>
      </c>
    </row>
    <row r="212" spans="1:18" ht="35.25" customHeight="1">
      <c r="A212" s="15">
        <f t="shared" si="3"/>
        <v>202</v>
      </c>
      <c r="B212" s="141" t="s">
        <v>79</v>
      </c>
      <c r="C212" s="64" t="s">
        <v>77</v>
      </c>
      <c r="D212" s="19"/>
      <c r="E212" s="19"/>
      <c r="F212" s="19"/>
      <c r="G212" s="11"/>
      <c r="H212" s="141"/>
      <c r="I212" s="13" t="s">
        <v>76</v>
      </c>
      <c r="J212" s="15">
        <v>1</v>
      </c>
      <c r="K212" s="11" t="s">
        <v>730</v>
      </c>
      <c r="L212" s="141" t="s">
        <v>17</v>
      </c>
      <c r="M212" s="11" t="str">
        <f>VLOOKUP(N212,'Mã NV'!$A$3:$B$196,2,0)</f>
        <v>HR01</v>
      </c>
      <c r="N212" s="291" t="s">
        <v>119</v>
      </c>
      <c r="O212" s="387">
        <v>44197</v>
      </c>
      <c r="P212" s="371"/>
      <c r="Q212" s="43"/>
      <c r="R212" s="35" t="s">
        <v>75</v>
      </c>
    </row>
    <row r="213" spans="1:18" ht="35.25" customHeight="1">
      <c r="A213" s="15">
        <f t="shared" si="3"/>
        <v>203</v>
      </c>
      <c r="B213" s="141" t="s">
        <v>78</v>
      </c>
      <c r="C213" s="64" t="s">
        <v>77</v>
      </c>
      <c r="D213" s="19"/>
      <c r="E213" s="19"/>
      <c r="F213" s="19"/>
      <c r="G213" s="11"/>
      <c r="H213" s="141"/>
      <c r="I213" s="13" t="s">
        <v>76</v>
      </c>
      <c r="J213" s="15">
        <v>1</v>
      </c>
      <c r="K213" s="11" t="s">
        <v>730</v>
      </c>
      <c r="L213" s="141" t="s">
        <v>17</v>
      </c>
      <c r="M213" s="11" t="str">
        <f>VLOOKUP(N213,'Mã NV'!$A$3:$B$196,2,0)</f>
        <v>HR01</v>
      </c>
      <c r="N213" s="291" t="s">
        <v>119</v>
      </c>
      <c r="O213" s="387">
        <v>44197</v>
      </c>
      <c r="P213" s="371"/>
      <c r="Q213" s="43"/>
      <c r="R213" s="35" t="s">
        <v>75</v>
      </c>
    </row>
    <row r="214" spans="1:18" ht="35.25" customHeight="1">
      <c r="A214" s="15">
        <f t="shared" si="3"/>
        <v>204</v>
      </c>
      <c r="B214" s="141" t="s">
        <v>74</v>
      </c>
      <c r="C214" s="64" t="s">
        <v>28</v>
      </c>
      <c r="D214" s="19"/>
      <c r="E214" s="19"/>
      <c r="F214" s="19"/>
      <c r="G214" s="11"/>
      <c r="H214" s="141"/>
      <c r="I214" s="13" t="s">
        <v>18</v>
      </c>
      <c r="J214" s="15">
        <v>1</v>
      </c>
      <c r="K214" s="11" t="s">
        <v>730</v>
      </c>
      <c r="L214" s="141" t="s">
        <v>17</v>
      </c>
      <c r="M214" s="11" t="str">
        <f>VLOOKUP(N214,'Mã NV'!$A$3:$B$196,2,0)</f>
        <v>HR01</v>
      </c>
      <c r="N214" s="291" t="s">
        <v>119</v>
      </c>
      <c r="O214" s="387">
        <v>44197</v>
      </c>
      <c r="P214" s="371"/>
      <c r="Q214" s="43"/>
      <c r="R214" s="35" t="s">
        <v>272</v>
      </c>
    </row>
    <row r="215" spans="1:18" ht="35.25" customHeight="1">
      <c r="A215" s="15">
        <f t="shared" si="3"/>
        <v>205</v>
      </c>
      <c r="B215" s="141" t="s">
        <v>73</v>
      </c>
      <c r="C215" s="64" t="s">
        <v>72</v>
      </c>
      <c r="D215" s="19"/>
      <c r="E215" s="19"/>
      <c r="F215" s="19"/>
      <c r="G215" s="11"/>
      <c r="H215" s="141"/>
      <c r="I215" s="13" t="s">
        <v>18</v>
      </c>
      <c r="J215" s="15">
        <v>1</v>
      </c>
      <c r="K215" s="11" t="s">
        <v>730</v>
      </c>
      <c r="L215" s="141" t="s">
        <v>17</v>
      </c>
      <c r="M215" s="11" t="str">
        <f>VLOOKUP(N215,'Mã NV'!$A$3:$B$196,2,0)</f>
        <v>HR01</v>
      </c>
      <c r="N215" s="291" t="s">
        <v>119</v>
      </c>
      <c r="O215" s="387">
        <v>44197</v>
      </c>
      <c r="P215" s="371"/>
      <c r="Q215" s="43"/>
      <c r="R215" s="35" t="s">
        <v>272</v>
      </c>
    </row>
    <row r="216" spans="1:18" ht="35.25" customHeight="1">
      <c r="A216" s="15">
        <f t="shared" si="3"/>
        <v>206</v>
      </c>
      <c r="B216" s="141" t="s">
        <v>71</v>
      </c>
      <c r="C216" s="64" t="s">
        <v>70</v>
      </c>
      <c r="D216" s="19"/>
      <c r="E216" s="19"/>
      <c r="F216" s="19"/>
      <c r="G216" s="11"/>
      <c r="H216" s="141"/>
      <c r="I216" s="13" t="s">
        <v>18</v>
      </c>
      <c r="J216" s="15">
        <v>1</v>
      </c>
      <c r="K216" s="11" t="s">
        <v>730</v>
      </c>
      <c r="L216" s="141" t="s">
        <v>17</v>
      </c>
      <c r="M216" s="11" t="str">
        <f>VLOOKUP(N216,'Mã NV'!$A$3:$B$196,2,0)</f>
        <v>HR01</v>
      </c>
      <c r="N216" s="291" t="s">
        <v>119</v>
      </c>
      <c r="O216" s="387">
        <v>44197</v>
      </c>
      <c r="P216" s="371"/>
      <c r="Q216" s="43"/>
      <c r="R216" s="35" t="s">
        <v>272</v>
      </c>
    </row>
    <row r="217" spans="1:18" ht="35.25" customHeight="1">
      <c r="A217" s="15">
        <f t="shared" si="3"/>
        <v>207</v>
      </c>
      <c r="B217" s="141" t="s">
        <v>69</v>
      </c>
      <c r="C217" s="64" t="s">
        <v>68</v>
      </c>
      <c r="D217" s="19"/>
      <c r="E217" s="19"/>
      <c r="F217" s="19"/>
      <c r="G217" s="11"/>
      <c r="H217" s="141"/>
      <c r="I217" s="13" t="s">
        <v>18</v>
      </c>
      <c r="J217" s="15">
        <v>1</v>
      </c>
      <c r="K217" s="11" t="s">
        <v>730</v>
      </c>
      <c r="L217" s="141" t="s">
        <v>17</v>
      </c>
      <c r="M217" s="11" t="str">
        <f>VLOOKUP(N217,'Mã NV'!$A$3:$B$196,2,0)</f>
        <v>HR01</v>
      </c>
      <c r="N217" s="291" t="s">
        <v>119</v>
      </c>
      <c r="O217" s="387">
        <v>44197</v>
      </c>
      <c r="P217" s="371"/>
      <c r="Q217" s="43"/>
      <c r="R217" s="35" t="s">
        <v>272</v>
      </c>
    </row>
    <row r="218" spans="1:18" ht="35.25" customHeight="1">
      <c r="A218" s="15">
        <f t="shared" si="3"/>
        <v>208</v>
      </c>
      <c r="B218" s="141" t="s">
        <v>67</v>
      </c>
      <c r="C218" s="64" t="s">
        <v>66</v>
      </c>
      <c r="D218" s="19"/>
      <c r="E218" s="19"/>
      <c r="F218" s="19"/>
      <c r="G218" s="11" t="s">
        <v>65</v>
      </c>
      <c r="H218" s="141"/>
      <c r="I218" s="13" t="s">
        <v>18</v>
      </c>
      <c r="J218" s="15">
        <v>1</v>
      </c>
      <c r="K218" s="11" t="s">
        <v>730</v>
      </c>
      <c r="L218" s="141" t="s">
        <v>17</v>
      </c>
      <c r="M218" s="11" t="str">
        <f>VLOOKUP(N218,'Mã NV'!$A$3:$B$196,2,0)</f>
        <v>HR01</v>
      </c>
      <c r="N218" s="291" t="s">
        <v>119</v>
      </c>
      <c r="O218" s="387">
        <v>44197</v>
      </c>
      <c r="P218" s="371"/>
      <c r="Q218" s="43"/>
      <c r="R218" s="35" t="s">
        <v>272</v>
      </c>
    </row>
    <row r="219" spans="1:18" ht="35.25" customHeight="1">
      <c r="A219" s="15">
        <f t="shared" si="3"/>
        <v>209</v>
      </c>
      <c r="B219" s="141" t="s">
        <v>64</v>
      </c>
      <c r="C219" s="64" t="s">
        <v>61</v>
      </c>
      <c r="D219" s="19"/>
      <c r="E219" s="19"/>
      <c r="F219" s="19"/>
      <c r="G219" s="11" t="s">
        <v>63</v>
      </c>
      <c r="H219" s="141"/>
      <c r="I219" s="13" t="s">
        <v>18</v>
      </c>
      <c r="J219" s="15">
        <v>1</v>
      </c>
      <c r="K219" s="11" t="s">
        <v>730</v>
      </c>
      <c r="L219" s="141" t="s">
        <v>17</v>
      </c>
      <c r="M219" s="11" t="str">
        <f>VLOOKUP(N219,'Mã NV'!$A$3:$B$196,2,0)</f>
        <v>HR01</v>
      </c>
      <c r="N219" s="291" t="s">
        <v>119</v>
      </c>
      <c r="O219" s="387">
        <v>44197</v>
      </c>
      <c r="P219" s="371"/>
      <c r="Q219" s="43"/>
      <c r="R219" s="35" t="s">
        <v>272</v>
      </c>
    </row>
    <row r="220" spans="1:18" ht="35.25" customHeight="1">
      <c r="A220" s="15">
        <f t="shared" si="3"/>
        <v>210</v>
      </c>
      <c r="B220" s="141" t="s">
        <v>62</v>
      </c>
      <c r="C220" s="64" t="s">
        <v>61</v>
      </c>
      <c r="D220" s="19"/>
      <c r="E220" s="19"/>
      <c r="F220" s="19"/>
      <c r="G220" s="11" t="s">
        <v>60</v>
      </c>
      <c r="H220" s="141"/>
      <c r="I220" s="13" t="s">
        <v>18</v>
      </c>
      <c r="J220" s="15">
        <v>1</v>
      </c>
      <c r="K220" s="11" t="s">
        <v>730</v>
      </c>
      <c r="L220" s="141" t="s">
        <v>17</v>
      </c>
      <c r="M220" s="11" t="str">
        <f>VLOOKUP(N220,'Mã NV'!$A$3:$B$196,2,0)</f>
        <v>HR01</v>
      </c>
      <c r="N220" s="291" t="s">
        <v>119</v>
      </c>
      <c r="O220" s="387">
        <v>44197</v>
      </c>
      <c r="P220" s="371"/>
      <c r="Q220" s="43"/>
      <c r="R220" s="35" t="s">
        <v>272</v>
      </c>
    </row>
    <row r="221" spans="1:18" ht="35.25" customHeight="1">
      <c r="A221" s="15">
        <f t="shared" si="3"/>
        <v>211</v>
      </c>
      <c r="B221" s="141" t="s">
        <v>59</v>
      </c>
      <c r="C221" s="64" t="s">
        <v>58</v>
      </c>
      <c r="D221" s="19"/>
      <c r="E221" s="19"/>
      <c r="F221" s="19"/>
      <c r="G221" s="11" t="s">
        <v>57</v>
      </c>
      <c r="H221" s="141"/>
      <c r="I221" s="13" t="s">
        <v>18</v>
      </c>
      <c r="J221" s="15">
        <v>1</v>
      </c>
      <c r="K221" s="11" t="s">
        <v>730</v>
      </c>
      <c r="L221" s="141" t="s">
        <v>17</v>
      </c>
      <c r="M221" s="11" t="str">
        <f>VLOOKUP(N221,'Mã NV'!$A$3:$B$196,2,0)</f>
        <v>HR01</v>
      </c>
      <c r="N221" s="291" t="s">
        <v>119</v>
      </c>
      <c r="O221" s="387">
        <v>44197</v>
      </c>
      <c r="P221" s="371"/>
      <c r="Q221" s="43"/>
      <c r="R221" s="35" t="s">
        <v>272</v>
      </c>
    </row>
    <row r="222" spans="1:18" ht="35.25" customHeight="1">
      <c r="A222" s="15">
        <f t="shared" si="3"/>
        <v>212</v>
      </c>
      <c r="B222" s="141" t="s">
        <v>56</v>
      </c>
      <c r="C222" s="64" t="s">
        <v>862</v>
      </c>
      <c r="D222" s="19"/>
      <c r="E222" s="19"/>
      <c r="F222" s="19"/>
      <c r="G222" s="11"/>
      <c r="H222" s="141"/>
      <c r="I222" s="13" t="s">
        <v>18</v>
      </c>
      <c r="J222" s="15">
        <v>1</v>
      </c>
      <c r="K222" s="11" t="s">
        <v>730</v>
      </c>
      <c r="L222" s="141" t="s">
        <v>17</v>
      </c>
      <c r="M222" s="11" t="str">
        <f>VLOOKUP(N222,'Mã NV'!$A$3:$B$196,2,0)</f>
        <v>HR01</v>
      </c>
      <c r="N222" s="291" t="s">
        <v>119</v>
      </c>
      <c r="O222" s="387">
        <v>44197</v>
      </c>
      <c r="P222" s="371"/>
      <c r="Q222" s="43"/>
      <c r="R222" s="35" t="s">
        <v>272</v>
      </c>
    </row>
    <row r="223" spans="1:18" ht="35.25" customHeight="1">
      <c r="A223" s="15">
        <f t="shared" si="3"/>
        <v>213</v>
      </c>
      <c r="B223" s="141" t="s">
        <v>54</v>
      </c>
      <c r="C223" s="64" t="s">
        <v>53</v>
      </c>
      <c r="D223" s="19"/>
      <c r="E223" s="19"/>
      <c r="F223" s="19"/>
      <c r="G223" s="11"/>
      <c r="H223" s="141"/>
      <c r="I223" s="13" t="s">
        <v>18</v>
      </c>
      <c r="J223" s="15">
        <v>1</v>
      </c>
      <c r="K223" s="11" t="s">
        <v>730</v>
      </c>
      <c r="L223" s="141" t="s">
        <v>17</v>
      </c>
      <c r="M223" s="11" t="str">
        <f>VLOOKUP(N223,'Mã NV'!$A$3:$B$196,2,0)</f>
        <v>HR01</v>
      </c>
      <c r="N223" s="291" t="s">
        <v>119</v>
      </c>
      <c r="O223" s="387">
        <v>44197</v>
      </c>
      <c r="P223" s="371"/>
      <c r="Q223" s="43"/>
      <c r="R223" s="35" t="s">
        <v>272</v>
      </c>
    </row>
    <row r="224" spans="1:18" ht="35.25" customHeight="1">
      <c r="A224" s="15">
        <f t="shared" si="3"/>
        <v>214</v>
      </c>
      <c r="B224" s="141" t="s">
        <v>52</v>
      </c>
      <c r="C224" s="64" t="s">
        <v>51</v>
      </c>
      <c r="D224" s="19"/>
      <c r="E224" s="19"/>
      <c r="F224" s="19"/>
      <c r="G224" s="11"/>
      <c r="H224" s="141"/>
      <c r="I224" s="13" t="s">
        <v>18</v>
      </c>
      <c r="J224" s="15">
        <v>1</v>
      </c>
      <c r="K224" s="11" t="s">
        <v>730</v>
      </c>
      <c r="L224" s="141" t="s">
        <v>17</v>
      </c>
      <c r="M224" s="11" t="str">
        <f>VLOOKUP(N224,'Mã NV'!$A$3:$B$196,2,0)</f>
        <v>HR01</v>
      </c>
      <c r="N224" s="291" t="s">
        <v>119</v>
      </c>
      <c r="O224" s="387">
        <v>44197</v>
      </c>
      <c r="P224" s="371"/>
      <c r="Q224" s="43"/>
      <c r="R224" s="35" t="s">
        <v>272</v>
      </c>
    </row>
    <row r="225" spans="1:18" ht="35.25" customHeight="1">
      <c r="A225" s="15">
        <f t="shared" si="3"/>
        <v>215</v>
      </c>
      <c r="B225" s="141" t="s">
        <v>50</v>
      </c>
      <c r="C225" s="64" t="s">
        <v>49</v>
      </c>
      <c r="D225" s="19"/>
      <c r="E225" s="19"/>
      <c r="F225" s="19"/>
      <c r="G225" s="11" t="s">
        <v>48</v>
      </c>
      <c r="H225" s="141"/>
      <c r="I225" s="13" t="s">
        <v>18</v>
      </c>
      <c r="J225" s="15">
        <v>1</v>
      </c>
      <c r="K225" s="11" t="s">
        <v>730</v>
      </c>
      <c r="L225" s="141" t="s">
        <v>17</v>
      </c>
      <c r="M225" s="11" t="str">
        <f>VLOOKUP(N225,'Mã NV'!$A$3:$B$196,2,0)</f>
        <v>HR01</v>
      </c>
      <c r="N225" s="291" t="s">
        <v>119</v>
      </c>
      <c r="O225" s="387">
        <v>44197</v>
      </c>
      <c r="P225" s="371"/>
      <c r="Q225" s="43"/>
      <c r="R225" s="35" t="s">
        <v>272</v>
      </c>
    </row>
    <row r="226" spans="1:18" ht="35.25" customHeight="1">
      <c r="A226" s="15">
        <f t="shared" si="3"/>
        <v>216</v>
      </c>
      <c r="B226" s="141" t="s">
        <v>47</v>
      </c>
      <c r="C226" s="64" t="s">
        <v>46</v>
      </c>
      <c r="D226" s="19"/>
      <c r="E226" s="19"/>
      <c r="F226" s="19"/>
      <c r="G226" s="11" t="s">
        <v>45</v>
      </c>
      <c r="H226" s="141"/>
      <c r="I226" s="13" t="s">
        <v>18</v>
      </c>
      <c r="J226" s="15">
        <v>18</v>
      </c>
      <c r="K226" s="11" t="s">
        <v>730</v>
      </c>
      <c r="L226" s="141" t="s">
        <v>17</v>
      </c>
      <c r="M226" s="11" t="str">
        <f>VLOOKUP(N226,'Mã NV'!$A$3:$B$196,2,0)</f>
        <v>HR01</v>
      </c>
      <c r="N226" s="291" t="s">
        <v>119</v>
      </c>
      <c r="O226" s="387">
        <v>44197</v>
      </c>
      <c r="P226" s="371"/>
      <c r="Q226" s="43"/>
      <c r="R226" s="35" t="s">
        <v>44</v>
      </c>
    </row>
    <row r="227" spans="1:18" ht="35.25" customHeight="1">
      <c r="A227" s="15">
        <f t="shared" si="3"/>
        <v>217</v>
      </c>
      <c r="B227" s="141" t="s">
        <v>43</v>
      </c>
      <c r="C227" s="64" t="s">
        <v>42</v>
      </c>
      <c r="D227" s="19"/>
      <c r="E227" s="19"/>
      <c r="F227" s="19"/>
      <c r="G227" s="11"/>
      <c r="H227" s="141"/>
      <c r="I227" s="13" t="s">
        <v>18</v>
      </c>
      <c r="J227" s="15">
        <v>1</v>
      </c>
      <c r="K227" s="11" t="s">
        <v>730</v>
      </c>
      <c r="L227" s="141" t="s">
        <v>17</v>
      </c>
      <c r="M227" s="11" t="str">
        <f>VLOOKUP(N227,'Mã NV'!$A$3:$B$196,2,0)</f>
        <v>HR01</v>
      </c>
      <c r="N227" s="291" t="s">
        <v>119</v>
      </c>
      <c r="O227" s="387">
        <v>44197</v>
      </c>
      <c r="P227" s="371"/>
      <c r="Q227" s="43"/>
      <c r="R227" s="64" t="s">
        <v>37</v>
      </c>
    </row>
    <row r="228" spans="1:18" ht="35.25" customHeight="1">
      <c r="A228" s="15">
        <f t="shared" si="3"/>
        <v>218</v>
      </c>
      <c r="B228" s="141" t="s">
        <v>41</v>
      </c>
      <c r="C228" s="64" t="s">
        <v>4259</v>
      </c>
      <c r="D228" s="19"/>
      <c r="E228" s="19"/>
      <c r="F228" s="19"/>
      <c r="G228" s="11"/>
      <c r="H228" s="141"/>
      <c r="I228" s="13" t="s">
        <v>18</v>
      </c>
      <c r="J228" s="15">
        <v>1</v>
      </c>
      <c r="K228" s="11" t="s">
        <v>730</v>
      </c>
      <c r="L228" s="141" t="s">
        <v>17</v>
      </c>
      <c r="M228" s="11" t="str">
        <f>VLOOKUP(N228,'Mã NV'!$A$3:$B$196,2,0)</f>
        <v>HR01</v>
      </c>
      <c r="N228" s="291" t="s">
        <v>119</v>
      </c>
      <c r="O228" s="387">
        <v>44197</v>
      </c>
      <c r="P228" s="371"/>
      <c r="Q228" s="43"/>
      <c r="R228" s="64" t="s">
        <v>39</v>
      </c>
    </row>
    <row r="229" spans="1:18" ht="35.25" customHeight="1">
      <c r="A229" s="15">
        <f t="shared" si="3"/>
        <v>219</v>
      </c>
      <c r="B229" s="141" t="s">
        <v>863</v>
      </c>
      <c r="C229" s="64" t="s">
        <v>35</v>
      </c>
      <c r="D229" s="19"/>
      <c r="E229" s="19"/>
      <c r="F229" s="19"/>
      <c r="G229" s="11"/>
      <c r="H229" s="141"/>
      <c r="I229" s="13" t="s">
        <v>18</v>
      </c>
      <c r="J229" s="15">
        <v>1</v>
      </c>
      <c r="K229" s="11" t="s">
        <v>730</v>
      </c>
      <c r="L229" s="141" t="s">
        <v>17</v>
      </c>
      <c r="M229" s="11" t="str">
        <f>VLOOKUP(N229,'Mã NV'!$A$3:$B$196,2,0)</f>
        <v>HR01</v>
      </c>
      <c r="N229" s="291" t="s">
        <v>119</v>
      </c>
      <c r="O229" s="387">
        <v>44197</v>
      </c>
      <c r="P229" s="371"/>
      <c r="Q229" s="43"/>
      <c r="R229" s="64" t="s">
        <v>37</v>
      </c>
    </row>
    <row r="230" spans="1:18" ht="35.25" customHeight="1">
      <c r="A230" s="15">
        <f t="shared" si="3"/>
        <v>220</v>
      </c>
      <c r="B230" s="141" t="s">
        <v>864</v>
      </c>
      <c r="C230" s="64" t="s">
        <v>35</v>
      </c>
      <c r="D230" s="19"/>
      <c r="E230" s="19"/>
      <c r="F230" s="19"/>
      <c r="G230" s="11"/>
      <c r="H230" s="141"/>
      <c r="I230" s="13" t="s">
        <v>18</v>
      </c>
      <c r="J230" s="15">
        <v>1</v>
      </c>
      <c r="K230" s="11" t="s">
        <v>730</v>
      </c>
      <c r="L230" s="141" t="s">
        <v>17</v>
      </c>
      <c r="M230" s="11" t="str">
        <f>VLOOKUP(N230,'Mã NV'!$A$3:$B$196,2,0)</f>
        <v>HR01</v>
      </c>
      <c r="N230" s="291" t="s">
        <v>119</v>
      </c>
      <c r="O230" s="387">
        <v>44197</v>
      </c>
      <c r="P230" s="371"/>
      <c r="Q230" s="43"/>
      <c r="R230" s="64" t="s">
        <v>37</v>
      </c>
    </row>
    <row r="231" spans="1:18" ht="35.25" customHeight="1">
      <c r="A231" s="15">
        <f t="shared" si="3"/>
        <v>221</v>
      </c>
      <c r="B231" s="141" t="s">
        <v>865</v>
      </c>
      <c r="C231" s="64" t="s">
        <v>35</v>
      </c>
      <c r="D231" s="19"/>
      <c r="E231" s="19"/>
      <c r="F231" s="19"/>
      <c r="G231" s="11"/>
      <c r="H231" s="141"/>
      <c r="I231" s="13" t="s">
        <v>18</v>
      </c>
      <c r="J231" s="15">
        <v>1</v>
      </c>
      <c r="K231" s="11" t="s">
        <v>730</v>
      </c>
      <c r="L231" s="141" t="s">
        <v>17</v>
      </c>
      <c r="M231" s="11" t="str">
        <f>VLOOKUP(N231,'Mã NV'!$A$3:$B$196,2,0)</f>
        <v>HR01</v>
      </c>
      <c r="N231" s="291" t="s">
        <v>119</v>
      </c>
      <c r="O231" s="387">
        <v>44197</v>
      </c>
      <c r="P231" s="371"/>
      <c r="Q231" s="43"/>
      <c r="R231" s="64" t="s">
        <v>37</v>
      </c>
    </row>
    <row r="232" spans="1:18" ht="35.25" customHeight="1">
      <c r="A232" s="15">
        <f t="shared" si="3"/>
        <v>222</v>
      </c>
      <c r="B232" s="141" t="s">
        <v>866</v>
      </c>
      <c r="C232" s="64" t="s">
        <v>35</v>
      </c>
      <c r="D232" s="19"/>
      <c r="E232" s="19"/>
      <c r="F232" s="19"/>
      <c r="G232" s="11"/>
      <c r="H232" s="141"/>
      <c r="I232" s="13" t="s">
        <v>18</v>
      </c>
      <c r="J232" s="15">
        <v>1</v>
      </c>
      <c r="K232" s="11" t="s">
        <v>730</v>
      </c>
      <c r="L232" s="141" t="s">
        <v>17</v>
      </c>
      <c r="M232" s="11" t="str">
        <f>VLOOKUP(N232,'Mã NV'!$A$3:$B$196,2,0)</f>
        <v>HR01</v>
      </c>
      <c r="N232" s="291" t="s">
        <v>119</v>
      </c>
      <c r="O232" s="387">
        <v>44197</v>
      </c>
      <c r="P232" s="371"/>
      <c r="Q232" s="43"/>
      <c r="R232" s="64" t="s">
        <v>37</v>
      </c>
    </row>
    <row r="233" spans="1:18" ht="35.25" customHeight="1">
      <c r="A233" s="15">
        <f t="shared" si="3"/>
        <v>223</v>
      </c>
      <c r="B233" s="141" t="s">
        <v>867</v>
      </c>
      <c r="C233" s="64" t="s">
        <v>35</v>
      </c>
      <c r="D233" s="19"/>
      <c r="E233" s="19"/>
      <c r="F233" s="19"/>
      <c r="G233" s="11"/>
      <c r="H233" s="141"/>
      <c r="I233" s="13" t="s">
        <v>18</v>
      </c>
      <c r="J233" s="15">
        <v>1</v>
      </c>
      <c r="K233" s="11" t="s">
        <v>730</v>
      </c>
      <c r="L233" s="141" t="s">
        <v>17</v>
      </c>
      <c r="M233" s="11" t="str">
        <f>VLOOKUP(N233,'Mã NV'!$A$3:$B$196,2,0)</f>
        <v>HR01</v>
      </c>
      <c r="N233" s="291" t="s">
        <v>119</v>
      </c>
      <c r="O233" s="387">
        <v>44197</v>
      </c>
      <c r="P233" s="371"/>
      <c r="Q233" s="43"/>
      <c r="R233" s="64" t="s">
        <v>37</v>
      </c>
    </row>
    <row r="234" spans="1:18" ht="35.25" customHeight="1">
      <c r="A234" s="15">
        <f t="shared" si="3"/>
        <v>224</v>
      </c>
      <c r="B234" s="141" t="s">
        <v>868</v>
      </c>
      <c r="C234" s="64" t="s">
        <v>35</v>
      </c>
      <c r="D234" s="46"/>
      <c r="E234" s="46"/>
      <c r="F234" s="46"/>
      <c r="G234" s="11"/>
      <c r="H234" s="141"/>
      <c r="I234" s="13" t="s">
        <v>18</v>
      </c>
      <c r="J234" s="15">
        <v>1</v>
      </c>
      <c r="K234" s="11" t="s">
        <v>730</v>
      </c>
      <c r="L234" s="141" t="s">
        <v>17</v>
      </c>
      <c r="M234" s="11" t="str">
        <f>VLOOKUP(N234,'Mã NV'!$A$3:$B$196,2,0)</f>
        <v>HR01</v>
      </c>
      <c r="N234" s="291" t="s">
        <v>119</v>
      </c>
      <c r="O234" s="387">
        <v>44197</v>
      </c>
      <c r="P234" s="371"/>
      <c r="Q234" s="43"/>
      <c r="R234" s="64" t="s">
        <v>37</v>
      </c>
    </row>
    <row r="235" spans="1:18" ht="35.25" customHeight="1">
      <c r="A235" s="15">
        <f t="shared" si="3"/>
        <v>225</v>
      </c>
      <c r="B235" s="141" t="s">
        <v>869</v>
      </c>
      <c r="C235" s="64" t="s">
        <v>35</v>
      </c>
      <c r="D235" s="19"/>
      <c r="E235" s="19"/>
      <c r="F235" s="19"/>
      <c r="G235" s="11"/>
      <c r="H235" s="141"/>
      <c r="I235" s="13" t="s">
        <v>18</v>
      </c>
      <c r="J235" s="15">
        <v>1</v>
      </c>
      <c r="K235" s="11" t="s">
        <v>730</v>
      </c>
      <c r="L235" s="141" t="s">
        <v>17</v>
      </c>
      <c r="M235" s="11" t="str">
        <f>VLOOKUP(N235,'Mã NV'!$A$3:$B$196,2,0)</f>
        <v>HR01</v>
      </c>
      <c r="N235" s="291" t="s">
        <v>119</v>
      </c>
      <c r="O235" s="387">
        <v>44197</v>
      </c>
      <c r="P235" s="371"/>
      <c r="Q235" s="43"/>
      <c r="R235" s="64" t="s">
        <v>37</v>
      </c>
    </row>
    <row r="236" spans="1:18" ht="35.25" customHeight="1">
      <c r="A236" s="15">
        <f t="shared" si="3"/>
        <v>226</v>
      </c>
      <c r="B236" s="141" t="s">
        <v>870</v>
      </c>
      <c r="C236" s="64" t="s">
        <v>35</v>
      </c>
      <c r="D236" s="46"/>
      <c r="E236" s="46"/>
      <c r="F236" s="46"/>
      <c r="G236" s="11"/>
      <c r="H236" s="141"/>
      <c r="I236" s="13" t="s">
        <v>18</v>
      </c>
      <c r="J236" s="15">
        <v>1</v>
      </c>
      <c r="K236" s="11" t="s">
        <v>730</v>
      </c>
      <c r="L236" s="141" t="s">
        <v>17</v>
      </c>
      <c r="M236" s="11" t="str">
        <f>VLOOKUP(N236,'Mã NV'!$A$3:$B$196,2,0)</f>
        <v>HR01</v>
      </c>
      <c r="N236" s="291" t="s">
        <v>119</v>
      </c>
      <c r="O236" s="387">
        <v>44197</v>
      </c>
      <c r="P236" s="371"/>
      <c r="Q236" s="43"/>
      <c r="R236" s="64" t="s">
        <v>37</v>
      </c>
    </row>
    <row r="237" spans="1:18" ht="35.25" customHeight="1">
      <c r="A237" s="15">
        <f t="shared" si="3"/>
        <v>227</v>
      </c>
      <c r="B237" s="141" t="s">
        <v>871</v>
      </c>
      <c r="C237" s="64" t="s">
        <v>35</v>
      </c>
      <c r="D237" s="46"/>
      <c r="E237" s="46"/>
      <c r="F237" s="46"/>
      <c r="G237" s="11"/>
      <c r="H237" s="141"/>
      <c r="I237" s="13" t="s">
        <v>18</v>
      </c>
      <c r="J237" s="15">
        <v>1</v>
      </c>
      <c r="K237" s="11" t="s">
        <v>730</v>
      </c>
      <c r="L237" s="141" t="s">
        <v>17</v>
      </c>
      <c r="M237" s="11" t="str">
        <f>VLOOKUP(N237,'Mã NV'!$A$3:$B$196,2,0)</f>
        <v>HR01</v>
      </c>
      <c r="N237" s="291" t="s">
        <v>119</v>
      </c>
      <c r="O237" s="387">
        <v>44197</v>
      </c>
      <c r="P237" s="371"/>
      <c r="Q237" s="43"/>
      <c r="R237" s="64" t="s">
        <v>37</v>
      </c>
    </row>
    <row r="238" spans="1:18" ht="35.25" customHeight="1">
      <c r="A238" s="15">
        <f t="shared" si="3"/>
        <v>228</v>
      </c>
      <c r="B238" s="141" t="s">
        <v>872</v>
      </c>
      <c r="C238" s="64" t="s">
        <v>35</v>
      </c>
      <c r="D238" s="46"/>
      <c r="E238" s="46"/>
      <c r="F238" s="46"/>
      <c r="G238" s="11"/>
      <c r="H238" s="141"/>
      <c r="I238" s="13" t="s">
        <v>18</v>
      </c>
      <c r="J238" s="15">
        <v>1</v>
      </c>
      <c r="K238" s="11" t="s">
        <v>730</v>
      </c>
      <c r="L238" s="141" t="s">
        <v>17</v>
      </c>
      <c r="M238" s="11" t="str">
        <f>VLOOKUP(N238,'Mã NV'!$A$3:$B$196,2,0)</f>
        <v>HR01</v>
      </c>
      <c r="N238" s="291" t="s">
        <v>119</v>
      </c>
      <c r="O238" s="387">
        <v>44197</v>
      </c>
      <c r="P238" s="371"/>
      <c r="Q238" s="43"/>
      <c r="R238" s="64" t="s">
        <v>37</v>
      </c>
    </row>
    <row r="239" spans="1:18" ht="35.25" customHeight="1">
      <c r="A239" s="15">
        <f t="shared" si="3"/>
        <v>229</v>
      </c>
      <c r="B239" s="141" t="s">
        <v>873</v>
      </c>
      <c r="C239" s="64" t="s">
        <v>35</v>
      </c>
      <c r="D239" s="46"/>
      <c r="E239" s="46"/>
      <c r="F239" s="46"/>
      <c r="G239" s="11"/>
      <c r="H239" s="141"/>
      <c r="I239" s="13" t="s">
        <v>18</v>
      </c>
      <c r="J239" s="15">
        <v>1</v>
      </c>
      <c r="K239" s="11" t="s">
        <v>730</v>
      </c>
      <c r="L239" s="141" t="s">
        <v>17</v>
      </c>
      <c r="M239" s="11" t="str">
        <f>VLOOKUP(N239,'Mã NV'!$A$3:$B$196,2,0)</f>
        <v>HR01</v>
      </c>
      <c r="N239" s="291" t="s">
        <v>119</v>
      </c>
      <c r="O239" s="387">
        <v>44197</v>
      </c>
      <c r="P239" s="371"/>
      <c r="Q239" s="43"/>
      <c r="R239" s="64" t="s">
        <v>37</v>
      </c>
    </row>
    <row r="240" spans="1:18" ht="35.25" customHeight="1">
      <c r="A240" s="15">
        <f t="shared" si="3"/>
        <v>230</v>
      </c>
      <c r="B240" s="141" t="s">
        <v>874</v>
      </c>
      <c r="C240" s="64" t="s">
        <v>35</v>
      </c>
      <c r="D240" s="19"/>
      <c r="E240" s="19"/>
      <c r="F240" s="19"/>
      <c r="G240" s="11"/>
      <c r="H240" s="141"/>
      <c r="I240" s="13" t="s">
        <v>18</v>
      </c>
      <c r="J240" s="15">
        <v>1</v>
      </c>
      <c r="K240" s="11" t="s">
        <v>730</v>
      </c>
      <c r="L240" s="141" t="s">
        <v>17</v>
      </c>
      <c r="M240" s="11" t="str">
        <f>VLOOKUP(N240,'Mã NV'!$A$3:$B$196,2,0)</f>
        <v>HR01</v>
      </c>
      <c r="N240" s="291" t="s">
        <v>119</v>
      </c>
      <c r="O240" s="387">
        <v>44197</v>
      </c>
      <c r="P240" s="371"/>
      <c r="Q240" s="43"/>
      <c r="R240" s="64" t="s">
        <v>37</v>
      </c>
    </row>
    <row r="241" spans="1:18" ht="35.25" customHeight="1">
      <c r="A241" s="15">
        <f t="shared" si="3"/>
        <v>231</v>
      </c>
      <c r="B241" s="141" t="s">
        <v>875</v>
      </c>
      <c r="C241" s="64" t="s">
        <v>35</v>
      </c>
      <c r="D241" s="19"/>
      <c r="E241" s="19"/>
      <c r="F241" s="19"/>
      <c r="G241" s="11"/>
      <c r="H241" s="141"/>
      <c r="I241" s="13" t="s">
        <v>18</v>
      </c>
      <c r="J241" s="15">
        <v>1</v>
      </c>
      <c r="K241" s="11" t="s">
        <v>730</v>
      </c>
      <c r="L241" s="141" t="s">
        <v>17</v>
      </c>
      <c r="M241" s="11" t="str">
        <f>VLOOKUP(N241,'Mã NV'!$A$3:$B$196,2,0)</f>
        <v>HR01</v>
      </c>
      <c r="N241" s="291" t="s">
        <v>119</v>
      </c>
      <c r="O241" s="387">
        <v>44197</v>
      </c>
      <c r="P241" s="371"/>
      <c r="Q241" s="43"/>
      <c r="R241" s="64" t="s">
        <v>37</v>
      </c>
    </row>
    <row r="242" spans="1:18" ht="35.25" customHeight="1">
      <c r="A242" s="15">
        <f t="shared" si="3"/>
        <v>232</v>
      </c>
      <c r="B242" s="141" t="s">
        <v>876</v>
      </c>
      <c r="C242" s="64" t="s">
        <v>35</v>
      </c>
      <c r="D242" s="19"/>
      <c r="E242" s="19"/>
      <c r="F242" s="19"/>
      <c r="G242" s="11"/>
      <c r="H242" s="141"/>
      <c r="I242" s="13" t="s">
        <v>18</v>
      </c>
      <c r="J242" s="15">
        <v>1</v>
      </c>
      <c r="K242" s="11" t="s">
        <v>730</v>
      </c>
      <c r="L242" s="141" t="s">
        <v>17</v>
      </c>
      <c r="M242" s="11" t="str">
        <f>VLOOKUP(N242,'Mã NV'!$A$3:$B$196,2,0)</f>
        <v>HR01</v>
      </c>
      <c r="N242" s="291" t="s">
        <v>119</v>
      </c>
      <c r="O242" s="387">
        <v>44197</v>
      </c>
      <c r="P242" s="371"/>
      <c r="Q242" s="43"/>
      <c r="R242" s="64" t="s">
        <v>37</v>
      </c>
    </row>
    <row r="243" spans="1:18" ht="35.25" customHeight="1">
      <c r="A243" s="15">
        <f t="shared" si="3"/>
        <v>233</v>
      </c>
      <c r="B243" s="141" t="s">
        <v>877</v>
      </c>
      <c r="C243" s="64" t="s">
        <v>35</v>
      </c>
      <c r="D243" s="19"/>
      <c r="E243" s="19"/>
      <c r="F243" s="19"/>
      <c r="G243" s="11"/>
      <c r="H243" s="141"/>
      <c r="I243" s="13" t="s">
        <v>18</v>
      </c>
      <c r="J243" s="15">
        <v>1</v>
      </c>
      <c r="K243" s="11" t="s">
        <v>730</v>
      </c>
      <c r="L243" s="141" t="s">
        <v>17</v>
      </c>
      <c r="M243" s="11" t="str">
        <f>VLOOKUP(N243,'Mã NV'!$A$3:$B$196,2,0)</f>
        <v>HR01</v>
      </c>
      <c r="N243" s="291" t="s">
        <v>119</v>
      </c>
      <c r="O243" s="387">
        <v>44197</v>
      </c>
      <c r="P243" s="371"/>
      <c r="Q243" s="43"/>
      <c r="R243" s="64" t="s">
        <v>37</v>
      </c>
    </row>
    <row r="244" spans="1:18" ht="35.25" customHeight="1">
      <c r="A244" s="15">
        <f t="shared" si="3"/>
        <v>234</v>
      </c>
      <c r="B244" s="141" t="s">
        <v>878</v>
      </c>
      <c r="C244" s="64" t="s">
        <v>35</v>
      </c>
      <c r="D244" s="19"/>
      <c r="E244" s="19"/>
      <c r="F244" s="19"/>
      <c r="G244" s="11"/>
      <c r="H244" s="141"/>
      <c r="I244" s="13" t="s">
        <v>18</v>
      </c>
      <c r="J244" s="15">
        <v>1</v>
      </c>
      <c r="K244" s="11" t="s">
        <v>730</v>
      </c>
      <c r="L244" s="141" t="s">
        <v>17</v>
      </c>
      <c r="M244" s="11" t="str">
        <f>VLOOKUP(N244,'Mã NV'!$A$3:$B$196,2,0)</f>
        <v>HR01</v>
      </c>
      <c r="N244" s="291" t="s">
        <v>119</v>
      </c>
      <c r="O244" s="387">
        <v>44197</v>
      </c>
      <c r="P244" s="371"/>
      <c r="Q244" s="43"/>
      <c r="R244" s="64" t="s">
        <v>37</v>
      </c>
    </row>
    <row r="245" spans="1:18" ht="35.25" customHeight="1">
      <c r="A245" s="15">
        <f t="shared" si="3"/>
        <v>235</v>
      </c>
      <c r="B245" s="141" t="s">
        <v>879</v>
      </c>
      <c r="C245" s="64" t="s">
        <v>35</v>
      </c>
      <c r="D245" s="19"/>
      <c r="E245" s="19"/>
      <c r="F245" s="19"/>
      <c r="G245" s="11"/>
      <c r="H245" s="141"/>
      <c r="I245" s="13" t="s">
        <v>18</v>
      </c>
      <c r="J245" s="15">
        <v>1</v>
      </c>
      <c r="K245" s="11" t="s">
        <v>730</v>
      </c>
      <c r="L245" s="141" t="s">
        <v>17</v>
      </c>
      <c r="M245" s="11" t="str">
        <f>VLOOKUP(N245,'Mã NV'!$A$3:$B$196,2,0)</f>
        <v>HR01</v>
      </c>
      <c r="N245" s="291" t="s">
        <v>119</v>
      </c>
      <c r="O245" s="387">
        <v>44197</v>
      </c>
      <c r="P245" s="371"/>
      <c r="Q245" s="43"/>
      <c r="R245" s="64" t="s">
        <v>37</v>
      </c>
    </row>
    <row r="246" spans="1:18" ht="35.25" customHeight="1">
      <c r="A246" s="15">
        <f t="shared" si="3"/>
        <v>236</v>
      </c>
      <c r="B246" s="141" t="s">
        <v>880</v>
      </c>
      <c r="C246" s="64" t="s">
        <v>35</v>
      </c>
      <c r="D246" s="46"/>
      <c r="E246" s="46"/>
      <c r="F246" s="46"/>
      <c r="G246" s="11"/>
      <c r="H246" s="141"/>
      <c r="I246" s="13" t="s">
        <v>18</v>
      </c>
      <c r="J246" s="15">
        <v>1</v>
      </c>
      <c r="K246" s="11" t="s">
        <v>730</v>
      </c>
      <c r="L246" s="141" t="s">
        <v>17</v>
      </c>
      <c r="M246" s="11" t="str">
        <f>VLOOKUP(N246,'Mã NV'!$A$3:$B$196,2,0)</f>
        <v>HR01</v>
      </c>
      <c r="N246" s="291" t="s">
        <v>119</v>
      </c>
      <c r="O246" s="387">
        <v>44197</v>
      </c>
      <c r="P246" s="371"/>
      <c r="Q246" s="43"/>
      <c r="R246" s="64" t="s">
        <v>37</v>
      </c>
    </row>
    <row r="247" spans="1:18" ht="35.25" customHeight="1">
      <c r="A247" s="15">
        <f t="shared" si="3"/>
        <v>237</v>
      </c>
      <c r="B247" s="141" t="s">
        <v>881</v>
      </c>
      <c r="C247" s="64" t="s">
        <v>35</v>
      </c>
      <c r="D247" s="46"/>
      <c r="E247" s="46"/>
      <c r="F247" s="46"/>
      <c r="G247" s="11"/>
      <c r="H247" s="141"/>
      <c r="I247" s="13" t="s">
        <v>18</v>
      </c>
      <c r="J247" s="15">
        <v>1</v>
      </c>
      <c r="K247" s="11" t="s">
        <v>730</v>
      </c>
      <c r="L247" s="141" t="s">
        <v>17</v>
      </c>
      <c r="M247" s="11" t="str">
        <f>VLOOKUP(N247,'Mã NV'!$A$3:$B$196,2,0)</f>
        <v>HR01</v>
      </c>
      <c r="N247" s="291" t="s">
        <v>119</v>
      </c>
      <c r="O247" s="387">
        <v>44197</v>
      </c>
      <c r="P247" s="371"/>
      <c r="Q247" s="43"/>
      <c r="R247" s="64" t="s">
        <v>39</v>
      </c>
    </row>
    <row r="248" spans="1:18" ht="35.25" customHeight="1">
      <c r="A248" s="15">
        <f t="shared" si="3"/>
        <v>238</v>
      </c>
      <c r="B248" s="141" t="s">
        <v>882</v>
      </c>
      <c r="C248" s="64" t="s">
        <v>35</v>
      </c>
      <c r="D248" s="46"/>
      <c r="E248" s="46"/>
      <c r="F248" s="46"/>
      <c r="G248" s="11"/>
      <c r="H248" s="141"/>
      <c r="I248" s="13" t="s">
        <v>18</v>
      </c>
      <c r="J248" s="15">
        <v>1</v>
      </c>
      <c r="K248" s="11" t="s">
        <v>730</v>
      </c>
      <c r="L248" s="141" t="s">
        <v>17</v>
      </c>
      <c r="M248" s="11" t="str">
        <f>VLOOKUP(N248,'Mã NV'!$A$3:$B$196,2,0)</f>
        <v>HR01</v>
      </c>
      <c r="N248" s="291" t="s">
        <v>119</v>
      </c>
      <c r="O248" s="387">
        <v>44197</v>
      </c>
      <c r="P248" s="371"/>
      <c r="Q248" s="43"/>
      <c r="R248" s="64" t="s">
        <v>39</v>
      </c>
    </row>
    <row r="249" spans="1:18" ht="35.25" customHeight="1">
      <c r="A249" s="15">
        <f t="shared" si="3"/>
        <v>239</v>
      </c>
      <c r="B249" s="141" t="s">
        <v>883</v>
      </c>
      <c r="C249" s="64" t="s">
        <v>35</v>
      </c>
      <c r="D249" s="19"/>
      <c r="E249" s="19"/>
      <c r="F249" s="19"/>
      <c r="G249" s="11"/>
      <c r="H249" s="141"/>
      <c r="I249" s="13" t="s">
        <v>18</v>
      </c>
      <c r="J249" s="15">
        <v>1</v>
      </c>
      <c r="K249" s="11" t="s">
        <v>730</v>
      </c>
      <c r="L249" s="141" t="s">
        <v>17</v>
      </c>
      <c r="M249" s="11" t="str">
        <f>VLOOKUP(N249,'Mã NV'!$A$3:$B$196,2,0)</f>
        <v>HR01</v>
      </c>
      <c r="N249" s="291" t="s">
        <v>119</v>
      </c>
      <c r="O249" s="387">
        <v>44197</v>
      </c>
      <c r="P249" s="371"/>
      <c r="Q249" s="43"/>
      <c r="R249" s="64" t="s">
        <v>39</v>
      </c>
    </row>
    <row r="250" spans="1:18" ht="35.25" customHeight="1">
      <c r="A250" s="15">
        <f t="shared" si="3"/>
        <v>240</v>
      </c>
      <c r="B250" s="141" t="s">
        <v>884</v>
      </c>
      <c r="C250" s="64" t="s">
        <v>35</v>
      </c>
      <c r="D250" s="19"/>
      <c r="E250" s="19"/>
      <c r="F250" s="19"/>
      <c r="G250" s="11"/>
      <c r="H250" s="141"/>
      <c r="I250" s="13" t="s">
        <v>18</v>
      </c>
      <c r="J250" s="15">
        <v>1</v>
      </c>
      <c r="K250" s="11" t="s">
        <v>730</v>
      </c>
      <c r="L250" s="141" t="s">
        <v>17</v>
      </c>
      <c r="M250" s="11" t="str">
        <f>VLOOKUP(N250,'Mã NV'!$A$3:$B$196,2,0)</f>
        <v>HR01</v>
      </c>
      <c r="N250" s="291" t="s">
        <v>119</v>
      </c>
      <c r="O250" s="387">
        <v>44197</v>
      </c>
      <c r="P250" s="371"/>
      <c r="Q250" s="43"/>
      <c r="R250" s="64" t="s">
        <v>39</v>
      </c>
    </row>
    <row r="251" spans="1:18" ht="35.25" customHeight="1">
      <c r="A251" s="15">
        <f t="shared" si="3"/>
        <v>241</v>
      </c>
      <c r="B251" s="141" t="s">
        <v>885</v>
      </c>
      <c r="C251" s="64" t="s">
        <v>35</v>
      </c>
      <c r="D251" s="19"/>
      <c r="E251" s="19"/>
      <c r="F251" s="19"/>
      <c r="G251" s="11"/>
      <c r="H251" s="141"/>
      <c r="I251" s="13" t="s">
        <v>18</v>
      </c>
      <c r="J251" s="15">
        <v>1</v>
      </c>
      <c r="K251" s="11" t="s">
        <v>730</v>
      </c>
      <c r="L251" s="141" t="s">
        <v>17</v>
      </c>
      <c r="M251" s="11" t="str">
        <f>VLOOKUP(N251,'Mã NV'!$A$3:$B$196,2,0)</f>
        <v>HR01</v>
      </c>
      <c r="N251" s="291" t="s">
        <v>119</v>
      </c>
      <c r="O251" s="387">
        <v>44197</v>
      </c>
      <c r="P251" s="371"/>
      <c r="Q251" s="43"/>
      <c r="R251" s="64" t="s">
        <v>39</v>
      </c>
    </row>
    <row r="252" spans="1:18" ht="35.25" customHeight="1">
      <c r="A252" s="15">
        <f t="shared" si="3"/>
        <v>242</v>
      </c>
      <c r="B252" s="141" t="s">
        <v>886</v>
      </c>
      <c r="C252" s="64" t="s">
        <v>32</v>
      </c>
      <c r="D252" s="19"/>
      <c r="E252" s="19"/>
      <c r="F252" s="19"/>
      <c r="G252" s="11"/>
      <c r="H252" s="141"/>
      <c r="I252" s="13" t="s">
        <v>18</v>
      </c>
      <c r="J252" s="15">
        <v>1</v>
      </c>
      <c r="K252" s="11" t="s">
        <v>730</v>
      </c>
      <c r="L252" s="141" t="s">
        <v>2514</v>
      </c>
      <c r="M252" s="11" t="str">
        <f>VLOOKUP(N252,'Mã NV'!$A$3:$B$196,2,0)</f>
        <v>DR01</v>
      </c>
      <c r="N252" s="288" t="s">
        <v>2526</v>
      </c>
      <c r="O252" s="387">
        <v>44197</v>
      </c>
      <c r="P252" s="371"/>
      <c r="Q252" s="43"/>
      <c r="R252" s="64" t="s">
        <v>25</v>
      </c>
    </row>
    <row r="253" spans="1:18" ht="35.25" hidden="1" customHeight="1">
      <c r="A253" s="15">
        <f t="shared" si="3"/>
        <v>243</v>
      </c>
      <c r="B253" s="141" t="s">
        <v>887</v>
      </c>
      <c r="C253" s="64" t="s">
        <v>32</v>
      </c>
      <c r="D253" s="19"/>
      <c r="E253" s="19"/>
      <c r="F253" s="19"/>
      <c r="G253" s="11"/>
      <c r="H253" s="141"/>
      <c r="I253" s="13" t="s">
        <v>18</v>
      </c>
      <c r="J253" s="15">
        <v>1</v>
      </c>
      <c r="K253" s="11" t="s">
        <v>730</v>
      </c>
      <c r="L253" s="141" t="s">
        <v>2514</v>
      </c>
      <c r="M253" s="11" t="str">
        <f>VLOOKUP(N253,'Mã NV'!$A$3:$B$196,2,0)</f>
        <v>DR02</v>
      </c>
      <c r="N253" s="288" t="s">
        <v>2656</v>
      </c>
      <c r="O253" s="387">
        <v>44197</v>
      </c>
      <c r="P253" s="371"/>
      <c r="Q253" s="19"/>
      <c r="R253" s="64" t="s">
        <v>25</v>
      </c>
    </row>
    <row r="254" spans="1:18" ht="35.25" hidden="1" customHeight="1">
      <c r="A254" s="15">
        <f t="shared" si="3"/>
        <v>244</v>
      </c>
      <c r="B254" s="141" t="s">
        <v>888</v>
      </c>
      <c r="C254" s="64" t="s">
        <v>32</v>
      </c>
      <c r="D254" s="19"/>
      <c r="E254" s="19"/>
      <c r="F254" s="19"/>
      <c r="G254" s="11"/>
      <c r="H254" s="141"/>
      <c r="I254" s="13" t="s">
        <v>18</v>
      </c>
      <c r="J254" s="15">
        <v>1</v>
      </c>
      <c r="K254" s="11" t="s">
        <v>730</v>
      </c>
      <c r="L254" s="141" t="s">
        <v>2514</v>
      </c>
      <c r="M254" s="11" t="str">
        <f>VLOOKUP(N254,'Mã NV'!$A$3:$B$196,2,0)</f>
        <v>DR03</v>
      </c>
      <c r="N254" s="322" t="s">
        <v>3766</v>
      </c>
      <c r="O254" s="387">
        <v>44197</v>
      </c>
      <c r="P254" s="371"/>
      <c r="Q254" s="19"/>
      <c r="R254" s="64" t="s">
        <v>25</v>
      </c>
    </row>
    <row r="255" spans="1:18" ht="35.25" customHeight="1">
      <c r="A255" s="15">
        <f t="shared" si="3"/>
        <v>245</v>
      </c>
      <c r="B255" s="141" t="s">
        <v>31</v>
      </c>
      <c r="C255" s="64" t="s">
        <v>30</v>
      </c>
      <c r="D255" s="19"/>
      <c r="E255" s="19"/>
      <c r="F255" s="19"/>
      <c r="G255" s="11"/>
      <c r="H255" s="141"/>
      <c r="I255" s="13" t="s">
        <v>18</v>
      </c>
      <c r="J255" s="15">
        <v>1</v>
      </c>
      <c r="K255" s="11" t="s">
        <v>730</v>
      </c>
      <c r="L255" s="141" t="s">
        <v>17</v>
      </c>
      <c r="M255" s="11" t="str">
        <f>VLOOKUP(N255,'Mã NV'!$A$3:$B$196,2,0)</f>
        <v>HR01</v>
      </c>
      <c r="N255" s="288" t="s">
        <v>119</v>
      </c>
      <c r="O255" s="380">
        <f>VLOOKUP(B255,'Tổng hợp (3)'!$C$4:$E$985,3,0)</f>
        <v>44905</v>
      </c>
      <c r="P255" s="378"/>
      <c r="Q255" s="43"/>
      <c r="R255" s="64" t="s">
        <v>25</v>
      </c>
    </row>
    <row r="256" spans="1:18" ht="35.25" customHeight="1">
      <c r="A256" s="15">
        <f t="shared" si="3"/>
        <v>246</v>
      </c>
      <c r="B256" s="141" t="s">
        <v>29</v>
      </c>
      <c r="C256" s="64" t="s">
        <v>28</v>
      </c>
      <c r="D256" s="46"/>
      <c r="E256" s="46"/>
      <c r="F256" s="46"/>
      <c r="G256" s="11"/>
      <c r="H256" s="141"/>
      <c r="I256" s="13" t="s">
        <v>18</v>
      </c>
      <c r="J256" s="15">
        <v>1</v>
      </c>
      <c r="K256" s="11" t="s">
        <v>730</v>
      </c>
      <c r="L256" s="141" t="s">
        <v>17</v>
      </c>
      <c r="M256" s="11" t="str">
        <f>VLOOKUP(N256,'Mã NV'!$A$3:$B$196,2,0)</f>
        <v>HR01</v>
      </c>
      <c r="N256" s="288" t="s">
        <v>119</v>
      </c>
      <c r="O256" s="387">
        <v>44197</v>
      </c>
      <c r="P256" s="371"/>
      <c r="Q256" s="43"/>
      <c r="R256" s="64" t="s">
        <v>25</v>
      </c>
    </row>
    <row r="257" spans="1:39" ht="35.25" customHeight="1">
      <c r="A257" s="15">
        <f t="shared" si="3"/>
        <v>247</v>
      </c>
      <c r="B257" s="141" t="s">
        <v>4255</v>
      </c>
      <c r="C257" s="64" t="s">
        <v>26</v>
      </c>
      <c r="D257" s="46"/>
      <c r="E257" s="46"/>
      <c r="F257" s="46"/>
      <c r="G257" s="11"/>
      <c r="H257" s="141"/>
      <c r="I257" s="13" t="s">
        <v>18</v>
      </c>
      <c r="J257" s="15">
        <v>1</v>
      </c>
      <c r="K257" s="11" t="s">
        <v>730</v>
      </c>
      <c r="L257" s="141" t="s">
        <v>17</v>
      </c>
      <c r="M257" s="11" t="str">
        <f>VLOOKUP(N257,'Mã NV'!$A$3:$B$196,2,0)</f>
        <v>HR01</v>
      </c>
      <c r="N257" s="288" t="s">
        <v>119</v>
      </c>
      <c r="O257" s="387">
        <v>44197</v>
      </c>
      <c r="P257" s="371"/>
      <c r="Q257" s="43"/>
      <c r="R257" s="64" t="s">
        <v>25</v>
      </c>
    </row>
    <row r="258" spans="1:39" ht="35.25" hidden="1" customHeight="1">
      <c r="A258" s="15">
        <f t="shared" si="3"/>
        <v>248</v>
      </c>
      <c r="B258" s="141" t="s">
        <v>889</v>
      </c>
      <c r="C258" s="64" t="s">
        <v>23</v>
      </c>
      <c r="D258" s="46"/>
      <c r="E258" s="46"/>
      <c r="F258" s="46"/>
      <c r="G258" s="11"/>
      <c r="H258" s="141"/>
      <c r="I258" s="13" t="s">
        <v>18</v>
      </c>
      <c r="J258" s="15">
        <v>1</v>
      </c>
      <c r="K258" s="11" t="s">
        <v>730</v>
      </c>
      <c r="L258" s="141" t="s">
        <v>17</v>
      </c>
      <c r="M258" s="11" t="str">
        <f>VLOOKUP(N258,'Mã NV'!$A$3:$B$196,2,0)</f>
        <v>DR03</v>
      </c>
      <c r="N258" s="322" t="s">
        <v>3766</v>
      </c>
      <c r="O258" s="387">
        <v>44197</v>
      </c>
      <c r="P258" s="371"/>
      <c r="Q258" s="43"/>
      <c r="R258" s="64" t="s">
        <v>22</v>
      </c>
    </row>
    <row r="259" spans="1:39" s="137" customFormat="1" ht="35.25" hidden="1" customHeight="1">
      <c r="A259" s="15">
        <f t="shared" si="3"/>
        <v>249</v>
      </c>
      <c r="B259" s="148" t="s">
        <v>890</v>
      </c>
      <c r="C259" s="171" t="s">
        <v>891</v>
      </c>
      <c r="D259" s="25"/>
      <c r="E259" s="25"/>
      <c r="F259" s="25"/>
      <c r="G259" s="26"/>
      <c r="H259" s="148"/>
      <c r="I259" s="26" t="s">
        <v>18</v>
      </c>
      <c r="J259" s="26">
        <v>1</v>
      </c>
      <c r="K259" s="151" t="s">
        <v>300</v>
      </c>
      <c r="L259" s="148" t="s">
        <v>17</v>
      </c>
      <c r="M259" s="11" t="e">
        <f>VLOOKUP(N259,'Mã NV'!$A$3:$B$196,2,0)</f>
        <v>#N/A</v>
      </c>
      <c r="N259" s="292" t="s">
        <v>2524</v>
      </c>
      <c r="O259" s="387">
        <v>44197</v>
      </c>
      <c r="P259" s="371"/>
      <c r="Q259" s="148"/>
      <c r="R259" s="196" t="s">
        <v>686</v>
      </c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</row>
    <row r="260" spans="1:39" ht="35.25" hidden="1" customHeight="1">
      <c r="A260" s="15">
        <f t="shared" si="3"/>
        <v>250</v>
      </c>
      <c r="B260" s="43" t="s">
        <v>699</v>
      </c>
      <c r="C260" s="150" t="s">
        <v>698</v>
      </c>
      <c r="D260" s="19"/>
      <c r="E260" s="19"/>
      <c r="F260" s="19"/>
      <c r="G260" s="15"/>
      <c r="H260" s="141"/>
      <c r="I260" s="13" t="s">
        <v>18</v>
      </c>
      <c r="J260" s="15">
        <v>1</v>
      </c>
      <c r="K260" s="144" t="s">
        <v>730</v>
      </c>
      <c r="L260" s="141" t="s">
        <v>17</v>
      </c>
      <c r="M260" s="11" t="str">
        <f>VLOOKUP(N260,'Mã NV'!$A$3:$B$196,2,0)</f>
        <v>HR12</v>
      </c>
      <c r="N260" s="293" t="s">
        <v>117</v>
      </c>
      <c r="O260" s="387">
        <v>44197</v>
      </c>
      <c r="P260" s="371"/>
      <c r="Q260" s="43"/>
      <c r="R260" s="11"/>
    </row>
    <row r="261" spans="1:39" ht="35.25" hidden="1" customHeight="1">
      <c r="A261" s="15">
        <f t="shared" si="3"/>
        <v>251</v>
      </c>
      <c r="B261" s="43" t="s">
        <v>700</v>
      </c>
      <c r="C261" s="150" t="s">
        <v>698</v>
      </c>
      <c r="D261" s="19"/>
      <c r="E261" s="19"/>
      <c r="F261" s="19"/>
      <c r="G261" s="15"/>
      <c r="H261" s="141"/>
      <c r="I261" s="13" t="s">
        <v>18</v>
      </c>
      <c r="J261" s="15">
        <v>1</v>
      </c>
      <c r="K261" s="144" t="s">
        <v>730</v>
      </c>
      <c r="L261" s="141" t="s">
        <v>17</v>
      </c>
      <c r="M261" s="11" t="str">
        <f>VLOOKUP(N261,'Mã NV'!$A$3:$B$196,2,0)</f>
        <v>HR12</v>
      </c>
      <c r="N261" s="293" t="s">
        <v>117</v>
      </c>
      <c r="O261" s="387">
        <v>44197</v>
      </c>
      <c r="P261" s="371"/>
      <c r="Q261" s="43"/>
      <c r="R261" s="11"/>
    </row>
    <row r="262" spans="1:39" ht="35.25" hidden="1" customHeight="1">
      <c r="A262" s="15">
        <f t="shared" si="3"/>
        <v>252</v>
      </c>
      <c r="B262" s="43" t="s">
        <v>701</v>
      </c>
      <c r="C262" s="150" t="s">
        <v>698</v>
      </c>
      <c r="D262" s="19"/>
      <c r="E262" s="19"/>
      <c r="F262" s="19"/>
      <c r="G262" s="15"/>
      <c r="H262" s="141"/>
      <c r="I262" s="13" t="s">
        <v>18</v>
      </c>
      <c r="J262" s="15">
        <v>1</v>
      </c>
      <c r="K262" s="144" t="s">
        <v>730</v>
      </c>
      <c r="L262" s="141" t="s">
        <v>17</v>
      </c>
      <c r="M262" s="11" t="str">
        <f>VLOOKUP(N262,'Mã NV'!$A$3:$B$196,2,0)</f>
        <v>HR02</v>
      </c>
      <c r="N262" s="293" t="s">
        <v>106</v>
      </c>
      <c r="O262" s="387">
        <v>44197</v>
      </c>
      <c r="P262" s="371"/>
      <c r="Q262" s="43"/>
      <c r="R262" s="11"/>
    </row>
    <row r="263" spans="1:39" ht="35.25" customHeight="1">
      <c r="A263" s="15">
        <f t="shared" si="3"/>
        <v>253</v>
      </c>
      <c r="B263" s="43" t="s">
        <v>660</v>
      </c>
      <c r="C263" s="150" t="s">
        <v>698</v>
      </c>
      <c r="D263" s="19"/>
      <c r="E263" s="19"/>
      <c r="F263" s="19"/>
      <c r="G263" s="15"/>
      <c r="H263" s="141"/>
      <c r="I263" s="13" t="s">
        <v>18</v>
      </c>
      <c r="J263" s="15">
        <v>1</v>
      </c>
      <c r="K263" s="144" t="s">
        <v>730</v>
      </c>
      <c r="L263" s="141" t="s">
        <v>17</v>
      </c>
      <c r="M263" s="11" t="str">
        <f>VLOOKUP(N263,'Mã NV'!$A$3:$B$196,2,0)</f>
        <v>HR01</v>
      </c>
      <c r="N263" s="293" t="s">
        <v>119</v>
      </c>
      <c r="O263" s="387">
        <v>44197</v>
      </c>
      <c r="P263" s="371"/>
      <c r="Q263" s="43"/>
      <c r="R263" s="11"/>
    </row>
    <row r="264" spans="1:39" ht="35.25" hidden="1" customHeight="1">
      <c r="A264" s="15">
        <f t="shared" si="3"/>
        <v>254</v>
      </c>
      <c r="B264" s="43" t="s">
        <v>704</v>
      </c>
      <c r="C264" s="149">
        <v>2466546858</v>
      </c>
      <c r="D264" s="19"/>
      <c r="E264" s="19"/>
      <c r="F264" s="19"/>
      <c r="G264" s="15"/>
      <c r="H264" s="141"/>
      <c r="I264" s="13" t="s">
        <v>18</v>
      </c>
      <c r="J264" s="15">
        <v>1</v>
      </c>
      <c r="K264" s="144" t="s">
        <v>730</v>
      </c>
      <c r="L264" s="141" t="s">
        <v>17</v>
      </c>
      <c r="M264" s="11" t="str">
        <f>VLOOKUP(N264,'Mã NV'!$A$3:$B$196,2,0)</f>
        <v>HR12</v>
      </c>
      <c r="N264" s="293" t="s">
        <v>117</v>
      </c>
      <c r="O264" s="387">
        <v>44197</v>
      </c>
      <c r="P264" s="371"/>
      <c r="Q264" s="43"/>
      <c r="R264" s="11"/>
    </row>
    <row r="265" spans="1:39" ht="35.25" hidden="1" customHeight="1">
      <c r="A265" s="15">
        <f t="shared" si="3"/>
        <v>255</v>
      </c>
      <c r="B265" s="43" t="s">
        <v>702</v>
      </c>
      <c r="C265" s="149">
        <v>964755269</v>
      </c>
      <c r="D265" s="19"/>
      <c r="E265" s="19"/>
      <c r="F265" s="19"/>
      <c r="G265" s="15"/>
      <c r="H265" s="141"/>
      <c r="I265" s="13" t="s">
        <v>18</v>
      </c>
      <c r="J265" s="15">
        <v>1</v>
      </c>
      <c r="K265" s="144" t="s">
        <v>730</v>
      </c>
      <c r="L265" s="141" t="s">
        <v>17</v>
      </c>
      <c r="M265" s="11" t="str">
        <f>VLOOKUP(N265,'Mã NV'!$A$3:$B$196,2,0)</f>
        <v>HR12</v>
      </c>
      <c r="N265" s="293" t="s">
        <v>117</v>
      </c>
      <c r="O265" s="387">
        <v>44197</v>
      </c>
      <c r="P265" s="371"/>
      <c r="Q265" s="43"/>
      <c r="R265" s="11"/>
    </row>
    <row r="266" spans="1:39" ht="35.25" hidden="1" customHeight="1">
      <c r="A266" s="15">
        <f t="shared" si="3"/>
        <v>256</v>
      </c>
      <c r="B266" s="43" t="s">
        <v>703</v>
      </c>
      <c r="C266" s="149">
        <v>965513189</v>
      </c>
      <c r="D266" s="19"/>
      <c r="E266" s="19"/>
      <c r="F266" s="19"/>
      <c r="G266" s="15"/>
      <c r="H266" s="141"/>
      <c r="I266" s="13" t="s">
        <v>18</v>
      </c>
      <c r="J266" s="15">
        <v>1</v>
      </c>
      <c r="K266" s="144" t="s">
        <v>730</v>
      </c>
      <c r="L266" s="141" t="s">
        <v>17</v>
      </c>
      <c r="M266" s="11" t="str">
        <f>VLOOKUP(N266,'Mã NV'!$A$3:$B$196,2,0)</f>
        <v>HR02</v>
      </c>
      <c r="N266" s="293" t="s">
        <v>106</v>
      </c>
      <c r="O266" s="387">
        <v>44197</v>
      </c>
      <c r="P266" s="371"/>
      <c r="Q266" s="43"/>
      <c r="R266" s="11"/>
    </row>
    <row r="267" spans="1:39" ht="35.25" customHeight="1">
      <c r="A267" s="15">
        <f t="shared" si="3"/>
        <v>257</v>
      </c>
      <c r="B267" s="43" t="s">
        <v>695</v>
      </c>
      <c r="C267" s="149">
        <v>966298069</v>
      </c>
      <c r="D267" s="19"/>
      <c r="E267" s="19"/>
      <c r="F267" s="19"/>
      <c r="G267" s="15"/>
      <c r="H267" s="141"/>
      <c r="I267" s="13" t="s">
        <v>18</v>
      </c>
      <c r="J267" s="15">
        <v>1</v>
      </c>
      <c r="K267" s="144" t="s">
        <v>730</v>
      </c>
      <c r="L267" s="141" t="s">
        <v>17</v>
      </c>
      <c r="M267" s="11" t="str">
        <f>VLOOKUP(N267,'Mã NV'!$A$3:$B$196,2,0)</f>
        <v>HR01</v>
      </c>
      <c r="N267" s="293" t="s">
        <v>119</v>
      </c>
      <c r="O267" s="387">
        <v>44197</v>
      </c>
      <c r="P267" s="371"/>
      <c r="Q267" s="43"/>
      <c r="R267" s="11"/>
    </row>
    <row r="268" spans="1:39" s="236" customFormat="1" ht="35.25" hidden="1" customHeight="1">
      <c r="A268" s="15">
        <f t="shared" si="3"/>
        <v>258</v>
      </c>
      <c r="B268" s="147" t="s">
        <v>688</v>
      </c>
      <c r="C268" s="170" t="s">
        <v>689</v>
      </c>
      <c r="D268" s="50"/>
      <c r="E268" s="50"/>
      <c r="F268" s="50"/>
      <c r="G268" s="200"/>
      <c r="H268" s="147"/>
      <c r="I268" s="51" t="s">
        <v>18</v>
      </c>
      <c r="J268" s="51">
        <v>1</v>
      </c>
      <c r="K268" s="50" t="s">
        <v>3219</v>
      </c>
      <c r="L268" s="147" t="s">
        <v>17</v>
      </c>
      <c r="M268" s="11" t="e">
        <f>VLOOKUP(N268,'Mã NV'!$A$3:$B$196,2,0)</f>
        <v>#N/A</v>
      </c>
      <c r="N268" s="290" t="s">
        <v>176</v>
      </c>
      <c r="O268" s="387">
        <v>44197</v>
      </c>
      <c r="P268" s="371"/>
      <c r="Q268" s="147"/>
      <c r="R268" s="383" t="s">
        <v>2633</v>
      </c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</row>
    <row r="269" spans="1:39" s="137" customFormat="1" ht="35.25" hidden="1" customHeight="1">
      <c r="A269" s="15">
        <f t="shared" ref="A269:A332" si="4">A268+1</f>
        <v>259</v>
      </c>
      <c r="B269" s="148" t="s">
        <v>692</v>
      </c>
      <c r="C269" s="171" t="s">
        <v>693</v>
      </c>
      <c r="D269" s="25"/>
      <c r="E269" s="25"/>
      <c r="F269" s="25"/>
      <c r="G269" s="196"/>
      <c r="H269" s="148"/>
      <c r="I269" s="26" t="s">
        <v>18</v>
      </c>
      <c r="J269" s="26">
        <v>1</v>
      </c>
      <c r="K269" s="25" t="s">
        <v>300</v>
      </c>
      <c r="L269" s="148" t="s">
        <v>17</v>
      </c>
      <c r="M269" s="11" t="e">
        <f>VLOOKUP(N269,'Mã NV'!$A$3:$B$196,2,0)</f>
        <v>#N/A</v>
      </c>
      <c r="N269" s="294"/>
      <c r="O269" s="387">
        <v>44197</v>
      </c>
      <c r="P269" s="371"/>
      <c r="Q269" s="148"/>
      <c r="R269" s="38" t="s">
        <v>694</v>
      </c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</row>
    <row r="270" spans="1:39" ht="35.25" customHeight="1">
      <c r="A270" s="15">
        <f t="shared" si="4"/>
        <v>260</v>
      </c>
      <c r="B270" s="43" t="s">
        <v>705</v>
      </c>
      <c r="C270" s="150" t="s">
        <v>710</v>
      </c>
      <c r="D270" s="19"/>
      <c r="E270" s="19"/>
      <c r="F270" s="19"/>
      <c r="G270" s="46"/>
      <c r="H270" s="141"/>
      <c r="I270" s="13" t="s">
        <v>18</v>
      </c>
      <c r="J270" s="13">
        <v>1</v>
      </c>
      <c r="K270" s="19" t="s">
        <v>730</v>
      </c>
      <c r="L270" s="43" t="s">
        <v>17</v>
      </c>
      <c r="M270" s="11" t="str">
        <f>VLOOKUP(N270,'Mã NV'!$A$3:$B$196,2,0)</f>
        <v>HR01</v>
      </c>
      <c r="N270" s="295" t="s">
        <v>119</v>
      </c>
      <c r="O270" s="390">
        <v>44949</v>
      </c>
      <c r="P270" s="371"/>
      <c r="Q270" s="43"/>
      <c r="R270" s="19" t="s">
        <v>272</v>
      </c>
    </row>
    <row r="271" spans="1:39" ht="35.25" customHeight="1">
      <c r="A271" s="15">
        <f t="shared" si="4"/>
        <v>261</v>
      </c>
      <c r="B271" s="43" t="s">
        <v>706</v>
      </c>
      <c r="C271" s="150" t="s">
        <v>710</v>
      </c>
      <c r="D271" s="19"/>
      <c r="E271" s="19"/>
      <c r="F271" s="19"/>
      <c r="G271" s="46"/>
      <c r="H271" s="141"/>
      <c r="I271" s="13" t="s">
        <v>18</v>
      </c>
      <c r="J271" s="13">
        <v>1</v>
      </c>
      <c r="K271" s="19" t="s">
        <v>730</v>
      </c>
      <c r="L271" s="43" t="s">
        <v>17</v>
      </c>
      <c r="M271" s="11" t="str">
        <f>VLOOKUP(N271,'Mã NV'!$A$3:$B$196,2,0)</f>
        <v>HR01</v>
      </c>
      <c r="N271" s="295" t="s">
        <v>119</v>
      </c>
      <c r="O271" s="390">
        <v>44949</v>
      </c>
      <c r="P271" s="371"/>
      <c r="Q271" s="43"/>
      <c r="R271" s="19" t="s">
        <v>272</v>
      </c>
    </row>
    <row r="272" spans="1:39" ht="35.25" customHeight="1">
      <c r="A272" s="15">
        <f t="shared" si="4"/>
        <v>262</v>
      </c>
      <c r="B272" s="43" t="s">
        <v>707</v>
      </c>
      <c r="C272" s="150" t="s">
        <v>710</v>
      </c>
      <c r="D272" s="19"/>
      <c r="E272" s="19"/>
      <c r="F272" s="19"/>
      <c r="G272" s="46"/>
      <c r="H272" s="141"/>
      <c r="I272" s="13" t="s">
        <v>18</v>
      </c>
      <c r="J272" s="13">
        <v>1</v>
      </c>
      <c r="K272" s="19" t="s">
        <v>730</v>
      </c>
      <c r="L272" s="43" t="s">
        <v>17</v>
      </c>
      <c r="M272" s="11" t="str">
        <f>VLOOKUP(N272,'Mã NV'!$A$3:$B$196,2,0)</f>
        <v>HR01</v>
      </c>
      <c r="N272" s="295" t="s">
        <v>119</v>
      </c>
      <c r="O272" s="390">
        <v>44949</v>
      </c>
      <c r="P272" s="371"/>
      <c r="Q272" s="43"/>
      <c r="R272" s="19" t="s">
        <v>272</v>
      </c>
    </row>
    <row r="273" spans="1:39" ht="35.25" customHeight="1">
      <c r="A273" s="15">
        <f t="shared" si="4"/>
        <v>263</v>
      </c>
      <c r="B273" s="43" t="s">
        <v>708</v>
      </c>
      <c r="C273" s="150" t="s">
        <v>710</v>
      </c>
      <c r="D273" s="19"/>
      <c r="E273" s="19"/>
      <c r="F273" s="19"/>
      <c r="G273" s="46"/>
      <c r="H273" s="141"/>
      <c r="I273" s="13" t="s">
        <v>18</v>
      </c>
      <c r="J273" s="13">
        <v>1</v>
      </c>
      <c r="K273" s="19" t="s">
        <v>730</v>
      </c>
      <c r="L273" s="43" t="s">
        <v>17</v>
      </c>
      <c r="M273" s="11" t="str">
        <f>VLOOKUP(N273,'Mã NV'!$A$3:$B$196,2,0)</f>
        <v>HR01</v>
      </c>
      <c r="N273" s="295" t="s">
        <v>119</v>
      </c>
      <c r="O273" s="390">
        <v>44949</v>
      </c>
      <c r="P273" s="371"/>
      <c r="Q273" s="43"/>
      <c r="R273" s="19" t="s">
        <v>272</v>
      </c>
    </row>
    <row r="274" spans="1:39" ht="35.25" customHeight="1">
      <c r="A274" s="15">
        <f t="shared" si="4"/>
        <v>264</v>
      </c>
      <c r="B274" s="43" t="s">
        <v>709</v>
      </c>
      <c r="C274" s="150" t="s">
        <v>710</v>
      </c>
      <c r="D274" s="46"/>
      <c r="E274" s="46"/>
      <c r="F274" s="46"/>
      <c r="G274" s="46"/>
      <c r="H274" s="141"/>
      <c r="I274" s="13" t="s">
        <v>18</v>
      </c>
      <c r="J274" s="13">
        <v>1</v>
      </c>
      <c r="K274" s="19" t="s">
        <v>730</v>
      </c>
      <c r="L274" s="43" t="s">
        <v>17</v>
      </c>
      <c r="M274" s="11" t="str">
        <f>VLOOKUP(N274,'Mã NV'!$A$3:$B$196,2,0)</f>
        <v>HR01</v>
      </c>
      <c r="N274" s="295" t="s">
        <v>119</v>
      </c>
      <c r="O274" s="390">
        <v>44949</v>
      </c>
      <c r="P274" s="371"/>
      <c r="Q274" s="43"/>
      <c r="R274" s="19" t="s">
        <v>272</v>
      </c>
    </row>
    <row r="275" spans="1:39" ht="35.25" customHeight="1">
      <c r="A275" s="15">
        <f t="shared" si="4"/>
        <v>265</v>
      </c>
      <c r="B275" s="43" t="s">
        <v>714</v>
      </c>
      <c r="C275" s="150" t="s">
        <v>716</v>
      </c>
      <c r="D275" s="46"/>
      <c r="E275" s="46"/>
      <c r="F275" s="46"/>
      <c r="G275" s="46"/>
      <c r="H275" s="141"/>
      <c r="I275" s="13" t="s">
        <v>18</v>
      </c>
      <c r="J275" s="13">
        <v>1</v>
      </c>
      <c r="K275" s="19" t="s">
        <v>730</v>
      </c>
      <c r="L275" s="43" t="s">
        <v>17</v>
      </c>
      <c r="M275" s="11" t="str">
        <f>VLOOKUP(N275,'Mã NV'!$A$3:$B$196,2,0)</f>
        <v>HR01</v>
      </c>
      <c r="N275" s="295" t="s">
        <v>119</v>
      </c>
      <c r="O275" s="390">
        <v>44949</v>
      </c>
      <c r="P275" s="371"/>
      <c r="Q275" s="43"/>
      <c r="R275" s="19" t="s">
        <v>272</v>
      </c>
    </row>
    <row r="276" spans="1:39" ht="35.25" customHeight="1">
      <c r="A276" s="15">
        <f t="shared" si="4"/>
        <v>266</v>
      </c>
      <c r="B276" s="43" t="s">
        <v>715</v>
      </c>
      <c r="C276" s="150" t="s">
        <v>716</v>
      </c>
      <c r="D276" s="46"/>
      <c r="E276" s="46"/>
      <c r="F276" s="46"/>
      <c r="G276" s="46"/>
      <c r="H276" s="141"/>
      <c r="I276" s="13" t="s">
        <v>18</v>
      </c>
      <c r="J276" s="13">
        <v>1</v>
      </c>
      <c r="K276" s="19" t="s">
        <v>730</v>
      </c>
      <c r="L276" s="43" t="s">
        <v>17</v>
      </c>
      <c r="M276" s="11" t="str">
        <f>VLOOKUP(N276,'Mã NV'!$A$3:$B$196,2,0)</f>
        <v>HR01</v>
      </c>
      <c r="N276" s="295" t="s">
        <v>119</v>
      </c>
      <c r="O276" s="390">
        <v>44949</v>
      </c>
      <c r="P276" s="371"/>
      <c r="Q276" s="43"/>
      <c r="R276" s="19" t="s">
        <v>272</v>
      </c>
    </row>
    <row r="277" spans="1:39" ht="35.25" customHeight="1">
      <c r="A277" s="15">
        <f t="shared" si="4"/>
        <v>267</v>
      </c>
      <c r="B277" s="43" t="s">
        <v>717</v>
      </c>
      <c r="C277" s="150" t="s">
        <v>723</v>
      </c>
      <c r="D277" s="19"/>
      <c r="E277" s="19"/>
      <c r="F277" s="19"/>
      <c r="G277" s="46"/>
      <c r="H277" s="141"/>
      <c r="I277" s="13" t="s">
        <v>18</v>
      </c>
      <c r="J277" s="13">
        <v>1</v>
      </c>
      <c r="K277" s="19" t="s">
        <v>730</v>
      </c>
      <c r="L277" s="43" t="s">
        <v>17</v>
      </c>
      <c r="M277" s="11" t="str">
        <f>VLOOKUP(N277,'Mã NV'!$A$3:$B$196,2,0)</f>
        <v>HR01</v>
      </c>
      <c r="N277" s="295" t="s">
        <v>119</v>
      </c>
      <c r="O277" s="380">
        <f>VLOOKUP(B277,'Tổng hợp (3)'!$C$4:$E$985,3,0)</f>
        <v>44636</v>
      </c>
      <c r="P277" s="378"/>
      <c r="Q277" s="43"/>
      <c r="R277" s="19" t="s">
        <v>272</v>
      </c>
    </row>
    <row r="278" spans="1:39" ht="35.25" customHeight="1">
      <c r="A278" s="15">
        <f t="shared" si="4"/>
        <v>268</v>
      </c>
      <c r="B278" s="43" t="s">
        <v>718</v>
      </c>
      <c r="C278" s="150" t="s">
        <v>723</v>
      </c>
      <c r="D278" s="19"/>
      <c r="E278" s="19"/>
      <c r="F278" s="19"/>
      <c r="G278" s="46"/>
      <c r="H278" s="141"/>
      <c r="I278" s="13" t="s">
        <v>18</v>
      </c>
      <c r="J278" s="13">
        <v>1</v>
      </c>
      <c r="K278" s="19" t="s">
        <v>730</v>
      </c>
      <c r="L278" s="43" t="s">
        <v>17</v>
      </c>
      <c r="M278" s="11" t="str">
        <f>VLOOKUP(N278,'Mã NV'!$A$3:$B$196,2,0)</f>
        <v>HR01</v>
      </c>
      <c r="N278" s="295" t="s">
        <v>119</v>
      </c>
      <c r="O278" s="380">
        <f>VLOOKUP(B278,'Tổng hợp (3)'!$C$4:$E$985,3,0)</f>
        <v>44636</v>
      </c>
      <c r="P278" s="378"/>
      <c r="Q278" s="43"/>
      <c r="R278" s="19" t="s">
        <v>272</v>
      </c>
    </row>
    <row r="279" spans="1:39" ht="35.25" customHeight="1">
      <c r="A279" s="15">
        <f t="shared" si="4"/>
        <v>269</v>
      </c>
      <c r="B279" s="43" t="s">
        <v>719</v>
      </c>
      <c r="C279" s="150" t="s">
        <v>723</v>
      </c>
      <c r="D279" s="19"/>
      <c r="E279" s="19"/>
      <c r="F279" s="19"/>
      <c r="G279" s="46"/>
      <c r="H279" s="141"/>
      <c r="I279" s="13" t="s">
        <v>18</v>
      </c>
      <c r="J279" s="13">
        <v>1</v>
      </c>
      <c r="K279" s="19" t="s">
        <v>730</v>
      </c>
      <c r="L279" s="43" t="s">
        <v>17</v>
      </c>
      <c r="M279" s="11" t="str">
        <f>VLOOKUP(N279,'Mã NV'!$A$3:$B$196,2,0)</f>
        <v>HR01</v>
      </c>
      <c r="N279" s="295" t="s">
        <v>119</v>
      </c>
      <c r="O279" s="380">
        <f>VLOOKUP(B279,'Tổng hợp (3)'!$C$4:$E$985,3,0)</f>
        <v>44636</v>
      </c>
      <c r="P279" s="378"/>
      <c r="Q279" s="43"/>
      <c r="R279" s="19" t="s">
        <v>272</v>
      </c>
    </row>
    <row r="280" spans="1:39" ht="35.25" customHeight="1">
      <c r="A280" s="15">
        <f t="shared" si="4"/>
        <v>270</v>
      </c>
      <c r="B280" s="43" t="s">
        <v>720</v>
      </c>
      <c r="C280" s="150" t="s">
        <v>723</v>
      </c>
      <c r="D280" s="19"/>
      <c r="E280" s="19"/>
      <c r="F280" s="19"/>
      <c r="G280" s="46"/>
      <c r="H280" s="141"/>
      <c r="I280" s="13" t="s">
        <v>18</v>
      </c>
      <c r="J280" s="13">
        <v>1</v>
      </c>
      <c r="K280" s="19" t="s">
        <v>730</v>
      </c>
      <c r="L280" s="43" t="s">
        <v>17</v>
      </c>
      <c r="M280" s="11" t="str">
        <f>VLOOKUP(N280,'Mã NV'!$A$3:$B$196,2,0)</f>
        <v>HR01</v>
      </c>
      <c r="N280" s="295" t="s">
        <v>119</v>
      </c>
      <c r="O280" s="380">
        <f>VLOOKUP(B280,'Tổng hợp (3)'!$C$4:$E$985,3,0)</f>
        <v>44636</v>
      </c>
      <c r="P280" s="378"/>
      <c r="Q280" s="43"/>
      <c r="R280" s="19" t="s">
        <v>272</v>
      </c>
    </row>
    <row r="281" spans="1:39" ht="35.25" customHeight="1">
      <c r="A281" s="15">
        <f t="shared" si="4"/>
        <v>271</v>
      </c>
      <c r="B281" s="43" t="s">
        <v>721</v>
      </c>
      <c r="C281" s="150" t="s">
        <v>723</v>
      </c>
      <c r="D281" s="19"/>
      <c r="E281" s="19"/>
      <c r="F281" s="19"/>
      <c r="G281" s="46"/>
      <c r="H281" s="141"/>
      <c r="I281" s="13" t="s">
        <v>18</v>
      </c>
      <c r="J281" s="13">
        <v>1</v>
      </c>
      <c r="K281" s="19" t="s">
        <v>730</v>
      </c>
      <c r="L281" s="43" t="s">
        <v>17</v>
      </c>
      <c r="M281" s="11" t="str">
        <f>VLOOKUP(N281,'Mã NV'!$A$3:$B$196,2,0)</f>
        <v>HR01</v>
      </c>
      <c r="N281" s="295" t="s">
        <v>119</v>
      </c>
      <c r="O281" s="380">
        <f>VLOOKUP(B281,'Tổng hợp (3)'!$C$4:$E$985,3,0)</f>
        <v>44636</v>
      </c>
      <c r="P281" s="378"/>
      <c r="Q281" s="43"/>
      <c r="R281" s="19" t="s">
        <v>272</v>
      </c>
    </row>
    <row r="282" spans="1:39" ht="35.25" customHeight="1">
      <c r="A282" s="15">
        <f t="shared" si="4"/>
        <v>272</v>
      </c>
      <c r="B282" s="43" t="s">
        <v>722</v>
      </c>
      <c r="C282" s="150" t="s">
        <v>723</v>
      </c>
      <c r="D282" s="46"/>
      <c r="E282" s="46"/>
      <c r="F282" s="46"/>
      <c r="G282" s="46"/>
      <c r="H282" s="141"/>
      <c r="I282" s="13" t="s">
        <v>18</v>
      </c>
      <c r="J282" s="13">
        <v>1</v>
      </c>
      <c r="K282" s="19" t="s">
        <v>730</v>
      </c>
      <c r="L282" s="43" t="s">
        <v>17</v>
      </c>
      <c r="M282" s="11" t="str">
        <f>VLOOKUP(N282,'Mã NV'!$A$3:$B$196,2,0)</f>
        <v>HR01</v>
      </c>
      <c r="N282" s="295" t="s">
        <v>119</v>
      </c>
      <c r="O282" s="380">
        <f>VLOOKUP(B282,'Tổng hợp (3)'!$C$4:$E$985,3,0)</f>
        <v>44636</v>
      </c>
      <c r="P282" s="378"/>
      <c r="Q282" s="43"/>
      <c r="R282" s="19" t="s">
        <v>272</v>
      </c>
    </row>
    <row r="283" spans="1:39" s="236" customFormat="1" ht="35.25" hidden="1" customHeight="1">
      <c r="A283" s="15">
        <f t="shared" si="4"/>
        <v>273</v>
      </c>
      <c r="B283" s="163" t="s">
        <v>892</v>
      </c>
      <c r="C283" s="170" t="s">
        <v>641</v>
      </c>
      <c r="D283" s="200"/>
      <c r="E283" s="200"/>
      <c r="F283" s="200"/>
      <c r="G283" s="165">
        <v>966131069</v>
      </c>
      <c r="H283" s="147"/>
      <c r="I283" s="162" t="s">
        <v>18</v>
      </c>
      <c r="J283" s="162">
        <v>1</v>
      </c>
      <c r="K283" s="164" t="s">
        <v>3219</v>
      </c>
      <c r="L283" s="147" t="s">
        <v>17</v>
      </c>
      <c r="M283" s="11" t="e">
        <f>VLOOKUP(N283,'Mã NV'!$A$3:$B$196,2,0)</f>
        <v>#N/A</v>
      </c>
      <c r="N283" s="296" t="s">
        <v>176</v>
      </c>
      <c r="O283" s="387">
        <v>44197</v>
      </c>
      <c r="P283" s="371"/>
      <c r="Q283" s="147"/>
      <c r="R283" s="165" t="s">
        <v>2643</v>
      </c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</row>
    <row r="284" spans="1:39" s="236" customFormat="1" ht="35.25" hidden="1" customHeight="1">
      <c r="A284" s="15">
        <f t="shared" si="4"/>
        <v>274</v>
      </c>
      <c r="B284" s="163" t="s">
        <v>893</v>
      </c>
      <c r="C284" s="170" t="s">
        <v>894</v>
      </c>
      <c r="D284" s="200"/>
      <c r="E284" s="200"/>
      <c r="F284" s="200"/>
      <c r="G284" s="164" t="s">
        <v>2332</v>
      </c>
      <c r="H284" s="147"/>
      <c r="I284" s="162" t="s">
        <v>18</v>
      </c>
      <c r="J284" s="162">
        <v>1</v>
      </c>
      <c r="K284" s="164" t="s">
        <v>3219</v>
      </c>
      <c r="L284" s="147" t="s">
        <v>17</v>
      </c>
      <c r="M284" s="11" t="e">
        <f>VLOOKUP(N284,'Mã NV'!$A$3:$B$196,2,0)</f>
        <v>#N/A</v>
      </c>
      <c r="N284" s="296" t="s">
        <v>176</v>
      </c>
      <c r="O284" s="387">
        <v>44197</v>
      </c>
      <c r="P284" s="371"/>
      <c r="Q284" s="147"/>
      <c r="R284" s="54" t="s">
        <v>2644</v>
      </c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</row>
    <row r="285" spans="1:39" s="236" customFormat="1" ht="35.25" hidden="1" customHeight="1">
      <c r="A285" s="15">
        <f t="shared" si="4"/>
        <v>275</v>
      </c>
      <c r="B285" s="163" t="s">
        <v>895</v>
      </c>
      <c r="C285" s="170" t="s">
        <v>896</v>
      </c>
      <c r="D285" s="50"/>
      <c r="E285" s="50"/>
      <c r="F285" s="50"/>
      <c r="G285" s="164"/>
      <c r="H285" s="147"/>
      <c r="I285" s="162" t="s">
        <v>18</v>
      </c>
      <c r="J285" s="162">
        <v>1</v>
      </c>
      <c r="K285" s="164" t="s">
        <v>3219</v>
      </c>
      <c r="L285" s="147" t="s">
        <v>17</v>
      </c>
      <c r="M285" s="11" t="e">
        <f>VLOOKUP(N285,'Mã NV'!$A$3:$B$196,2,0)</f>
        <v>#N/A</v>
      </c>
      <c r="N285" s="296" t="s">
        <v>176</v>
      </c>
      <c r="O285" s="387">
        <v>44197</v>
      </c>
      <c r="P285" s="371"/>
      <c r="Q285" s="147"/>
      <c r="R285" s="54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</row>
    <row r="286" spans="1:39" ht="35.25" customHeight="1">
      <c r="A286" s="15">
        <f t="shared" si="4"/>
        <v>276</v>
      </c>
      <c r="B286" s="144" t="s">
        <v>897</v>
      </c>
      <c r="C286" s="150" t="s">
        <v>898</v>
      </c>
      <c r="D286" s="19"/>
      <c r="E286" s="19"/>
      <c r="F286" s="19"/>
      <c r="G286" s="144" t="s">
        <v>898</v>
      </c>
      <c r="H286" s="141"/>
      <c r="I286" s="144" t="s">
        <v>76</v>
      </c>
      <c r="J286" s="153">
        <v>1</v>
      </c>
      <c r="K286" s="142" t="s">
        <v>730</v>
      </c>
      <c r="L286" s="43" t="s">
        <v>17</v>
      </c>
      <c r="M286" s="11" t="str">
        <f>VLOOKUP(N286,'Mã NV'!$A$3:$B$196,2,0)</f>
        <v>HR01</v>
      </c>
      <c r="N286" s="297" t="s">
        <v>119</v>
      </c>
      <c r="O286" s="381">
        <v>44927</v>
      </c>
      <c r="P286" s="371"/>
      <c r="Q286" s="43"/>
      <c r="R286" s="150" t="s">
        <v>272</v>
      </c>
    </row>
    <row r="287" spans="1:39" ht="35.25" customHeight="1">
      <c r="A287" s="15">
        <f t="shared" si="4"/>
        <v>277</v>
      </c>
      <c r="B287" s="144" t="s">
        <v>899</v>
      </c>
      <c r="C287" s="150" t="s">
        <v>898</v>
      </c>
      <c r="D287" s="19"/>
      <c r="E287" s="19"/>
      <c r="F287" s="19"/>
      <c r="G287" s="144" t="s">
        <v>898</v>
      </c>
      <c r="H287" s="141"/>
      <c r="I287" s="144" t="s">
        <v>76</v>
      </c>
      <c r="J287" s="153">
        <v>1</v>
      </c>
      <c r="K287" s="142" t="s">
        <v>730</v>
      </c>
      <c r="L287" s="43" t="s">
        <v>17</v>
      </c>
      <c r="M287" s="11" t="str">
        <f>VLOOKUP(N287,'Mã NV'!$A$3:$B$196,2,0)</f>
        <v>HR01</v>
      </c>
      <c r="N287" s="297" t="s">
        <v>119</v>
      </c>
      <c r="O287" s="381">
        <v>44927</v>
      </c>
      <c r="P287" s="371"/>
      <c r="Q287" s="43"/>
      <c r="R287" s="150" t="s">
        <v>272</v>
      </c>
    </row>
    <row r="288" spans="1:39" ht="35.25" customHeight="1">
      <c r="A288" s="15">
        <f t="shared" si="4"/>
        <v>278</v>
      </c>
      <c r="B288" s="144" t="s">
        <v>900</v>
      </c>
      <c r="C288" s="150" t="s">
        <v>898</v>
      </c>
      <c r="D288" s="19"/>
      <c r="E288" s="19"/>
      <c r="F288" s="19"/>
      <c r="G288" s="144" t="s">
        <v>2333</v>
      </c>
      <c r="H288" s="141"/>
      <c r="I288" s="144" t="s">
        <v>76</v>
      </c>
      <c r="J288" s="153">
        <v>1</v>
      </c>
      <c r="K288" s="142" t="s">
        <v>730</v>
      </c>
      <c r="L288" s="43" t="s">
        <v>17</v>
      </c>
      <c r="M288" s="11" t="str">
        <f>VLOOKUP(N288,'Mã NV'!$A$3:$B$196,2,0)</f>
        <v>HR01</v>
      </c>
      <c r="N288" s="297" t="s">
        <v>119</v>
      </c>
      <c r="O288" s="381">
        <v>44927</v>
      </c>
      <c r="P288" s="371"/>
      <c r="Q288" s="43"/>
      <c r="R288" s="150" t="s">
        <v>272</v>
      </c>
    </row>
    <row r="289" spans="1:39" ht="35.25" customHeight="1">
      <c r="A289" s="15">
        <f t="shared" si="4"/>
        <v>279</v>
      </c>
      <c r="B289" s="144" t="s">
        <v>901</v>
      </c>
      <c r="C289" s="150" t="s">
        <v>898</v>
      </c>
      <c r="D289" s="19"/>
      <c r="E289" s="19"/>
      <c r="F289" s="19"/>
      <c r="G289" s="144" t="s">
        <v>2333</v>
      </c>
      <c r="H289" s="141"/>
      <c r="I289" s="144" t="s">
        <v>76</v>
      </c>
      <c r="J289" s="153">
        <v>1</v>
      </c>
      <c r="K289" s="142" t="s">
        <v>730</v>
      </c>
      <c r="L289" s="43" t="s">
        <v>17</v>
      </c>
      <c r="M289" s="11" t="str">
        <f>VLOOKUP(N289,'Mã NV'!$A$3:$B$196,2,0)</f>
        <v>HR01</v>
      </c>
      <c r="N289" s="297" t="s">
        <v>119</v>
      </c>
      <c r="O289" s="381">
        <v>44927</v>
      </c>
      <c r="P289" s="371"/>
      <c r="Q289" s="43"/>
      <c r="R289" s="150" t="s">
        <v>272</v>
      </c>
    </row>
    <row r="290" spans="1:39" ht="35.25" customHeight="1">
      <c r="A290" s="15">
        <f t="shared" si="4"/>
        <v>280</v>
      </c>
      <c r="B290" s="144" t="s">
        <v>902</v>
      </c>
      <c r="C290" s="150" t="s">
        <v>898</v>
      </c>
      <c r="D290" s="19"/>
      <c r="E290" s="19"/>
      <c r="F290" s="19"/>
      <c r="G290" s="144" t="s">
        <v>2333</v>
      </c>
      <c r="H290" s="141"/>
      <c r="I290" s="144" t="s">
        <v>76</v>
      </c>
      <c r="J290" s="153">
        <v>1</v>
      </c>
      <c r="K290" s="142" t="s">
        <v>730</v>
      </c>
      <c r="L290" s="43" t="s">
        <v>17</v>
      </c>
      <c r="M290" s="11" t="str">
        <f>VLOOKUP(N290,'Mã NV'!$A$3:$B$196,2,0)</f>
        <v>HR01</v>
      </c>
      <c r="N290" s="297" t="s">
        <v>119</v>
      </c>
      <c r="O290" s="381">
        <v>44927</v>
      </c>
      <c r="P290" s="371"/>
      <c r="Q290" s="43"/>
      <c r="R290" s="150" t="s">
        <v>272</v>
      </c>
    </row>
    <row r="291" spans="1:39" s="236" customFormat="1" ht="35.25" hidden="1" customHeight="1">
      <c r="A291" s="15">
        <f t="shared" si="4"/>
        <v>281</v>
      </c>
      <c r="B291" s="163" t="s">
        <v>903</v>
      </c>
      <c r="C291" s="170" t="s">
        <v>904</v>
      </c>
      <c r="D291" s="200"/>
      <c r="E291" s="200"/>
      <c r="F291" s="200"/>
      <c r="G291" s="198"/>
      <c r="H291" s="147"/>
      <c r="I291" s="163" t="s">
        <v>18</v>
      </c>
      <c r="J291" s="162">
        <v>1</v>
      </c>
      <c r="K291" s="163" t="s">
        <v>3219</v>
      </c>
      <c r="L291" s="147" t="s">
        <v>17</v>
      </c>
      <c r="M291" s="11" t="e">
        <f>VLOOKUP(N291,'Mã NV'!$A$3:$B$196,2,0)</f>
        <v>#N/A</v>
      </c>
      <c r="N291" s="298" t="s">
        <v>176</v>
      </c>
      <c r="O291" s="387">
        <v>44197</v>
      </c>
      <c r="P291" s="371"/>
      <c r="Q291" s="147"/>
      <c r="R291" s="164" t="s">
        <v>2645</v>
      </c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</row>
    <row r="292" spans="1:39" s="236" customFormat="1" ht="35.25" hidden="1" customHeight="1">
      <c r="A292" s="15">
        <f t="shared" si="4"/>
        <v>282</v>
      </c>
      <c r="B292" s="165" t="s">
        <v>905</v>
      </c>
      <c r="C292" s="170" t="s">
        <v>582</v>
      </c>
      <c r="D292" s="200"/>
      <c r="E292" s="200"/>
      <c r="F292" s="200"/>
      <c r="G292" s="163"/>
      <c r="H292" s="147"/>
      <c r="I292" s="162" t="s">
        <v>566</v>
      </c>
      <c r="J292" s="162">
        <v>1</v>
      </c>
      <c r="K292" s="163" t="s">
        <v>3219</v>
      </c>
      <c r="L292" s="147" t="s">
        <v>17</v>
      </c>
      <c r="M292" s="11" t="e">
        <f>VLOOKUP(N292,'Mã NV'!$A$3:$B$196,2,0)</f>
        <v>#N/A</v>
      </c>
      <c r="N292" s="298" t="s">
        <v>176</v>
      </c>
      <c r="O292" s="387">
        <v>44197</v>
      </c>
      <c r="P292" s="371"/>
      <c r="Q292" s="147"/>
      <c r="R292" s="170" t="s">
        <v>2646</v>
      </c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</row>
    <row r="293" spans="1:39" s="236" customFormat="1" ht="35.25" hidden="1" customHeight="1">
      <c r="A293" s="15">
        <f t="shared" si="4"/>
        <v>283</v>
      </c>
      <c r="B293" s="165" t="s">
        <v>906</v>
      </c>
      <c r="C293" s="170" t="s">
        <v>605</v>
      </c>
      <c r="D293" s="248"/>
      <c r="E293" s="248"/>
      <c r="F293" s="248"/>
      <c r="G293" s="163"/>
      <c r="H293" s="147"/>
      <c r="I293" s="162" t="s">
        <v>566</v>
      </c>
      <c r="J293" s="162">
        <v>1</v>
      </c>
      <c r="K293" s="163" t="s">
        <v>3219</v>
      </c>
      <c r="L293" s="147" t="s">
        <v>17</v>
      </c>
      <c r="M293" s="11" t="e">
        <f>VLOOKUP(N293,'Mã NV'!$A$3:$B$196,2,0)</f>
        <v>#N/A</v>
      </c>
      <c r="N293" s="298" t="s">
        <v>176</v>
      </c>
      <c r="O293" s="387">
        <v>44197</v>
      </c>
      <c r="P293" s="371"/>
      <c r="Q293" s="147"/>
      <c r="R293" s="170" t="s">
        <v>2646</v>
      </c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</row>
    <row r="294" spans="1:39" s="236" customFormat="1" ht="35.25" hidden="1" customHeight="1">
      <c r="A294" s="15">
        <f t="shared" si="4"/>
        <v>284</v>
      </c>
      <c r="B294" s="165" t="s">
        <v>907</v>
      </c>
      <c r="C294" s="170" t="s">
        <v>605</v>
      </c>
      <c r="D294" s="50"/>
      <c r="E294" s="50"/>
      <c r="F294" s="50"/>
      <c r="G294" s="163"/>
      <c r="H294" s="147"/>
      <c r="I294" s="162" t="s">
        <v>566</v>
      </c>
      <c r="J294" s="162">
        <v>1</v>
      </c>
      <c r="K294" s="163" t="s">
        <v>3219</v>
      </c>
      <c r="L294" s="147" t="s">
        <v>17</v>
      </c>
      <c r="M294" s="11" t="e">
        <f>VLOOKUP(N294,'Mã NV'!$A$3:$B$196,2,0)</f>
        <v>#N/A</v>
      </c>
      <c r="N294" s="298" t="s">
        <v>176</v>
      </c>
      <c r="O294" s="387">
        <v>44197</v>
      </c>
      <c r="P294" s="371"/>
      <c r="Q294" s="147"/>
      <c r="R294" s="170" t="s">
        <v>2647</v>
      </c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</row>
    <row r="295" spans="1:39" s="236" customFormat="1" ht="35.25" hidden="1" customHeight="1">
      <c r="A295" s="15">
        <f t="shared" si="4"/>
        <v>285</v>
      </c>
      <c r="B295" s="165" t="s">
        <v>908</v>
      </c>
      <c r="C295" s="170" t="s">
        <v>605</v>
      </c>
      <c r="D295" s="50"/>
      <c r="E295" s="50"/>
      <c r="F295" s="50"/>
      <c r="G295" s="163"/>
      <c r="H295" s="147"/>
      <c r="I295" s="162" t="s">
        <v>566</v>
      </c>
      <c r="J295" s="162">
        <v>1</v>
      </c>
      <c r="K295" s="163" t="s">
        <v>3219</v>
      </c>
      <c r="L295" s="147" t="s">
        <v>17</v>
      </c>
      <c r="M295" s="11" t="e">
        <f>VLOOKUP(N295,'Mã NV'!$A$3:$B$196,2,0)</f>
        <v>#N/A</v>
      </c>
      <c r="N295" s="298" t="s">
        <v>176</v>
      </c>
      <c r="O295" s="387">
        <v>44197</v>
      </c>
      <c r="P295" s="371"/>
      <c r="Q295" s="147"/>
      <c r="R295" s="170" t="s">
        <v>2648</v>
      </c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</row>
    <row r="296" spans="1:39" s="236" customFormat="1" ht="35.25" hidden="1" customHeight="1">
      <c r="A296" s="15">
        <f t="shared" si="4"/>
        <v>286</v>
      </c>
      <c r="B296" s="165" t="s">
        <v>909</v>
      </c>
      <c r="C296" s="170" t="s">
        <v>445</v>
      </c>
      <c r="D296" s="50"/>
      <c r="E296" s="50"/>
      <c r="F296" s="50"/>
      <c r="G296" s="163"/>
      <c r="H296" s="147"/>
      <c r="I296" s="162" t="s">
        <v>566</v>
      </c>
      <c r="J296" s="162">
        <v>1</v>
      </c>
      <c r="K296" s="163" t="s">
        <v>3219</v>
      </c>
      <c r="L296" s="147" t="s">
        <v>17</v>
      </c>
      <c r="M296" s="11" t="e">
        <f>VLOOKUP(N296,'Mã NV'!$A$3:$B$196,2,0)</f>
        <v>#N/A</v>
      </c>
      <c r="N296" s="298" t="s">
        <v>176</v>
      </c>
      <c r="O296" s="392">
        <f>VLOOKUP(B296,'Tổng hợp (3)'!$C$4:$E$985,3,0)</f>
        <v>44752</v>
      </c>
      <c r="P296" s="163"/>
      <c r="Q296" s="147"/>
      <c r="R296" s="170" t="s">
        <v>2649</v>
      </c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</row>
    <row r="297" spans="1:39" s="236" customFormat="1" ht="35.25" hidden="1" customHeight="1">
      <c r="A297" s="15">
        <f t="shared" si="4"/>
        <v>287</v>
      </c>
      <c r="B297" s="147" t="s">
        <v>910</v>
      </c>
      <c r="C297" s="248" t="s">
        <v>911</v>
      </c>
      <c r="D297" s="50"/>
      <c r="E297" s="50"/>
      <c r="F297" s="50"/>
      <c r="G297" s="163"/>
      <c r="H297" s="147"/>
      <c r="I297" s="162" t="s">
        <v>566</v>
      </c>
      <c r="J297" s="162">
        <v>1</v>
      </c>
      <c r="K297" s="163" t="s">
        <v>3219</v>
      </c>
      <c r="L297" s="147" t="s">
        <v>17</v>
      </c>
      <c r="M297" s="11" t="e">
        <f>VLOOKUP(N297,'Mã NV'!$A$3:$B$196,2,0)</f>
        <v>#N/A</v>
      </c>
      <c r="N297" s="298" t="s">
        <v>2525</v>
      </c>
      <c r="O297" s="392">
        <f>VLOOKUP(B297,'Tổng hợp (3)'!$C$4:$E$985,3,0)</f>
        <v>44376</v>
      </c>
      <c r="P297" s="371"/>
      <c r="Q297" s="147"/>
      <c r="R297" s="170" t="s">
        <v>2650</v>
      </c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</row>
    <row r="298" spans="1:39" ht="35.25" customHeight="1">
      <c r="A298" s="15">
        <f t="shared" si="4"/>
        <v>288</v>
      </c>
      <c r="B298" s="11" t="s">
        <v>912</v>
      </c>
      <c r="C298" s="64" t="s">
        <v>913</v>
      </c>
      <c r="D298" s="46"/>
      <c r="E298" s="46"/>
      <c r="F298" s="46"/>
      <c r="G298" s="144"/>
      <c r="H298" s="141"/>
      <c r="I298" s="153" t="s">
        <v>566</v>
      </c>
      <c r="J298" s="153">
        <v>1</v>
      </c>
      <c r="K298" s="144" t="s">
        <v>730</v>
      </c>
      <c r="L298" s="43" t="s">
        <v>17</v>
      </c>
      <c r="M298" s="11" t="str">
        <f>VLOOKUP(N298,'Mã NV'!$A$3:$B$196,2,0)</f>
        <v>DR01</v>
      </c>
      <c r="N298" s="299" t="s">
        <v>2526</v>
      </c>
      <c r="O298" s="380">
        <f>VLOOKUP(B298,'Tổng hợp (3)'!$C$4:$E$985,3,0)</f>
        <v>44781</v>
      </c>
      <c r="P298" s="378"/>
      <c r="Q298" s="43"/>
      <c r="R298" s="150"/>
    </row>
    <row r="299" spans="1:39" ht="35.25" hidden="1" customHeight="1">
      <c r="A299" s="15">
        <f t="shared" si="4"/>
        <v>289</v>
      </c>
      <c r="B299" s="11" t="s">
        <v>914</v>
      </c>
      <c r="C299" s="64" t="s">
        <v>913</v>
      </c>
      <c r="D299" s="46"/>
      <c r="E299" s="46"/>
      <c r="F299" s="46"/>
      <c r="G299" s="144"/>
      <c r="H299" s="141"/>
      <c r="I299" s="153" t="s">
        <v>566</v>
      </c>
      <c r="J299" s="153">
        <v>1</v>
      </c>
      <c r="K299" s="144" t="s">
        <v>730</v>
      </c>
      <c r="L299" s="43" t="s">
        <v>17</v>
      </c>
      <c r="M299" s="11" t="str">
        <f>VLOOKUP(N299,'Mã NV'!$A$3:$B$196,2,0)</f>
        <v>DR02</v>
      </c>
      <c r="N299" s="299" t="s">
        <v>2656</v>
      </c>
      <c r="O299" s="380">
        <f>VLOOKUP(B299,'Tổng hợp (3)'!$C$4:$E$985,3,0)</f>
        <v>44781</v>
      </c>
      <c r="P299" s="378"/>
      <c r="Q299" s="43"/>
      <c r="R299" s="150"/>
    </row>
    <row r="300" spans="1:39" ht="35.25" hidden="1" customHeight="1">
      <c r="A300" s="15">
        <f t="shared" si="4"/>
        <v>290</v>
      </c>
      <c r="B300" s="11" t="s">
        <v>915</v>
      </c>
      <c r="C300" s="64" t="s">
        <v>913</v>
      </c>
      <c r="D300" s="46"/>
      <c r="E300" s="46"/>
      <c r="F300" s="46"/>
      <c r="G300" s="144"/>
      <c r="H300" s="141"/>
      <c r="I300" s="153" t="s">
        <v>566</v>
      </c>
      <c r="J300" s="153">
        <v>1</v>
      </c>
      <c r="K300" s="144" t="s">
        <v>730</v>
      </c>
      <c r="L300" s="43" t="s">
        <v>17</v>
      </c>
      <c r="M300" s="11" t="str">
        <f>VLOOKUP(N300,'Mã NV'!$A$3:$B$196,2,0)</f>
        <v>DR03</v>
      </c>
      <c r="N300" s="322" t="s">
        <v>3766</v>
      </c>
      <c r="O300" s="380">
        <f>VLOOKUP(B300,'Tổng hợp (3)'!$C$4:$E$985,3,0)</f>
        <v>44781</v>
      </c>
      <c r="P300" s="378"/>
      <c r="Q300" s="43"/>
      <c r="R300" s="150"/>
    </row>
    <row r="301" spans="1:39" s="236" customFormat="1" ht="35.25" hidden="1" customHeight="1">
      <c r="A301" s="15">
        <f t="shared" si="4"/>
        <v>291</v>
      </c>
      <c r="B301" s="163" t="s">
        <v>916</v>
      </c>
      <c r="C301" s="170" t="s">
        <v>641</v>
      </c>
      <c r="D301" s="200"/>
      <c r="E301" s="200"/>
      <c r="F301" s="200"/>
      <c r="G301" s="165">
        <v>976370489</v>
      </c>
      <c r="H301" s="147"/>
      <c r="I301" s="162" t="s">
        <v>566</v>
      </c>
      <c r="J301" s="162">
        <v>1</v>
      </c>
      <c r="K301" s="163" t="s">
        <v>3219</v>
      </c>
      <c r="L301" s="147" t="s">
        <v>17</v>
      </c>
      <c r="M301" s="11" t="e">
        <f>VLOOKUP(N301,'Mã NV'!$A$3:$B$196,2,0)</f>
        <v>#N/A</v>
      </c>
      <c r="N301" s="298" t="s">
        <v>176</v>
      </c>
      <c r="O301" s="387">
        <v>44197</v>
      </c>
      <c r="P301" s="371"/>
      <c r="Q301" s="147"/>
      <c r="R301" s="170" t="s">
        <v>2643</v>
      </c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</row>
    <row r="302" spans="1:39" s="236" customFormat="1" ht="35.25" hidden="1" customHeight="1">
      <c r="A302" s="15">
        <f t="shared" si="4"/>
        <v>292</v>
      </c>
      <c r="B302" s="163" t="s">
        <v>917</v>
      </c>
      <c r="C302" s="170" t="s">
        <v>641</v>
      </c>
      <c r="D302" s="200"/>
      <c r="E302" s="200"/>
      <c r="F302" s="200"/>
      <c r="G302" s="165">
        <v>964720269</v>
      </c>
      <c r="H302" s="147"/>
      <c r="I302" s="162" t="s">
        <v>566</v>
      </c>
      <c r="J302" s="162">
        <v>1</v>
      </c>
      <c r="K302" s="163" t="s">
        <v>3219</v>
      </c>
      <c r="L302" s="147" t="s">
        <v>17</v>
      </c>
      <c r="M302" s="11" t="e">
        <f>VLOOKUP(N302,'Mã NV'!$A$3:$B$196,2,0)</f>
        <v>#N/A</v>
      </c>
      <c r="N302" s="298" t="s">
        <v>176</v>
      </c>
      <c r="O302" s="387">
        <v>44197</v>
      </c>
      <c r="P302" s="371"/>
      <c r="Q302" s="147"/>
      <c r="R302" s="170" t="s">
        <v>2643</v>
      </c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</row>
    <row r="303" spans="1:39" s="236" customFormat="1" ht="35.25" hidden="1" customHeight="1">
      <c r="A303" s="15">
        <f t="shared" si="4"/>
        <v>293</v>
      </c>
      <c r="B303" s="163" t="s">
        <v>918</v>
      </c>
      <c r="C303" s="170" t="s">
        <v>641</v>
      </c>
      <c r="D303" s="200"/>
      <c r="E303" s="200"/>
      <c r="F303" s="200"/>
      <c r="G303" s="165">
        <v>981850786</v>
      </c>
      <c r="H303" s="147"/>
      <c r="I303" s="162" t="s">
        <v>566</v>
      </c>
      <c r="J303" s="162">
        <v>1</v>
      </c>
      <c r="K303" s="163" t="s">
        <v>3219</v>
      </c>
      <c r="L303" s="147" t="s">
        <v>17</v>
      </c>
      <c r="M303" s="11" t="e">
        <f>VLOOKUP(N303,'Mã NV'!$A$3:$B$196,2,0)</f>
        <v>#N/A</v>
      </c>
      <c r="N303" s="298" t="s">
        <v>176</v>
      </c>
      <c r="O303" s="387">
        <v>44197</v>
      </c>
      <c r="P303" s="371"/>
      <c r="Q303" s="147"/>
      <c r="R303" s="170" t="s">
        <v>2643</v>
      </c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</row>
    <row r="304" spans="1:39" s="236" customFormat="1" ht="35.25" hidden="1" customHeight="1">
      <c r="A304" s="15">
        <f t="shared" si="4"/>
        <v>294</v>
      </c>
      <c r="B304" s="163" t="s">
        <v>919</v>
      </c>
      <c r="C304" s="170" t="s">
        <v>641</v>
      </c>
      <c r="D304" s="200"/>
      <c r="E304" s="200"/>
      <c r="F304" s="200"/>
      <c r="G304" s="165">
        <v>968483798</v>
      </c>
      <c r="H304" s="147"/>
      <c r="I304" s="162" t="s">
        <v>566</v>
      </c>
      <c r="J304" s="162">
        <v>1</v>
      </c>
      <c r="K304" s="163" t="s">
        <v>3219</v>
      </c>
      <c r="L304" s="147" t="s">
        <v>17</v>
      </c>
      <c r="M304" s="11" t="e">
        <f>VLOOKUP(N304,'Mã NV'!$A$3:$B$196,2,0)</f>
        <v>#N/A</v>
      </c>
      <c r="N304" s="298" t="s">
        <v>176</v>
      </c>
      <c r="O304" s="387">
        <v>44197</v>
      </c>
      <c r="P304" s="371"/>
      <c r="Q304" s="147"/>
      <c r="R304" s="170" t="s">
        <v>2643</v>
      </c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</row>
    <row r="305" spans="1:39" s="236" customFormat="1" ht="35.25" hidden="1" customHeight="1">
      <c r="A305" s="15">
        <f t="shared" si="4"/>
        <v>295</v>
      </c>
      <c r="B305" s="163" t="s">
        <v>920</v>
      </c>
      <c r="C305" s="170" t="s">
        <v>641</v>
      </c>
      <c r="D305" s="200"/>
      <c r="E305" s="200"/>
      <c r="F305" s="200"/>
      <c r="G305" s="165">
        <v>968501598</v>
      </c>
      <c r="H305" s="147"/>
      <c r="I305" s="162" t="s">
        <v>566</v>
      </c>
      <c r="J305" s="162">
        <v>1</v>
      </c>
      <c r="K305" s="163" t="s">
        <v>3219</v>
      </c>
      <c r="L305" s="147" t="s">
        <v>17</v>
      </c>
      <c r="M305" s="11" t="e">
        <f>VLOOKUP(N305,'Mã NV'!$A$3:$B$196,2,0)</f>
        <v>#N/A</v>
      </c>
      <c r="N305" s="298" t="s">
        <v>176</v>
      </c>
      <c r="O305" s="387">
        <v>44197</v>
      </c>
      <c r="P305" s="371"/>
      <c r="Q305" s="147"/>
      <c r="R305" s="170" t="s">
        <v>2643</v>
      </c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</row>
    <row r="306" spans="1:39" ht="35.25" customHeight="1">
      <c r="A306" s="15">
        <f t="shared" si="4"/>
        <v>296</v>
      </c>
      <c r="B306" s="144" t="s">
        <v>921</v>
      </c>
      <c r="C306" s="150" t="s">
        <v>641</v>
      </c>
      <c r="D306" s="46"/>
      <c r="E306" s="46"/>
      <c r="F306" s="46"/>
      <c r="G306" s="142">
        <v>968429189</v>
      </c>
      <c r="H306" s="141"/>
      <c r="I306" s="153" t="s">
        <v>566</v>
      </c>
      <c r="J306" s="153">
        <v>1</v>
      </c>
      <c r="K306" s="144" t="s">
        <v>730</v>
      </c>
      <c r="L306" s="43" t="s">
        <v>2515</v>
      </c>
      <c r="M306" s="11" t="str">
        <f>VLOOKUP(N306,'Mã NV'!$A$3:$B$196,2,0)</f>
        <v>DR01</v>
      </c>
      <c r="N306" s="299" t="s">
        <v>2526</v>
      </c>
      <c r="O306" s="387">
        <v>44197</v>
      </c>
      <c r="P306" s="371"/>
      <c r="Q306" s="43"/>
      <c r="R306" s="150"/>
    </row>
    <row r="307" spans="1:39" ht="35.25" hidden="1" customHeight="1">
      <c r="A307" s="15">
        <f t="shared" si="4"/>
        <v>297</v>
      </c>
      <c r="B307" s="144" t="s">
        <v>922</v>
      </c>
      <c r="C307" s="150" t="s">
        <v>641</v>
      </c>
      <c r="D307" s="46"/>
      <c r="E307" s="46"/>
      <c r="F307" s="46"/>
      <c r="G307" s="142">
        <v>987496698</v>
      </c>
      <c r="H307" s="141"/>
      <c r="I307" s="153" t="s">
        <v>566</v>
      </c>
      <c r="J307" s="153">
        <v>1</v>
      </c>
      <c r="K307" s="144" t="s">
        <v>730</v>
      </c>
      <c r="L307" s="43" t="s">
        <v>2515</v>
      </c>
      <c r="M307" s="11" t="str">
        <f>VLOOKUP(N307,'Mã NV'!$A$3:$B$196,2,0)</f>
        <v>DR03</v>
      </c>
      <c r="N307" s="322" t="s">
        <v>3766</v>
      </c>
      <c r="O307" s="387">
        <v>44197</v>
      </c>
      <c r="P307" s="371"/>
      <c r="Q307" s="43"/>
      <c r="R307" s="150"/>
    </row>
    <row r="308" spans="1:39" ht="35.25" hidden="1" customHeight="1">
      <c r="A308" s="15">
        <f t="shared" si="4"/>
        <v>298</v>
      </c>
      <c r="B308" s="144" t="s">
        <v>923</v>
      </c>
      <c r="C308" s="150" t="s">
        <v>641</v>
      </c>
      <c r="D308" s="46"/>
      <c r="E308" s="46"/>
      <c r="F308" s="46"/>
      <c r="G308" s="142">
        <v>965507166</v>
      </c>
      <c r="H308" s="141"/>
      <c r="I308" s="153" t="s">
        <v>566</v>
      </c>
      <c r="J308" s="153">
        <v>1</v>
      </c>
      <c r="K308" s="144" t="s">
        <v>730</v>
      </c>
      <c r="L308" s="43" t="s">
        <v>2515</v>
      </c>
      <c r="M308" s="11" t="str">
        <f>VLOOKUP(N308,'Mã NV'!$A$3:$B$196,2,0)</f>
        <v>DR03</v>
      </c>
      <c r="N308" s="322" t="s">
        <v>3766</v>
      </c>
      <c r="O308" s="387">
        <v>44197</v>
      </c>
      <c r="P308" s="371"/>
      <c r="Q308" s="43"/>
      <c r="R308" s="150"/>
    </row>
    <row r="309" spans="1:39" s="236" customFormat="1" ht="35.25" hidden="1" customHeight="1">
      <c r="A309" s="15">
        <f t="shared" si="4"/>
        <v>299</v>
      </c>
      <c r="B309" s="163" t="s">
        <v>924</v>
      </c>
      <c r="C309" s="170" t="s">
        <v>925</v>
      </c>
      <c r="D309" s="50"/>
      <c r="E309" s="50"/>
      <c r="F309" s="50"/>
      <c r="G309" s="165"/>
      <c r="H309" s="147"/>
      <c r="I309" s="162" t="s">
        <v>566</v>
      </c>
      <c r="J309" s="162">
        <v>1</v>
      </c>
      <c r="K309" s="163" t="s">
        <v>176</v>
      </c>
      <c r="L309" s="147" t="s">
        <v>17</v>
      </c>
      <c r="M309" s="11" t="e">
        <f>VLOOKUP(N309,'Mã NV'!$A$3:$B$196,2,0)</f>
        <v>#N/A</v>
      </c>
      <c r="N309" s="298" t="s">
        <v>176</v>
      </c>
      <c r="O309" s="387">
        <v>44197</v>
      </c>
      <c r="P309" s="371"/>
      <c r="Q309" s="147"/>
      <c r="R309" s="170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</row>
    <row r="310" spans="1:39" s="137" customFormat="1" ht="35.25" hidden="1" customHeight="1">
      <c r="A310" s="15">
        <f t="shared" si="4"/>
        <v>300</v>
      </c>
      <c r="B310" s="151" t="s">
        <v>926</v>
      </c>
      <c r="C310" s="249" t="s">
        <v>601</v>
      </c>
      <c r="D310" s="25"/>
      <c r="E310" s="25"/>
      <c r="F310" s="25"/>
      <c r="G310" s="195"/>
      <c r="H310" s="148"/>
      <c r="I310" s="166" t="s">
        <v>566</v>
      </c>
      <c r="J310" s="166">
        <v>1</v>
      </c>
      <c r="K310" s="195" t="s">
        <v>300</v>
      </c>
      <c r="L310" s="167" t="s">
        <v>17</v>
      </c>
      <c r="M310" s="11" t="e">
        <f>VLOOKUP(N310,'Mã NV'!$A$3:$B$196,2,0)</f>
        <v>#N/A</v>
      </c>
      <c r="N310" s="300" t="s">
        <v>2528</v>
      </c>
      <c r="O310" s="387">
        <v>44197</v>
      </c>
      <c r="P310" s="371"/>
      <c r="Q310" s="138"/>
      <c r="R310" s="385" t="s">
        <v>2634</v>
      </c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</row>
    <row r="311" spans="1:39" s="236" customFormat="1" ht="35.25" hidden="1" customHeight="1">
      <c r="A311" s="15">
        <f t="shared" si="4"/>
        <v>301</v>
      </c>
      <c r="B311" s="165" t="s">
        <v>927</v>
      </c>
      <c r="C311" s="170" t="s">
        <v>928</v>
      </c>
      <c r="D311" s="50"/>
      <c r="E311" s="50"/>
      <c r="F311" s="50"/>
      <c r="G311" s="163"/>
      <c r="H311" s="147"/>
      <c r="I311" s="162" t="s">
        <v>566</v>
      </c>
      <c r="J311" s="162">
        <v>1</v>
      </c>
      <c r="K311" s="163" t="s">
        <v>2494</v>
      </c>
      <c r="L311" s="165" t="s">
        <v>17</v>
      </c>
      <c r="M311" s="11" t="e">
        <f>VLOOKUP(N311,'Mã NV'!$A$3:$B$196,2,0)</f>
        <v>#N/A</v>
      </c>
      <c r="N311" s="301" t="s">
        <v>176</v>
      </c>
      <c r="O311" s="387">
        <v>44197</v>
      </c>
      <c r="P311" s="371"/>
      <c r="Q311" s="147"/>
      <c r="R311" s="384" t="s">
        <v>2635</v>
      </c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</row>
    <row r="312" spans="1:39" s="236" customFormat="1" ht="35.25" hidden="1" customHeight="1">
      <c r="A312" s="15">
        <f t="shared" si="4"/>
        <v>302</v>
      </c>
      <c r="B312" s="165" t="s">
        <v>929</v>
      </c>
      <c r="C312" s="170" t="s">
        <v>120</v>
      </c>
      <c r="D312" s="50"/>
      <c r="E312" s="50"/>
      <c r="F312" s="50"/>
      <c r="G312" s="163"/>
      <c r="H312" s="147"/>
      <c r="I312" s="162" t="s">
        <v>566</v>
      </c>
      <c r="J312" s="162">
        <v>1</v>
      </c>
      <c r="K312" s="163" t="s">
        <v>730</v>
      </c>
      <c r="L312" s="165" t="s">
        <v>17</v>
      </c>
      <c r="M312" s="11" t="e">
        <f>VLOOKUP(N312,'Mã NV'!$A$3:$B$196,2,0)</f>
        <v>#N/A</v>
      </c>
      <c r="N312" s="301" t="s">
        <v>176</v>
      </c>
      <c r="O312" s="387">
        <v>44197</v>
      </c>
      <c r="P312" s="371"/>
      <c r="Q312" s="147"/>
      <c r="R312" s="384" t="s">
        <v>2635</v>
      </c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</row>
    <row r="313" spans="1:39" s="236" customFormat="1" ht="35.25" hidden="1" customHeight="1">
      <c r="A313" s="15">
        <f t="shared" si="4"/>
        <v>303</v>
      </c>
      <c r="B313" s="163" t="s">
        <v>930</v>
      </c>
      <c r="C313" s="170" t="s">
        <v>620</v>
      </c>
      <c r="D313" s="163"/>
      <c r="E313" s="163"/>
      <c r="F313" s="163"/>
      <c r="G313" s="163" t="s">
        <v>2334</v>
      </c>
      <c r="H313" s="147"/>
      <c r="I313" s="162" t="s">
        <v>566</v>
      </c>
      <c r="J313" s="162">
        <v>1</v>
      </c>
      <c r="K313" s="163" t="s">
        <v>730</v>
      </c>
      <c r="L313" s="165" t="s">
        <v>17</v>
      </c>
      <c r="M313" s="11" t="e">
        <f>VLOOKUP(N313,'Mã NV'!$A$3:$B$196,2,0)</f>
        <v>#N/A</v>
      </c>
      <c r="N313" s="301" t="s">
        <v>176</v>
      </c>
      <c r="O313" s="393">
        <f>VLOOKUP(B313,'Tổng hợp (3)'!$C$4:$E$985,3,0)</f>
        <v>44523</v>
      </c>
      <c r="P313" s="371"/>
      <c r="Q313" s="164"/>
      <c r="R313" s="170" t="s">
        <v>2651</v>
      </c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</row>
    <row r="314" spans="1:39" s="236" customFormat="1" ht="35.25" hidden="1" customHeight="1">
      <c r="A314" s="15">
        <f t="shared" si="4"/>
        <v>304</v>
      </c>
      <c r="B314" s="163" t="s">
        <v>931</v>
      </c>
      <c r="C314" s="170" t="s">
        <v>932</v>
      </c>
      <c r="D314" s="163"/>
      <c r="E314" s="163"/>
      <c r="F314" s="163"/>
      <c r="G314" s="163" t="s">
        <v>2335</v>
      </c>
      <c r="H314" s="147"/>
      <c r="I314" s="162" t="s">
        <v>566</v>
      </c>
      <c r="J314" s="162">
        <v>1</v>
      </c>
      <c r="K314" s="163" t="s">
        <v>730</v>
      </c>
      <c r="L314" s="165" t="s">
        <v>17</v>
      </c>
      <c r="M314" s="11" t="e">
        <f>VLOOKUP(N314,'Mã NV'!$A$3:$B$196,2,0)</f>
        <v>#N/A</v>
      </c>
      <c r="N314" s="301" t="s">
        <v>176</v>
      </c>
      <c r="O314" s="387">
        <v>44197</v>
      </c>
      <c r="P314" s="371"/>
      <c r="Q314" s="164"/>
      <c r="R314" s="170" t="s">
        <v>2652</v>
      </c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</row>
    <row r="315" spans="1:39" ht="35.25" hidden="1" customHeight="1">
      <c r="A315" s="15">
        <f t="shared" si="4"/>
        <v>305</v>
      </c>
      <c r="B315" s="163" t="s">
        <v>1218</v>
      </c>
      <c r="C315" s="170" t="s">
        <v>633</v>
      </c>
      <c r="D315" s="163"/>
      <c r="E315" s="163"/>
      <c r="F315" s="163"/>
      <c r="G315" s="164" t="s">
        <v>2369</v>
      </c>
      <c r="H315" s="147"/>
      <c r="I315" s="162" t="s">
        <v>18</v>
      </c>
      <c r="J315" s="162">
        <v>1</v>
      </c>
      <c r="K315" s="165" t="s">
        <v>2495</v>
      </c>
      <c r="L315" s="165" t="s">
        <v>17</v>
      </c>
      <c r="M315" s="11" t="e">
        <f>VLOOKUP(N315,'Mã NV'!$A$3:$B$196,2,0)</f>
        <v>#N/A</v>
      </c>
      <c r="N315" s="301" t="s">
        <v>176</v>
      </c>
      <c r="O315" s="387">
        <v>44197</v>
      </c>
      <c r="P315" s="371"/>
      <c r="Q315" s="164"/>
      <c r="R315" s="170" t="s">
        <v>2653</v>
      </c>
    </row>
    <row r="316" spans="1:39" ht="35.25" hidden="1" customHeight="1">
      <c r="A316" s="15">
        <f t="shared" si="4"/>
        <v>306</v>
      </c>
      <c r="B316" s="163" t="s">
        <v>1219</v>
      </c>
      <c r="C316" s="170" t="s">
        <v>120</v>
      </c>
      <c r="D316" s="163"/>
      <c r="E316" s="163"/>
      <c r="F316" s="163"/>
      <c r="G316" s="164"/>
      <c r="H316" s="147"/>
      <c r="I316" s="162" t="s">
        <v>18</v>
      </c>
      <c r="J316" s="162">
        <v>1</v>
      </c>
      <c r="K316" s="165" t="s">
        <v>730</v>
      </c>
      <c r="L316" s="165" t="s">
        <v>17</v>
      </c>
      <c r="M316" s="11" t="e">
        <f>VLOOKUP(N316,'Mã NV'!$A$3:$B$196,2,0)</f>
        <v>#N/A</v>
      </c>
      <c r="N316" s="301" t="s">
        <v>176</v>
      </c>
      <c r="O316" s="387">
        <v>44197</v>
      </c>
      <c r="P316" s="371"/>
      <c r="Q316" s="164"/>
      <c r="R316" s="170" t="s">
        <v>2653</v>
      </c>
    </row>
    <row r="317" spans="1:39" ht="35.25" customHeight="1">
      <c r="A317" s="15">
        <f t="shared" si="4"/>
        <v>307</v>
      </c>
      <c r="B317" s="156" t="s">
        <v>936</v>
      </c>
      <c r="C317" s="169" t="s">
        <v>937</v>
      </c>
      <c r="D317" s="156"/>
      <c r="E317" s="156"/>
      <c r="F317" s="156"/>
      <c r="G317" s="160" t="s">
        <v>937</v>
      </c>
      <c r="H317" s="141"/>
      <c r="I317" s="158" t="s">
        <v>18</v>
      </c>
      <c r="J317" s="158">
        <v>1</v>
      </c>
      <c r="K317" s="145" t="s">
        <v>730</v>
      </c>
      <c r="L317" s="145" t="s">
        <v>17</v>
      </c>
      <c r="M317" s="11" t="str">
        <f>VLOOKUP(N317,'Mã NV'!$A$3:$B$196,2,0)</f>
        <v>HR01</v>
      </c>
      <c r="N317" s="302" t="s">
        <v>119</v>
      </c>
      <c r="O317" s="386">
        <v>45000</v>
      </c>
      <c r="P317" s="371"/>
      <c r="Q317" s="160"/>
      <c r="R317" s="169" t="s">
        <v>2654</v>
      </c>
    </row>
    <row r="318" spans="1:39" s="236" customFormat="1" ht="35.25" hidden="1" customHeight="1">
      <c r="A318" s="15">
        <f t="shared" si="4"/>
        <v>308</v>
      </c>
      <c r="B318" s="163" t="s">
        <v>938</v>
      </c>
      <c r="C318" s="170" t="s">
        <v>939</v>
      </c>
      <c r="D318" s="163"/>
      <c r="E318" s="163"/>
      <c r="F318" s="163"/>
      <c r="G318" s="394" t="s">
        <v>2636</v>
      </c>
      <c r="H318" s="147"/>
      <c r="I318" s="163" t="s">
        <v>181</v>
      </c>
      <c r="J318" s="162">
        <v>1</v>
      </c>
      <c r="K318" s="165" t="s">
        <v>730</v>
      </c>
      <c r="L318" s="165" t="s">
        <v>17</v>
      </c>
      <c r="M318" s="11" t="e">
        <f>VLOOKUP(N318,'Mã NV'!$A$3:$B$196,2,0)</f>
        <v>#N/A</v>
      </c>
      <c r="N318" s="296" t="s">
        <v>176</v>
      </c>
      <c r="O318" s="387">
        <v>44197</v>
      </c>
      <c r="P318" s="371"/>
      <c r="Q318" s="164"/>
      <c r="R318" s="170" t="s">
        <v>2655</v>
      </c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</row>
    <row r="319" spans="1:39" s="236" customFormat="1" ht="35.25" hidden="1" customHeight="1">
      <c r="A319" s="15">
        <f t="shared" si="4"/>
        <v>309</v>
      </c>
      <c r="B319" s="163" t="s">
        <v>940</v>
      </c>
      <c r="C319" s="170" t="s">
        <v>896</v>
      </c>
      <c r="D319" s="163"/>
      <c r="E319" s="163"/>
      <c r="F319" s="163"/>
      <c r="G319" s="237"/>
      <c r="H319" s="147"/>
      <c r="I319" s="163" t="s">
        <v>566</v>
      </c>
      <c r="J319" s="162">
        <v>1</v>
      </c>
      <c r="K319" s="165" t="s">
        <v>730</v>
      </c>
      <c r="L319" s="165" t="s">
        <v>17</v>
      </c>
      <c r="M319" s="11" t="e">
        <f>VLOOKUP(N319,'Mã NV'!$A$3:$B$196,2,0)</f>
        <v>#N/A</v>
      </c>
      <c r="N319" s="296" t="s">
        <v>176</v>
      </c>
      <c r="O319" s="387">
        <v>44197</v>
      </c>
      <c r="P319" s="371"/>
      <c r="Q319" s="164"/>
      <c r="R319" s="170" t="s">
        <v>2655</v>
      </c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</row>
    <row r="320" spans="1:39" ht="35.25" hidden="1" customHeight="1">
      <c r="A320" s="15">
        <f t="shared" si="4"/>
        <v>310</v>
      </c>
      <c r="B320" s="144" t="s">
        <v>941</v>
      </c>
      <c r="C320" s="150" t="s">
        <v>641</v>
      </c>
      <c r="D320" s="156"/>
      <c r="E320" s="156"/>
      <c r="F320" s="156"/>
      <c r="G320" s="144" t="s">
        <v>2337</v>
      </c>
      <c r="H320" s="141"/>
      <c r="I320" s="144" t="s">
        <v>566</v>
      </c>
      <c r="J320" s="153">
        <v>1</v>
      </c>
      <c r="K320" s="142" t="s">
        <v>730</v>
      </c>
      <c r="L320" s="145" t="s">
        <v>17</v>
      </c>
      <c r="M320" s="11" t="str">
        <f>VLOOKUP(N320,'Mã NV'!$A$3:$B$196,2,0)</f>
        <v>NV0013</v>
      </c>
      <c r="N320" s="297" t="s">
        <v>2523</v>
      </c>
      <c r="O320" s="381">
        <v>44197</v>
      </c>
      <c r="P320" s="371"/>
      <c r="Q320" s="160"/>
      <c r="R320" s="150" t="s">
        <v>2655</v>
      </c>
    </row>
    <row r="321" spans="1:39" ht="35.25" customHeight="1">
      <c r="A321" s="15">
        <f t="shared" si="4"/>
        <v>311</v>
      </c>
      <c r="B321" s="244" t="s">
        <v>942</v>
      </c>
      <c r="C321" s="238" t="s">
        <v>288</v>
      </c>
      <c r="D321" s="156"/>
      <c r="E321" s="156"/>
      <c r="F321" s="156"/>
      <c r="G321" s="144"/>
      <c r="H321" s="141"/>
      <c r="I321" s="144" t="s">
        <v>566</v>
      </c>
      <c r="J321" s="153">
        <v>1</v>
      </c>
      <c r="K321" s="142" t="s">
        <v>730</v>
      </c>
      <c r="L321" s="43" t="s">
        <v>2515</v>
      </c>
      <c r="M321" s="11" t="str">
        <f>VLOOKUP(N321,'Mã NV'!$A$3:$B$196,2,0)</f>
        <v>DR01</v>
      </c>
      <c r="N321" s="297" t="s">
        <v>2526</v>
      </c>
      <c r="O321" s="380">
        <f>VLOOKUP(B321,'Tổng hợp (3)'!$C$4:$E$985,3,0)</f>
        <v>44769</v>
      </c>
      <c r="P321" s="371"/>
      <c r="Q321" s="160"/>
      <c r="R321" s="150" t="s">
        <v>25</v>
      </c>
    </row>
    <row r="322" spans="1:39" ht="35.25" hidden="1" customHeight="1">
      <c r="A322" s="15">
        <f t="shared" si="4"/>
        <v>312</v>
      </c>
      <c r="B322" s="29" t="s">
        <v>943</v>
      </c>
      <c r="C322" s="29" t="s">
        <v>944</v>
      </c>
      <c r="D322" s="156"/>
      <c r="E322" s="156"/>
      <c r="F322" s="156"/>
      <c r="G322" s="144"/>
      <c r="H322" s="141"/>
      <c r="I322" s="144" t="s">
        <v>566</v>
      </c>
      <c r="J322" s="153">
        <v>1</v>
      </c>
      <c r="K322" s="142" t="s">
        <v>730</v>
      </c>
      <c r="L322" s="43" t="s">
        <v>2515</v>
      </c>
      <c r="M322" s="11" t="str">
        <f>VLOOKUP(N322,'Mã NV'!$A$3:$B$196,2,0)</f>
        <v>DR02</v>
      </c>
      <c r="N322" s="299" t="s">
        <v>2656</v>
      </c>
      <c r="O322" s="380">
        <f>VLOOKUP(B322,'Tổng hợp (3)'!$C$4:$E$985,3,0)</f>
        <v>44893</v>
      </c>
      <c r="P322" s="378"/>
      <c r="Q322" s="160"/>
      <c r="R322" s="150" t="s">
        <v>2656</v>
      </c>
    </row>
    <row r="323" spans="1:39" ht="35.25" hidden="1" customHeight="1">
      <c r="A323" s="15">
        <f t="shared" si="4"/>
        <v>313</v>
      </c>
      <c r="B323" s="18" t="s">
        <v>945</v>
      </c>
      <c r="C323" s="21" t="s">
        <v>946</v>
      </c>
      <c r="D323" s="156"/>
      <c r="E323" s="156"/>
      <c r="F323" s="156"/>
      <c r="G323" s="245"/>
      <c r="H323" s="141"/>
      <c r="I323" s="144" t="s">
        <v>566</v>
      </c>
      <c r="J323" s="153">
        <v>1</v>
      </c>
      <c r="K323" s="142" t="s">
        <v>730</v>
      </c>
      <c r="L323" s="43" t="s">
        <v>2515</v>
      </c>
      <c r="M323" s="11" t="str">
        <f>VLOOKUP(N323,'Mã NV'!$A$3:$B$196,2,0)</f>
        <v>DR03</v>
      </c>
      <c r="N323" s="322" t="s">
        <v>3766</v>
      </c>
      <c r="O323" s="380">
        <f>VLOOKUP(B323,'Tổng hợp (3)'!$C$4:$E$985,3,0)</f>
        <v>44379</v>
      </c>
      <c r="P323" s="378"/>
      <c r="Q323" s="160"/>
      <c r="R323" s="150" t="s">
        <v>2527</v>
      </c>
    </row>
    <row r="324" spans="1:39" s="236" customFormat="1" ht="35.25" hidden="1" customHeight="1">
      <c r="A324" s="15">
        <f t="shared" si="4"/>
        <v>314</v>
      </c>
      <c r="B324" s="163" t="s">
        <v>947</v>
      </c>
      <c r="C324" s="164">
        <v>969620188</v>
      </c>
      <c r="D324" s="163"/>
      <c r="E324" s="163"/>
      <c r="F324" s="163"/>
      <c r="G324" s="200"/>
      <c r="H324" s="147"/>
      <c r="I324" s="163" t="s">
        <v>566</v>
      </c>
      <c r="J324" s="162">
        <v>1</v>
      </c>
      <c r="K324" s="165" t="s">
        <v>3219</v>
      </c>
      <c r="L324" s="147" t="s">
        <v>17</v>
      </c>
      <c r="M324" s="11" t="e">
        <f>VLOOKUP(N324,'Mã NV'!$A$3:$B$196,2,0)</f>
        <v>#N/A</v>
      </c>
      <c r="N324" s="296" t="s">
        <v>176</v>
      </c>
      <c r="O324" s="387">
        <v>44197</v>
      </c>
      <c r="P324" s="371"/>
      <c r="Q324" s="164"/>
      <c r="R324" s="170" t="s">
        <v>2643</v>
      </c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</row>
    <row r="325" spans="1:39" s="236" customFormat="1" ht="35.25" hidden="1" customHeight="1">
      <c r="A325" s="15">
        <f t="shared" si="4"/>
        <v>315</v>
      </c>
      <c r="B325" s="163" t="s">
        <v>948</v>
      </c>
      <c r="C325" s="164">
        <v>967305189</v>
      </c>
      <c r="D325" s="163"/>
      <c r="E325" s="163"/>
      <c r="F325" s="163"/>
      <c r="G325" s="200"/>
      <c r="H325" s="147"/>
      <c r="I325" s="163" t="s">
        <v>566</v>
      </c>
      <c r="J325" s="162">
        <v>1</v>
      </c>
      <c r="K325" s="165" t="s">
        <v>3219</v>
      </c>
      <c r="L325" s="147" t="s">
        <v>17</v>
      </c>
      <c r="M325" s="11" t="e">
        <f>VLOOKUP(N325,'Mã NV'!$A$3:$B$196,2,0)</f>
        <v>#N/A</v>
      </c>
      <c r="N325" s="296" t="s">
        <v>2529</v>
      </c>
      <c r="O325" s="387">
        <v>44197</v>
      </c>
      <c r="P325" s="371"/>
      <c r="Q325" s="164"/>
      <c r="R325" s="170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</row>
    <row r="326" spans="1:39" s="236" customFormat="1" ht="35.25" hidden="1" customHeight="1">
      <c r="A326" s="15">
        <f t="shared" si="4"/>
        <v>316</v>
      </c>
      <c r="B326" s="163" t="s">
        <v>949</v>
      </c>
      <c r="C326" s="164">
        <v>961835189</v>
      </c>
      <c r="D326" s="163"/>
      <c r="E326" s="163"/>
      <c r="F326" s="163"/>
      <c r="G326" s="200"/>
      <c r="H326" s="147"/>
      <c r="I326" s="163" t="s">
        <v>566</v>
      </c>
      <c r="J326" s="162">
        <v>1</v>
      </c>
      <c r="K326" s="165" t="s">
        <v>3219</v>
      </c>
      <c r="L326" s="147" t="s">
        <v>17</v>
      </c>
      <c r="M326" s="11" t="e">
        <f>VLOOKUP(N326,'Mã NV'!$A$3:$B$196,2,0)</f>
        <v>#N/A</v>
      </c>
      <c r="N326" s="296" t="s">
        <v>2529</v>
      </c>
      <c r="O326" s="387">
        <v>44197</v>
      </c>
      <c r="P326" s="371"/>
      <c r="Q326" s="164"/>
      <c r="R326" s="170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</row>
    <row r="327" spans="1:39" s="236" customFormat="1" ht="35.25" hidden="1" customHeight="1">
      <c r="A327" s="15">
        <f t="shared" si="4"/>
        <v>317</v>
      </c>
      <c r="B327" s="163" t="s">
        <v>950</v>
      </c>
      <c r="C327" s="164">
        <v>964220169</v>
      </c>
      <c r="D327" s="163"/>
      <c r="E327" s="163"/>
      <c r="F327" s="163"/>
      <c r="G327" s="200"/>
      <c r="H327" s="147"/>
      <c r="I327" s="163" t="s">
        <v>566</v>
      </c>
      <c r="J327" s="162">
        <v>1</v>
      </c>
      <c r="K327" s="165" t="s">
        <v>3219</v>
      </c>
      <c r="L327" s="147" t="s">
        <v>17</v>
      </c>
      <c r="M327" s="11" t="e">
        <f>VLOOKUP(N327,'Mã NV'!$A$3:$B$196,2,0)</f>
        <v>#N/A</v>
      </c>
      <c r="N327" s="296" t="s">
        <v>2529</v>
      </c>
      <c r="O327" s="387">
        <v>44197</v>
      </c>
      <c r="P327" s="371"/>
      <c r="Q327" s="164"/>
      <c r="R327" s="170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</row>
    <row r="328" spans="1:39" s="236" customFormat="1" ht="35.25" hidden="1" customHeight="1">
      <c r="A328" s="15">
        <f t="shared" si="4"/>
        <v>318</v>
      </c>
      <c r="B328" s="163" t="s">
        <v>951</v>
      </c>
      <c r="C328" s="164">
        <v>966504069</v>
      </c>
      <c r="D328" s="163"/>
      <c r="E328" s="163"/>
      <c r="F328" s="163"/>
      <c r="G328" s="200"/>
      <c r="H328" s="147"/>
      <c r="I328" s="163" t="s">
        <v>566</v>
      </c>
      <c r="J328" s="162">
        <v>1</v>
      </c>
      <c r="K328" s="165" t="s">
        <v>3219</v>
      </c>
      <c r="L328" s="147" t="s">
        <v>17</v>
      </c>
      <c r="M328" s="11" t="e">
        <f>VLOOKUP(N328,'Mã NV'!$A$3:$B$196,2,0)</f>
        <v>#N/A</v>
      </c>
      <c r="N328" s="296" t="s">
        <v>2529</v>
      </c>
      <c r="O328" s="387">
        <v>44197</v>
      </c>
      <c r="P328" s="371"/>
      <c r="Q328" s="164"/>
      <c r="R328" s="170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</row>
    <row r="329" spans="1:39" s="136" customFormat="1" ht="35.25" hidden="1" customHeight="1">
      <c r="A329" s="15">
        <f t="shared" si="4"/>
        <v>319</v>
      </c>
      <c r="B329" s="156" t="s">
        <v>3235</v>
      </c>
      <c r="C329" s="160" t="s">
        <v>3236</v>
      </c>
      <c r="D329" s="156"/>
      <c r="E329" s="156"/>
      <c r="F329" s="156"/>
      <c r="G329" s="46"/>
      <c r="H329" s="43"/>
      <c r="I329" s="258" t="s">
        <v>566</v>
      </c>
      <c r="J329" s="257">
        <v>1</v>
      </c>
      <c r="K329" s="145" t="s">
        <v>730</v>
      </c>
      <c r="L329" s="43" t="s">
        <v>17</v>
      </c>
      <c r="M329" s="11" t="str">
        <f>VLOOKUP(N329,'Mã NV'!$A$3:$B$196,2,0)</f>
        <v>NV0013</v>
      </c>
      <c r="N329" s="303" t="s">
        <v>2523</v>
      </c>
      <c r="O329" s="386">
        <v>45008</v>
      </c>
      <c r="P329" s="371"/>
      <c r="Q329" s="160"/>
      <c r="R329" s="169"/>
      <c r="S329" s="131"/>
      <c r="T329" s="131"/>
      <c r="U329" s="131"/>
      <c r="V329" s="131"/>
      <c r="W329" s="131"/>
      <c r="X329" s="131"/>
      <c r="Y329" s="131"/>
      <c r="Z329" s="131"/>
      <c r="AA329" s="131"/>
      <c r="AB329" s="131"/>
      <c r="AC329" s="131"/>
      <c r="AD329" s="131"/>
      <c r="AE329" s="131"/>
      <c r="AF329" s="131"/>
      <c r="AG329" s="131"/>
      <c r="AH329" s="131"/>
      <c r="AI329" s="131"/>
      <c r="AJ329" s="131"/>
      <c r="AK329" s="131"/>
      <c r="AL329" s="131"/>
      <c r="AM329" s="131"/>
    </row>
    <row r="330" spans="1:39" s="136" customFormat="1" ht="34.5" hidden="1" customHeight="1">
      <c r="A330" s="15">
        <f t="shared" si="4"/>
        <v>320</v>
      </c>
      <c r="B330" s="156" t="s">
        <v>3237</v>
      </c>
      <c r="C330" s="160" t="s">
        <v>3238</v>
      </c>
      <c r="D330" s="156"/>
      <c r="E330" s="156"/>
      <c r="F330" s="156"/>
      <c r="G330" s="160" t="s">
        <v>3238</v>
      </c>
      <c r="H330" s="43"/>
      <c r="I330" s="258" t="s">
        <v>566</v>
      </c>
      <c r="J330" s="257">
        <v>1</v>
      </c>
      <c r="K330" s="145" t="s">
        <v>730</v>
      </c>
      <c r="L330" s="43" t="s">
        <v>17</v>
      </c>
      <c r="M330" s="11" t="str">
        <f>VLOOKUP(N330,'Mã NV'!$A$3:$B$196,2,0)</f>
        <v>NV0013</v>
      </c>
      <c r="N330" s="303" t="s">
        <v>2523</v>
      </c>
      <c r="O330" s="386">
        <v>45008</v>
      </c>
      <c r="P330" s="371"/>
      <c r="Q330" s="160"/>
      <c r="R330" s="169"/>
      <c r="S330" s="131"/>
      <c r="T330" s="131"/>
      <c r="U330" s="131"/>
      <c r="V330" s="131"/>
      <c r="W330" s="131"/>
      <c r="X330" s="131"/>
      <c r="Y330" s="131"/>
      <c r="Z330" s="131"/>
      <c r="AA330" s="131"/>
      <c r="AB330" s="131"/>
      <c r="AC330" s="131"/>
      <c r="AD330" s="131"/>
      <c r="AE330" s="131"/>
      <c r="AF330" s="131"/>
      <c r="AG330" s="131"/>
      <c r="AH330" s="131"/>
      <c r="AI330" s="131"/>
      <c r="AJ330" s="131"/>
      <c r="AK330" s="131"/>
      <c r="AL330" s="131"/>
      <c r="AM330" s="131"/>
    </row>
    <row r="331" spans="1:39" s="136" customFormat="1" ht="35.25" hidden="1" customHeight="1">
      <c r="A331" s="15">
        <f t="shared" si="4"/>
        <v>321</v>
      </c>
      <c r="B331" s="156" t="s">
        <v>3239</v>
      </c>
      <c r="C331" s="160" t="s">
        <v>3238</v>
      </c>
      <c r="D331" s="156"/>
      <c r="E331" s="156"/>
      <c r="F331" s="156"/>
      <c r="G331" s="160" t="s">
        <v>3238</v>
      </c>
      <c r="H331" s="43"/>
      <c r="I331" s="258" t="s">
        <v>566</v>
      </c>
      <c r="J331" s="257">
        <v>1</v>
      </c>
      <c r="K331" s="145" t="s">
        <v>730</v>
      </c>
      <c r="L331" s="43" t="s">
        <v>17</v>
      </c>
      <c r="M331" s="11" t="str">
        <f>VLOOKUP(N331,'Mã NV'!$A$3:$B$196,2,0)</f>
        <v>NV0013</v>
      </c>
      <c r="N331" s="303" t="s">
        <v>2523</v>
      </c>
      <c r="O331" s="386">
        <v>45008</v>
      </c>
      <c r="P331" s="371"/>
      <c r="Q331" s="160"/>
      <c r="R331" s="169"/>
      <c r="S331" s="131"/>
      <c r="T331" s="131"/>
      <c r="U331" s="131"/>
      <c r="V331" s="131"/>
      <c r="W331" s="131"/>
      <c r="X331" s="131"/>
      <c r="Y331" s="131"/>
      <c r="Z331" s="131"/>
      <c r="AA331" s="131"/>
      <c r="AB331" s="131"/>
      <c r="AC331" s="131"/>
      <c r="AD331" s="131"/>
      <c r="AE331" s="131"/>
      <c r="AF331" s="131"/>
      <c r="AG331" s="131"/>
      <c r="AH331" s="131"/>
      <c r="AI331" s="131"/>
      <c r="AJ331" s="131"/>
      <c r="AK331" s="131"/>
      <c r="AL331" s="131"/>
      <c r="AM331" s="131"/>
    </row>
    <row r="332" spans="1:39" s="136" customFormat="1" ht="35.25" hidden="1" customHeight="1">
      <c r="A332" s="15">
        <f t="shared" si="4"/>
        <v>322</v>
      </c>
      <c r="B332" s="156" t="s">
        <v>3240</v>
      </c>
      <c r="C332" s="160" t="s">
        <v>3238</v>
      </c>
      <c r="D332" s="156"/>
      <c r="E332" s="156"/>
      <c r="F332" s="156"/>
      <c r="G332" s="160" t="s">
        <v>3238</v>
      </c>
      <c r="H332" s="43"/>
      <c r="I332" s="258" t="s">
        <v>566</v>
      </c>
      <c r="J332" s="257">
        <v>1</v>
      </c>
      <c r="K332" s="145" t="s">
        <v>730</v>
      </c>
      <c r="L332" s="43" t="s">
        <v>17</v>
      </c>
      <c r="M332" s="11" t="str">
        <f>VLOOKUP(N332,'Mã NV'!$A$3:$B$196,2,0)</f>
        <v>NV0013</v>
      </c>
      <c r="N332" s="303" t="s">
        <v>2523</v>
      </c>
      <c r="O332" s="386">
        <v>45008</v>
      </c>
      <c r="P332" s="371"/>
      <c r="Q332" s="160"/>
      <c r="R332" s="169"/>
      <c r="S332" s="131"/>
      <c r="T332" s="131"/>
      <c r="U332" s="131"/>
      <c r="V332" s="131"/>
      <c r="W332" s="131"/>
      <c r="X332" s="131"/>
      <c r="Y332" s="131"/>
      <c r="Z332" s="131"/>
      <c r="AA332" s="131"/>
      <c r="AB332" s="131"/>
      <c r="AC332" s="131"/>
      <c r="AD332" s="131"/>
      <c r="AE332" s="131"/>
      <c r="AF332" s="131"/>
      <c r="AG332" s="131"/>
      <c r="AH332" s="131"/>
      <c r="AI332" s="131"/>
      <c r="AJ332" s="131"/>
      <c r="AK332" s="131"/>
      <c r="AL332" s="131"/>
      <c r="AM332" s="131"/>
    </row>
    <row r="333" spans="1:39" s="136" customFormat="1" ht="35.25" hidden="1" customHeight="1">
      <c r="A333" s="15">
        <f t="shared" ref="A333:A401" si="5">A332+1</f>
        <v>323</v>
      </c>
      <c r="B333" s="156" t="s">
        <v>3241</v>
      </c>
      <c r="C333" s="160" t="s">
        <v>3238</v>
      </c>
      <c r="D333" s="156"/>
      <c r="E333" s="156"/>
      <c r="F333" s="156"/>
      <c r="G333" s="160" t="s">
        <v>3238</v>
      </c>
      <c r="H333" s="43"/>
      <c r="I333" s="258" t="s">
        <v>566</v>
      </c>
      <c r="J333" s="257">
        <v>1</v>
      </c>
      <c r="K333" s="145" t="s">
        <v>730</v>
      </c>
      <c r="L333" s="43" t="s">
        <v>17</v>
      </c>
      <c r="M333" s="11" t="str">
        <f>VLOOKUP(N333,'Mã NV'!$A$3:$B$196,2,0)</f>
        <v>NV0013</v>
      </c>
      <c r="N333" s="303" t="s">
        <v>2523</v>
      </c>
      <c r="O333" s="386">
        <v>45008</v>
      </c>
      <c r="P333" s="371"/>
      <c r="Q333" s="160"/>
      <c r="R333" s="169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  <c r="AC333" s="131"/>
      <c r="AD333" s="131"/>
      <c r="AE333" s="131"/>
      <c r="AF333" s="131"/>
      <c r="AG333" s="131"/>
      <c r="AH333" s="131"/>
      <c r="AI333" s="131"/>
      <c r="AJ333" s="131"/>
      <c r="AK333" s="131"/>
      <c r="AL333" s="131"/>
      <c r="AM333" s="131"/>
    </row>
    <row r="334" spans="1:39" s="136" customFormat="1" ht="35.25" hidden="1" customHeight="1">
      <c r="A334" s="15">
        <f t="shared" si="5"/>
        <v>324</v>
      </c>
      <c r="B334" s="156" t="s">
        <v>3242</v>
      </c>
      <c r="C334" s="160" t="s">
        <v>3238</v>
      </c>
      <c r="D334" s="156"/>
      <c r="E334" s="156"/>
      <c r="F334" s="156"/>
      <c r="G334" s="160" t="s">
        <v>3238</v>
      </c>
      <c r="H334" s="43"/>
      <c r="I334" s="258" t="s">
        <v>566</v>
      </c>
      <c r="J334" s="257">
        <v>1</v>
      </c>
      <c r="K334" s="145" t="s">
        <v>730</v>
      </c>
      <c r="L334" s="43" t="s">
        <v>17</v>
      </c>
      <c r="M334" s="11" t="str">
        <f>VLOOKUP(N334,'Mã NV'!$A$3:$B$196,2,0)</f>
        <v>NV0013</v>
      </c>
      <c r="N334" s="303" t="s">
        <v>2523</v>
      </c>
      <c r="O334" s="386">
        <v>45008</v>
      </c>
      <c r="P334" s="371"/>
      <c r="Q334" s="160"/>
      <c r="R334" s="169"/>
      <c r="S334" s="131"/>
      <c r="T334" s="131"/>
      <c r="U334" s="131"/>
      <c r="V334" s="131"/>
      <c r="W334" s="131"/>
      <c r="X334" s="131"/>
      <c r="Y334" s="131"/>
      <c r="Z334" s="131"/>
      <c r="AA334" s="131"/>
      <c r="AB334" s="131"/>
      <c r="AC334" s="131"/>
      <c r="AD334" s="131"/>
      <c r="AE334" s="131"/>
      <c r="AF334" s="131"/>
      <c r="AG334" s="131"/>
      <c r="AH334" s="131"/>
      <c r="AI334" s="131"/>
      <c r="AJ334" s="131"/>
      <c r="AK334" s="131"/>
      <c r="AL334" s="131"/>
      <c r="AM334" s="131"/>
    </row>
    <row r="335" spans="1:39" ht="35.25" hidden="1" customHeight="1">
      <c r="A335" s="15">
        <f t="shared" si="5"/>
        <v>325</v>
      </c>
      <c r="B335" s="141" t="s">
        <v>383</v>
      </c>
      <c r="C335" s="64" t="s">
        <v>384</v>
      </c>
      <c r="D335" s="156"/>
      <c r="E335" s="156"/>
      <c r="F335" s="156"/>
      <c r="G335" s="64" t="s">
        <v>385</v>
      </c>
      <c r="H335" s="141"/>
      <c r="I335" s="15" t="s">
        <v>18</v>
      </c>
      <c r="J335" s="15">
        <v>1</v>
      </c>
      <c r="K335" s="11" t="s">
        <v>730</v>
      </c>
      <c r="L335" s="141" t="s">
        <v>387</v>
      </c>
      <c r="M335" s="11" t="str">
        <f>VLOOKUP(N335,'Mã NV'!$A$3:$B$196,2,0)</f>
        <v>AC04</v>
      </c>
      <c r="N335" s="288" t="s">
        <v>3629</v>
      </c>
      <c r="O335" s="387">
        <v>44197</v>
      </c>
      <c r="P335" s="371"/>
      <c r="Q335" s="160"/>
      <c r="R335" s="35" t="s">
        <v>272</v>
      </c>
    </row>
    <row r="336" spans="1:39" ht="35.25" hidden="1" customHeight="1">
      <c r="A336" s="15">
        <f t="shared" si="5"/>
        <v>326</v>
      </c>
      <c r="B336" s="141" t="s">
        <v>388</v>
      </c>
      <c r="C336" s="64" t="s">
        <v>389</v>
      </c>
      <c r="D336" s="156"/>
      <c r="E336" s="156"/>
      <c r="F336" s="156"/>
      <c r="G336" s="64" t="s">
        <v>390</v>
      </c>
      <c r="H336" s="141"/>
      <c r="I336" s="15" t="s">
        <v>18</v>
      </c>
      <c r="J336" s="15">
        <v>1</v>
      </c>
      <c r="K336" s="11" t="s">
        <v>730</v>
      </c>
      <c r="L336" s="141" t="s">
        <v>387</v>
      </c>
      <c r="M336" s="11" t="str">
        <f>VLOOKUP(N336,'Mã NV'!$A$3:$B$196,2,0)</f>
        <v>AC04</v>
      </c>
      <c r="N336" s="288" t="s">
        <v>3629</v>
      </c>
      <c r="O336" s="387">
        <v>44197</v>
      </c>
      <c r="P336" s="371"/>
      <c r="Q336" s="160"/>
      <c r="R336" s="35" t="s">
        <v>272</v>
      </c>
    </row>
    <row r="337" spans="1:39" ht="35.25" hidden="1" customHeight="1">
      <c r="A337" s="15">
        <f t="shared" si="5"/>
        <v>327</v>
      </c>
      <c r="B337" s="141" t="s">
        <v>391</v>
      </c>
      <c r="C337" s="64" t="s">
        <v>392</v>
      </c>
      <c r="D337" s="156"/>
      <c r="E337" s="156"/>
      <c r="F337" s="156"/>
      <c r="G337" s="64"/>
      <c r="H337" s="141"/>
      <c r="I337" s="15" t="s">
        <v>18</v>
      </c>
      <c r="J337" s="15">
        <v>1</v>
      </c>
      <c r="K337" s="11" t="s">
        <v>730</v>
      </c>
      <c r="L337" s="141" t="s">
        <v>387</v>
      </c>
      <c r="M337" s="11" t="str">
        <f>VLOOKUP(N337,'Mã NV'!$A$3:$B$196,2,0)</f>
        <v>AC04</v>
      </c>
      <c r="N337" s="288" t="s">
        <v>3629</v>
      </c>
      <c r="O337" s="387">
        <v>44197</v>
      </c>
      <c r="P337" s="371"/>
      <c r="Q337" s="160"/>
      <c r="R337" s="35" t="s">
        <v>272</v>
      </c>
    </row>
    <row r="338" spans="1:39" ht="35.25" hidden="1" customHeight="1">
      <c r="A338" s="15">
        <f t="shared" si="5"/>
        <v>328</v>
      </c>
      <c r="B338" s="141" t="s">
        <v>393</v>
      </c>
      <c r="C338" s="64" t="s">
        <v>147</v>
      </c>
      <c r="D338" s="156"/>
      <c r="E338" s="156"/>
      <c r="F338" s="156"/>
      <c r="G338" s="64" t="s">
        <v>394</v>
      </c>
      <c r="H338" s="141"/>
      <c r="I338" s="15" t="s">
        <v>18</v>
      </c>
      <c r="J338" s="15">
        <v>1</v>
      </c>
      <c r="K338" s="11" t="s">
        <v>730</v>
      </c>
      <c r="L338" s="141" t="s">
        <v>387</v>
      </c>
      <c r="M338" s="11" t="str">
        <f>VLOOKUP(N338,'Mã NV'!$A$3:$B$196,2,0)</f>
        <v>AC04</v>
      </c>
      <c r="N338" s="288" t="s">
        <v>3629</v>
      </c>
      <c r="O338" s="387">
        <v>44197</v>
      </c>
      <c r="P338" s="371"/>
      <c r="Q338" s="160"/>
      <c r="R338" s="35" t="s">
        <v>272</v>
      </c>
    </row>
    <row r="339" spans="1:39" ht="35.25" hidden="1" customHeight="1">
      <c r="A339" s="15">
        <f t="shared" si="5"/>
        <v>329</v>
      </c>
      <c r="B339" s="141" t="s">
        <v>952</v>
      </c>
      <c r="C339" s="64" t="s">
        <v>396</v>
      </c>
      <c r="D339" s="156"/>
      <c r="E339" s="156"/>
      <c r="F339" s="156"/>
      <c r="G339" s="64"/>
      <c r="H339" s="141"/>
      <c r="I339" s="15" t="s">
        <v>18</v>
      </c>
      <c r="J339" s="15">
        <v>1</v>
      </c>
      <c r="K339" s="11" t="s">
        <v>730</v>
      </c>
      <c r="L339" s="141" t="s">
        <v>387</v>
      </c>
      <c r="M339" s="11" t="str">
        <f>VLOOKUP(N339,'Mã NV'!$A$3:$B$196,2,0)</f>
        <v>AC04</v>
      </c>
      <c r="N339" s="288" t="s">
        <v>3629</v>
      </c>
      <c r="O339" s="380">
        <f>VLOOKUP(B339,'Tổng hợp (3)'!$C$4:$E$985,3,0)</f>
        <v>44781</v>
      </c>
      <c r="P339" s="378"/>
      <c r="Q339" s="160"/>
      <c r="R339" s="35" t="s">
        <v>272</v>
      </c>
    </row>
    <row r="340" spans="1:39" ht="35.25" hidden="1" customHeight="1">
      <c r="A340" s="15">
        <f t="shared" si="5"/>
        <v>330</v>
      </c>
      <c r="B340" s="141" t="s">
        <v>4086</v>
      </c>
      <c r="C340" s="64" t="s">
        <v>141</v>
      </c>
      <c r="D340" s="156"/>
      <c r="E340" s="156"/>
      <c r="F340" s="156"/>
      <c r="G340" s="64"/>
      <c r="H340" s="141"/>
      <c r="I340" s="15" t="s">
        <v>18</v>
      </c>
      <c r="J340" s="15">
        <v>1</v>
      </c>
      <c r="K340" s="11" t="s">
        <v>730</v>
      </c>
      <c r="L340" s="141" t="s">
        <v>387</v>
      </c>
      <c r="M340" s="11" t="str">
        <f>VLOOKUP(N340,'Mã NV'!$A$3:$B$196,2,0)</f>
        <v>AC04</v>
      </c>
      <c r="N340" s="288" t="s">
        <v>3629</v>
      </c>
      <c r="O340" s="387">
        <v>44197</v>
      </c>
      <c r="P340" s="371"/>
      <c r="Q340" s="160"/>
      <c r="R340" s="35" t="s">
        <v>272</v>
      </c>
    </row>
    <row r="341" spans="1:39" ht="35.25" hidden="1" customHeight="1">
      <c r="A341" s="15">
        <f t="shared" si="5"/>
        <v>331</v>
      </c>
      <c r="B341" s="395" t="s">
        <v>3893</v>
      </c>
      <c r="C341" s="64" t="s">
        <v>141</v>
      </c>
      <c r="D341" s="156"/>
      <c r="E341" s="156"/>
      <c r="F341" s="156"/>
      <c r="G341" s="64"/>
      <c r="H341" s="141"/>
      <c r="I341" s="15" t="s">
        <v>18</v>
      </c>
      <c r="J341" s="15">
        <v>1</v>
      </c>
      <c r="K341" s="11" t="s">
        <v>730</v>
      </c>
      <c r="L341" s="141" t="s">
        <v>387</v>
      </c>
      <c r="M341" s="11" t="str">
        <f>VLOOKUP(N341,'Mã NV'!$A$3:$B$196,2,0)</f>
        <v>AC04</v>
      </c>
      <c r="N341" s="288" t="s">
        <v>3629</v>
      </c>
      <c r="O341" s="387">
        <v>44197</v>
      </c>
      <c r="P341" s="371"/>
      <c r="Q341" s="160"/>
      <c r="R341" s="35"/>
    </row>
    <row r="342" spans="1:39" ht="35.25" hidden="1" customHeight="1">
      <c r="A342" s="15">
        <f t="shared" si="5"/>
        <v>332</v>
      </c>
      <c r="B342" s="141" t="s">
        <v>4260</v>
      </c>
      <c r="C342" s="64" t="s">
        <v>138</v>
      </c>
      <c r="D342" s="156"/>
      <c r="E342" s="156"/>
      <c r="F342" s="156"/>
      <c r="G342" s="64"/>
      <c r="H342" s="141"/>
      <c r="I342" s="15" t="s">
        <v>18</v>
      </c>
      <c r="J342" s="15">
        <v>1</v>
      </c>
      <c r="K342" s="11" t="s">
        <v>730</v>
      </c>
      <c r="L342" s="141" t="s">
        <v>387</v>
      </c>
      <c r="M342" s="11" t="str">
        <f>VLOOKUP(N342,'Mã NV'!$A$3:$B$196,2,0)</f>
        <v>AC04</v>
      </c>
      <c r="N342" s="288" t="s">
        <v>3629</v>
      </c>
      <c r="O342" s="387">
        <v>44197</v>
      </c>
      <c r="P342" s="371"/>
      <c r="Q342" s="160"/>
      <c r="R342" s="35" t="s">
        <v>272</v>
      </c>
    </row>
    <row r="343" spans="1:39" ht="35.25" hidden="1" customHeight="1">
      <c r="A343" s="15">
        <f t="shared" si="5"/>
        <v>333</v>
      </c>
      <c r="B343" s="141" t="s">
        <v>4261</v>
      </c>
      <c r="C343" s="64" t="s">
        <v>138</v>
      </c>
      <c r="D343" s="156"/>
      <c r="E343" s="156"/>
      <c r="F343" s="156"/>
      <c r="G343" s="64"/>
      <c r="H343" s="141"/>
      <c r="I343" s="15" t="s">
        <v>18</v>
      </c>
      <c r="J343" s="15">
        <v>1</v>
      </c>
      <c r="K343" s="11" t="s">
        <v>730</v>
      </c>
      <c r="L343" s="141" t="s">
        <v>387</v>
      </c>
      <c r="M343" s="11" t="str">
        <f>VLOOKUP(N343,'Mã NV'!$A$3:$B$196,2,0)</f>
        <v>AC04</v>
      </c>
      <c r="N343" s="288" t="s">
        <v>3629</v>
      </c>
      <c r="O343" s="387">
        <v>44197</v>
      </c>
      <c r="P343" s="371"/>
      <c r="Q343" s="160"/>
      <c r="R343" s="35"/>
    </row>
    <row r="344" spans="1:39" s="137" customFormat="1" ht="35.25" hidden="1" customHeight="1">
      <c r="A344" s="15">
        <f t="shared" si="5"/>
        <v>334</v>
      </c>
      <c r="B344" s="148" t="s">
        <v>399</v>
      </c>
      <c r="C344" s="196" t="s">
        <v>400</v>
      </c>
      <c r="D344" s="151"/>
      <c r="E344" s="151"/>
      <c r="F344" s="151"/>
      <c r="G344" s="196" t="s">
        <v>401</v>
      </c>
      <c r="H344" s="148"/>
      <c r="I344" s="26" t="s">
        <v>18</v>
      </c>
      <c r="J344" s="26">
        <v>1</v>
      </c>
      <c r="K344" s="25" t="s">
        <v>300</v>
      </c>
      <c r="L344" s="148" t="s">
        <v>387</v>
      </c>
      <c r="M344" s="11" t="str">
        <f>VLOOKUP(N344,'Mã NV'!$A$3:$B$196,2,0)</f>
        <v>AC04</v>
      </c>
      <c r="N344" s="294" t="s">
        <v>3629</v>
      </c>
      <c r="O344" s="387">
        <v>44197</v>
      </c>
      <c r="P344" s="371"/>
      <c r="Q344" s="197"/>
      <c r="R344" s="38" t="s">
        <v>3254</v>
      </c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</row>
    <row r="345" spans="1:39" ht="35.25" hidden="1" customHeight="1">
      <c r="A345" s="15">
        <f t="shared" si="5"/>
        <v>335</v>
      </c>
      <c r="B345" s="141" t="s">
        <v>402</v>
      </c>
      <c r="C345" s="64" t="s">
        <v>30</v>
      </c>
      <c r="D345" s="156"/>
      <c r="E345" s="156"/>
      <c r="F345" s="156"/>
      <c r="G345" s="64"/>
      <c r="H345" s="141"/>
      <c r="I345" s="15" t="s">
        <v>18</v>
      </c>
      <c r="J345" s="15">
        <v>1</v>
      </c>
      <c r="K345" s="11" t="s">
        <v>730</v>
      </c>
      <c r="L345" s="141" t="s">
        <v>387</v>
      </c>
      <c r="M345" s="11" t="str">
        <f>VLOOKUP(N345,'Mã NV'!$A$3:$B$196,2,0)</f>
        <v>AC04</v>
      </c>
      <c r="N345" s="288" t="s">
        <v>3629</v>
      </c>
      <c r="O345" s="387">
        <v>44197</v>
      </c>
      <c r="P345" s="371"/>
      <c r="Q345" s="160"/>
      <c r="R345" s="35" t="s">
        <v>272</v>
      </c>
    </row>
    <row r="346" spans="1:39" ht="35.25" hidden="1" customHeight="1">
      <c r="A346" s="15">
        <f t="shared" si="5"/>
        <v>336</v>
      </c>
      <c r="B346" s="141" t="s">
        <v>4262</v>
      </c>
      <c r="C346" s="64" t="s">
        <v>404</v>
      </c>
      <c r="D346" s="156"/>
      <c r="E346" s="156"/>
      <c r="F346" s="156"/>
      <c r="G346" s="64"/>
      <c r="H346" s="141"/>
      <c r="I346" s="15" t="s">
        <v>405</v>
      </c>
      <c r="J346" s="15">
        <v>1</v>
      </c>
      <c r="K346" s="11" t="s">
        <v>730</v>
      </c>
      <c r="L346" s="141" t="s">
        <v>387</v>
      </c>
      <c r="M346" s="11" t="str">
        <f>VLOOKUP(N346,'Mã NV'!$A$3:$B$196,2,0)</f>
        <v>AC04</v>
      </c>
      <c r="N346" s="288" t="s">
        <v>3629</v>
      </c>
      <c r="O346" s="387">
        <v>44197</v>
      </c>
      <c r="P346" s="371"/>
      <c r="Q346" s="160"/>
      <c r="R346" s="35" t="s">
        <v>272</v>
      </c>
    </row>
    <row r="347" spans="1:39" ht="35.25" hidden="1" customHeight="1">
      <c r="A347" s="15">
        <f t="shared" si="5"/>
        <v>337</v>
      </c>
      <c r="B347" s="141" t="s">
        <v>4263</v>
      </c>
      <c r="C347" s="64" t="s">
        <v>404</v>
      </c>
      <c r="D347" s="156"/>
      <c r="E347" s="156"/>
      <c r="F347" s="156"/>
      <c r="G347" s="64"/>
      <c r="H347" s="141"/>
      <c r="I347" s="15" t="s">
        <v>405</v>
      </c>
      <c r="J347" s="15">
        <v>1</v>
      </c>
      <c r="K347" s="11" t="s">
        <v>730</v>
      </c>
      <c r="L347" s="141" t="s">
        <v>387</v>
      </c>
      <c r="M347" s="11" t="str">
        <f>VLOOKUP(N347,'Mã NV'!$A$3:$B$196,2,0)</f>
        <v>AC04</v>
      </c>
      <c r="N347" s="288" t="s">
        <v>3629</v>
      </c>
      <c r="O347" s="387">
        <v>44197</v>
      </c>
      <c r="P347" s="371"/>
      <c r="Q347" s="160"/>
      <c r="R347" s="35"/>
    </row>
    <row r="348" spans="1:39" ht="35.25" hidden="1" customHeight="1">
      <c r="A348" s="15">
        <f t="shared" si="5"/>
        <v>338</v>
      </c>
      <c r="B348" s="141" t="s">
        <v>4264</v>
      </c>
      <c r="C348" s="64" t="s">
        <v>404</v>
      </c>
      <c r="D348" s="156"/>
      <c r="E348" s="156"/>
      <c r="F348" s="156"/>
      <c r="G348" s="64"/>
      <c r="H348" s="141"/>
      <c r="I348" s="15" t="s">
        <v>405</v>
      </c>
      <c r="J348" s="15">
        <v>1</v>
      </c>
      <c r="K348" s="11" t="s">
        <v>730</v>
      </c>
      <c r="L348" s="141" t="s">
        <v>387</v>
      </c>
      <c r="M348" s="11" t="str">
        <f>VLOOKUP(N348,'Mã NV'!$A$3:$B$196,2,0)</f>
        <v>AC04</v>
      </c>
      <c r="N348" s="288" t="s">
        <v>3629</v>
      </c>
      <c r="O348" s="387">
        <v>44197</v>
      </c>
      <c r="P348" s="371"/>
      <c r="Q348" s="160"/>
      <c r="R348" s="35"/>
    </row>
    <row r="349" spans="1:39" ht="35.25" hidden="1" customHeight="1">
      <c r="A349" s="15">
        <f t="shared" si="5"/>
        <v>339</v>
      </c>
      <c r="B349" s="141" t="s">
        <v>4265</v>
      </c>
      <c r="C349" s="64" t="s">
        <v>404</v>
      </c>
      <c r="D349" s="156"/>
      <c r="E349" s="156"/>
      <c r="F349" s="156"/>
      <c r="G349" s="64"/>
      <c r="H349" s="141"/>
      <c r="I349" s="15" t="s">
        <v>405</v>
      </c>
      <c r="J349" s="15">
        <v>1</v>
      </c>
      <c r="K349" s="11" t="s">
        <v>730</v>
      </c>
      <c r="L349" s="141" t="s">
        <v>387</v>
      </c>
      <c r="M349" s="11" t="str">
        <f>VLOOKUP(N349,'Mã NV'!$A$3:$B$196,2,0)</f>
        <v>AC04</v>
      </c>
      <c r="N349" s="288" t="s">
        <v>3629</v>
      </c>
      <c r="O349" s="387">
        <v>44197</v>
      </c>
      <c r="P349" s="371"/>
      <c r="Q349" s="160"/>
      <c r="R349" s="35"/>
    </row>
    <row r="350" spans="1:39" ht="35.25" hidden="1" customHeight="1">
      <c r="A350" s="15">
        <f t="shared" si="5"/>
        <v>340</v>
      </c>
      <c r="B350" s="141" t="s">
        <v>953</v>
      </c>
      <c r="C350" s="64" t="s">
        <v>408</v>
      </c>
      <c r="D350" s="156"/>
      <c r="E350" s="156"/>
      <c r="F350" s="156"/>
      <c r="G350" s="64" t="s">
        <v>409</v>
      </c>
      <c r="H350" s="141"/>
      <c r="I350" s="15" t="s">
        <v>18</v>
      </c>
      <c r="J350" s="15">
        <v>1</v>
      </c>
      <c r="K350" s="11" t="s">
        <v>730</v>
      </c>
      <c r="L350" s="141" t="s">
        <v>387</v>
      </c>
      <c r="M350" s="11" t="str">
        <f>VLOOKUP(N350,'Mã NV'!$A$3:$B$196,2,0)</f>
        <v>AC04</v>
      </c>
      <c r="N350" s="288" t="s">
        <v>3629</v>
      </c>
      <c r="O350" s="382" t="s">
        <v>4267</v>
      </c>
      <c r="P350" s="371"/>
      <c r="Q350" s="160"/>
      <c r="R350" s="35" t="s">
        <v>272</v>
      </c>
    </row>
    <row r="351" spans="1:39" ht="35.25" hidden="1" customHeight="1">
      <c r="A351" s="15">
        <f t="shared" si="5"/>
        <v>341</v>
      </c>
      <c r="B351" s="141" t="s">
        <v>954</v>
      </c>
      <c r="C351" s="64" t="s">
        <v>408</v>
      </c>
      <c r="D351" s="156"/>
      <c r="E351" s="156"/>
      <c r="F351" s="156"/>
      <c r="G351" s="64" t="s">
        <v>409</v>
      </c>
      <c r="H351" s="141"/>
      <c r="I351" s="15" t="s">
        <v>18</v>
      </c>
      <c r="J351" s="15">
        <v>1</v>
      </c>
      <c r="K351" s="11" t="s">
        <v>730</v>
      </c>
      <c r="L351" s="141" t="s">
        <v>387</v>
      </c>
      <c r="M351" s="11" t="str">
        <f>VLOOKUP(N351,'Mã NV'!$A$3:$B$196,2,0)</f>
        <v>AC04</v>
      </c>
      <c r="N351" s="288" t="s">
        <v>3629</v>
      </c>
      <c r="O351" s="382" t="s">
        <v>4267</v>
      </c>
      <c r="P351" s="371"/>
      <c r="Q351" s="160"/>
      <c r="R351" s="35" t="s">
        <v>272</v>
      </c>
    </row>
    <row r="352" spans="1:39" ht="35.25" hidden="1" customHeight="1">
      <c r="A352" s="15">
        <f t="shared" si="5"/>
        <v>342</v>
      </c>
      <c r="B352" s="141" t="s">
        <v>955</v>
      </c>
      <c r="C352" s="64" t="s">
        <v>408</v>
      </c>
      <c r="D352" s="156"/>
      <c r="E352" s="156"/>
      <c r="F352" s="156"/>
      <c r="G352" s="64" t="s">
        <v>409</v>
      </c>
      <c r="H352" s="141"/>
      <c r="I352" s="15" t="s">
        <v>18</v>
      </c>
      <c r="J352" s="15">
        <v>1</v>
      </c>
      <c r="K352" s="11" t="s">
        <v>730</v>
      </c>
      <c r="L352" s="141" t="s">
        <v>387</v>
      </c>
      <c r="M352" s="11" t="str">
        <f>VLOOKUP(N352,'Mã NV'!$A$3:$B$196,2,0)</f>
        <v>AC04</v>
      </c>
      <c r="N352" s="288" t="s">
        <v>3629</v>
      </c>
      <c r="O352" s="382" t="s">
        <v>4267</v>
      </c>
      <c r="P352" s="371"/>
      <c r="Q352" s="160"/>
      <c r="R352" s="35" t="s">
        <v>272</v>
      </c>
    </row>
    <row r="353" spans="1:18" ht="35.25" hidden="1" customHeight="1">
      <c r="A353" s="15">
        <f t="shared" si="5"/>
        <v>343</v>
      </c>
      <c r="B353" s="141" t="s">
        <v>956</v>
      </c>
      <c r="C353" s="64" t="s">
        <v>408</v>
      </c>
      <c r="D353" s="156"/>
      <c r="E353" s="156"/>
      <c r="F353" s="156"/>
      <c r="G353" s="64" t="s">
        <v>409</v>
      </c>
      <c r="H353" s="141"/>
      <c r="I353" s="15" t="s">
        <v>18</v>
      </c>
      <c r="J353" s="15">
        <v>1</v>
      </c>
      <c r="K353" s="11" t="s">
        <v>730</v>
      </c>
      <c r="L353" s="141" t="s">
        <v>387</v>
      </c>
      <c r="M353" s="11" t="str">
        <f>VLOOKUP(N353,'Mã NV'!$A$3:$B$196,2,0)</f>
        <v>AC04</v>
      </c>
      <c r="N353" s="288" t="s">
        <v>3629</v>
      </c>
      <c r="O353" s="382" t="s">
        <v>4267</v>
      </c>
      <c r="P353" s="371"/>
      <c r="Q353" s="160"/>
      <c r="R353" s="35" t="s">
        <v>272</v>
      </c>
    </row>
    <row r="354" spans="1:18" ht="35.25" hidden="1" customHeight="1">
      <c r="A354" s="15">
        <f t="shared" si="5"/>
        <v>344</v>
      </c>
      <c r="B354" s="141" t="s">
        <v>957</v>
      </c>
      <c r="C354" s="64" t="s">
        <v>408</v>
      </c>
      <c r="D354" s="156"/>
      <c r="E354" s="156"/>
      <c r="F354" s="156"/>
      <c r="G354" s="64" t="s">
        <v>409</v>
      </c>
      <c r="H354" s="141"/>
      <c r="I354" s="15" t="s">
        <v>18</v>
      </c>
      <c r="J354" s="15">
        <v>1</v>
      </c>
      <c r="K354" s="11" t="s">
        <v>730</v>
      </c>
      <c r="L354" s="141" t="s">
        <v>387</v>
      </c>
      <c r="M354" s="11" t="str">
        <f>VLOOKUP(N354,'Mã NV'!$A$3:$B$196,2,0)</f>
        <v>AC04</v>
      </c>
      <c r="N354" s="288" t="s">
        <v>3629</v>
      </c>
      <c r="O354" s="382" t="s">
        <v>4267</v>
      </c>
      <c r="P354" s="371"/>
      <c r="Q354" s="160"/>
      <c r="R354" s="35" t="s">
        <v>272</v>
      </c>
    </row>
    <row r="355" spans="1:18" ht="35.25" hidden="1" customHeight="1">
      <c r="A355" s="15">
        <f t="shared" si="5"/>
        <v>345</v>
      </c>
      <c r="B355" s="141" t="s">
        <v>958</v>
      </c>
      <c r="C355" s="64" t="s">
        <v>408</v>
      </c>
      <c r="D355" s="156"/>
      <c r="E355" s="156"/>
      <c r="F355" s="156"/>
      <c r="G355" s="64" t="s">
        <v>409</v>
      </c>
      <c r="H355" s="141"/>
      <c r="I355" s="15" t="s">
        <v>18</v>
      </c>
      <c r="J355" s="15">
        <v>1</v>
      </c>
      <c r="K355" s="11" t="s">
        <v>730</v>
      </c>
      <c r="L355" s="141" t="s">
        <v>387</v>
      </c>
      <c r="M355" s="11" t="str">
        <f>VLOOKUP(N355,'Mã NV'!$A$3:$B$196,2,0)</f>
        <v>AC04</v>
      </c>
      <c r="N355" s="288" t="s">
        <v>3629</v>
      </c>
      <c r="O355" s="382" t="s">
        <v>4267</v>
      </c>
      <c r="P355" s="371"/>
      <c r="Q355" s="160"/>
      <c r="R355" s="35" t="s">
        <v>272</v>
      </c>
    </row>
    <row r="356" spans="1:18" ht="35.25" hidden="1" customHeight="1">
      <c r="A356" s="15">
        <f t="shared" si="5"/>
        <v>346</v>
      </c>
      <c r="B356" s="141" t="s">
        <v>959</v>
      </c>
      <c r="C356" s="64" t="s">
        <v>408</v>
      </c>
      <c r="D356" s="156"/>
      <c r="E356" s="156"/>
      <c r="F356" s="156"/>
      <c r="G356" s="64" t="s">
        <v>412</v>
      </c>
      <c r="H356" s="141"/>
      <c r="I356" s="15" t="s">
        <v>18</v>
      </c>
      <c r="J356" s="15">
        <v>1</v>
      </c>
      <c r="K356" s="11" t="s">
        <v>730</v>
      </c>
      <c r="L356" s="141" t="s">
        <v>387</v>
      </c>
      <c r="M356" s="11" t="str">
        <f>VLOOKUP(N356,'Mã NV'!$A$3:$B$196,2,0)</f>
        <v>AC04</v>
      </c>
      <c r="N356" s="288" t="s">
        <v>3629</v>
      </c>
      <c r="O356" s="382" t="s">
        <v>4267</v>
      </c>
      <c r="P356" s="371"/>
      <c r="Q356" s="160"/>
      <c r="R356" s="35" t="s">
        <v>272</v>
      </c>
    </row>
    <row r="357" spans="1:18" ht="35.25" hidden="1" customHeight="1">
      <c r="A357" s="15">
        <f t="shared" si="5"/>
        <v>347</v>
      </c>
      <c r="B357" s="141" t="s">
        <v>960</v>
      </c>
      <c r="C357" s="64" t="s">
        <v>414</v>
      </c>
      <c r="D357" s="156"/>
      <c r="E357" s="156"/>
      <c r="F357" s="156"/>
      <c r="G357" s="64"/>
      <c r="H357" s="141"/>
      <c r="I357" s="15" t="s">
        <v>18</v>
      </c>
      <c r="J357" s="15">
        <v>1</v>
      </c>
      <c r="K357" s="11" t="s">
        <v>730</v>
      </c>
      <c r="L357" s="141" t="s">
        <v>387</v>
      </c>
      <c r="M357" s="11" t="str">
        <f>VLOOKUP(N357,'Mã NV'!$A$3:$B$196,2,0)</f>
        <v>AC04</v>
      </c>
      <c r="N357" s="288" t="s">
        <v>3629</v>
      </c>
      <c r="O357" s="387">
        <v>44197</v>
      </c>
      <c r="P357" s="371"/>
      <c r="Q357" s="160"/>
      <c r="R357" s="35" t="s">
        <v>272</v>
      </c>
    </row>
    <row r="358" spans="1:18" ht="35.25" hidden="1" customHeight="1">
      <c r="A358" s="15">
        <f t="shared" si="5"/>
        <v>348</v>
      </c>
      <c r="B358" s="141" t="s">
        <v>961</v>
      </c>
      <c r="C358" s="64" t="s">
        <v>414</v>
      </c>
      <c r="D358" s="156"/>
      <c r="E358" s="156"/>
      <c r="F358" s="156"/>
      <c r="G358" s="64"/>
      <c r="H358" s="141"/>
      <c r="I358" s="15" t="s">
        <v>18</v>
      </c>
      <c r="J358" s="15">
        <v>1</v>
      </c>
      <c r="K358" s="11" t="s">
        <v>730</v>
      </c>
      <c r="L358" s="141" t="s">
        <v>387</v>
      </c>
      <c r="M358" s="11" t="str">
        <f>VLOOKUP(N358,'Mã NV'!$A$3:$B$196,2,0)</f>
        <v>AC04</v>
      </c>
      <c r="N358" s="288" t="s">
        <v>3629</v>
      </c>
      <c r="O358" s="387">
        <v>44197</v>
      </c>
      <c r="P358" s="371"/>
      <c r="Q358" s="160"/>
      <c r="R358" s="35" t="s">
        <v>272</v>
      </c>
    </row>
    <row r="359" spans="1:18" ht="35.25" hidden="1" customHeight="1">
      <c r="A359" s="15">
        <f t="shared" si="5"/>
        <v>349</v>
      </c>
      <c r="B359" s="141" t="s">
        <v>962</v>
      </c>
      <c r="C359" s="64" t="s">
        <v>414</v>
      </c>
      <c r="D359" s="156"/>
      <c r="E359" s="156"/>
      <c r="F359" s="156"/>
      <c r="G359" s="64"/>
      <c r="H359" s="141"/>
      <c r="I359" s="15" t="s">
        <v>18</v>
      </c>
      <c r="J359" s="15">
        <v>1</v>
      </c>
      <c r="K359" s="11" t="s">
        <v>730</v>
      </c>
      <c r="L359" s="141" t="s">
        <v>387</v>
      </c>
      <c r="M359" s="11" t="str">
        <f>VLOOKUP(N359,'Mã NV'!$A$3:$B$196,2,0)</f>
        <v>AC04</v>
      </c>
      <c r="N359" s="288" t="s">
        <v>3629</v>
      </c>
      <c r="O359" s="387">
        <v>44197</v>
      </c>
      <c r="P359" s="371"/>
      <c r="Q359" s="160"/>
      <c r="R359" s="35" t="s">
        <v>272</v>
      </c>
    </row>
    <row r="360" spans="1:18" ht="35.25" hidden="1" customHeight="1">
      <c r="A360" s="15">
        <f t="shared" si="5"/>
        <v>350</v>
      </c>
      <c r="B360" s="141" t="s">
        <v>963</v>
      </c>
      <c r="C360" s="64" t="s">
        <v>414</v>
      </c>
      <c r="D360" s="156"/>
      <c r="E360" s="156"/>
      <c r="F360" s="156"/>
      <c r="G360" s="64"/>
      <c r="H360" s="141"/>
      <c r="I360" s="15" t="s">
        <v>18</v>
      </c>
      <c r="J360" s="15">
        <v>1</v>
      </c>
      <c r="K360" s="11" t="s">
        <v>730</v>
      </c>
      <c r="L360" s="141" t="s">
        <v>387</v>
      </c>
      <c r="M360" s="11" t="str">
        <f>VLOOKUP(N360,'Mã NV'!$A$3:$B$196,2,0)</f>
        <v>AC04</v>
      </c>
      <c r="N360" s="288" t="s">
        <v>3629</v>
      </c>
      <c r="O360" s="387">
        <v>44197</v>
      </c>
      <c r="P360" s="371"/>
      <c r="Q360" s="160"/>
      <c r="R360" s="35" t="s">
        <v>272</v>
      </c>
    </row>
    <row r="361" spans="1:18" ht="35.25" hidden="1" customHeight="1">
      <c r="A361" s="15">
        <f t="shared" si="5"/>
        <v>351</v>
      </c>
      <c r="B361" s="141" t="s">
        <v>964</v>
      </c>
      <c r="C361" s="64" t="s">
        <v>414</v>
      </c>
      <c r="D361" s="156"/>
      <c r="E361" s="156"/>
      <c r="F361" s="156"/>
      <c r="G361" s="64"/>
      <c r="H361" s="141"/>
      <c r="I361" s="15" t="s">
        <v>18</v>
      </c>
      <c r="J361" s="15">
        <v>1</v>
      </c>
      <c r="K361" s="11" t="s">
        <v>730</v>
      </c>
      <c r="L361" s="141" t="s">
        <v>387</v>
      </c>
      <c r="M361" s="11" t="str">
        <f>VLOOKUP(N361,'Mã NV'!$A$3:$B$196,2,0)</f>
        <v>AC04</v>
      </c>
      <c r="N361" s="288" t="s">
        <v>3629</v>
      </c>
      <c r="O361" s="387">
        <v>44197</v>
      </c>
      <c r="P361" s="371"/>
      <c r="Q361" s="160"/>
      <c r="R361" s="35" t="s">
        <v>272</v>
      </c>
    </row>
    <row r="362" spans="1:18" ht="35.25" hidden="1" customHeight="1">
      <c r="A362" s="15">
        <f t="shared" si="5"/>
        <v>352</v>
      </c>
      <c r="B362" s="141" t="s">
        <v>965</v>
      </c>
      <c r="C362" s="64" t="s">
        <v>414</v>
      </c>
      <c r="D362" s="156"/>
      <c r="E362" s="156"/>
      <c r="F362" s="156"/>
      <c r="G362" s="64"/>
      <c r="H362" s="141"/>
      <c r="I362" s="15" t="s">
        <v>18</v>
      </c>
      <c r="J362" s="15">
        <v>1</v>
      </c>
      <c r="K362" s="11" t="s">
        <v>730</v>
      </c>
      <c r="L362" s="141" t="s">
        <v>387</v>
      </c>
      <c r="M362" s="11" t="str">
        <f>VLOOKUP(N362,'Mã NV'!$A$3:$B$196,2,0)</f>
        <v>AC04</v>
      </c>
      <c r="N362" s="288" t="s">
        <v>3629</v>
      </c>
      <c r="O362" s="387">
        <v>44197</v>
      </c>
      <c r="P362" s="371"/>
      <c r="Q362" s="160"/>
      <c r="R362" s="35" t="s">
        <v>272</v>
      </c>
    </row>
    <row r="363" spans="1:18" ht="35.25" hidden="1" customHeight="1">
      <c r="A363" s="15">
        <f t="shared" si="5"/>
        <v>353</v>
      </c>
      <c r="B363" s="43" t="s">
        <v>415</v>
      </c>
      <c r="C363" s="46" t="s">
        <v>416</v>
      </c>
      <c r="D363" s="156"/>
      <c r="E363" s="156"/>
      <c r="F363" s="156"/>
      <c r="G363" s="46" t="s">
        <v>417</v>
      </c>
      <c r="H363" s="141"/>
      <c r="I363" s="13" t="s">
        <v>18</v>
      </c>
      <c r="J363" s="13">
        <v>1</v>
      </c>
      <c r="K363" s="11" t="s">
        <v>730</v>
      </c>
      <c r="L363" s="43" t="s">
        <v>387</v>
      </c>
      <c r="M363" s="11" t="str">
        <f>VLOOKUP(N363,'Mã NV'!$A$3:$B$196,2,0)</f>
        <v>AC04</v>
      </c>
      <c r="N363" s="288" t="s">
        <v>3629</v>
      </c>
      <c r="O363" s="387">
        <v>44197</v>
      </c>
      <c r="P363" s="371"/>
      <c r="Q363" s="160"/>
      <c r="R363" s="35" t="s">
        <v>272</v>
      </c>
    </row>
    <row r="364" spans="1:18" ht="35.25" hidden="1" customHeight="1">
      <c r="A364" s="15">
        <f t="shared" si="5"/>
        <v>354</v>
      </c>
      <c r="B364" s="43" t="s">
        <v>418</v>
      </c>
      <c r="C364" s="46" t="s">
        <v>419</v>
      </c>
      <c r="D364" s="156"/>
      <c r="E364" s="156"/>
      <c r="F364" s="156"/>
      <c r="G364" s="46" t="s">
        <v>420</v>
      </c>
      <c r="H364" s="141"/>
      <c r="I364" s="13" t="s">
        <v>18</v>
      </c>
      <c r="J364" s="13">
        <v>1</v>
      </c>
      <c r="K364" s="11" t="s">
        <v>730</v>
      </c>
      <c r="L364" s="43" t="s">
        <v>387</v>
      </c>
      <c r="M364" s="11" t="str">
        <f>VLOOKUP(N364,'Mã NV'!$A$3:$B$196,2,0)</f>
        <v>AC04</v>
      </c>
      <c r="N364" s="288" t="s">
        <v>3629</v>
      </c>
      <c r="O364" s="380">
        <f>VLOOKUP(B364,'Tổng hợp (3)'!$C$4:$E$985,3,0)</f>
        <v>44323</v>
      </c>
      <c r="P364" s="378"/>
      <c r="Q364" s="160"/>
      <c r="R364" s="44" t="s">
        <v>422</v>
      </c>
    </row>
    <row r="365" spans="1:18" ht="35.25" hidden="1" customHeight="1">
      <c r="A365" s="15">
        <f t="shared" si="5"/>
        <v>355</v>
      </c>
      <c r="B365" s="43" t="s">
        <v>423</v>
      </c>
      <c r="C365" s="46" t="s">
        <v>424</v>
      </c>
      <c r="D365" s="156"/>
      <c r="E365" s="156"/>
      <c r="F365" s="156"/>
      <c r="G365" s="46" t="s">
        <v>425</v>
      </c>
      <c r="H365" s="141"/>
      <c r="I365" s="13" t="s">
        <v>18</v>
      </c>
      <c r="J365" s="13">
        <v>1</v>
      </c>
      <c r="K365" s="11" t="s">
        <v>730</v>
      </c>
      <c r="L365" s="43" t="s">
        <v>387</v>
      </c>
      <c r="M365" s="11" t="str">
        <f>VLOOKUP(N365,'Mã NV'!$A$3:$B$196,2,0)</f>
        <v>AC04</v>
      </c>
      <c r="N365" s="288" t="s">
        <v>3629</v>
      </c>
      <c r="O365" s="380">
        <f>VLOOKUP(B365,'Tổng hợp (3)'!$C$4:$E$985,3,0)</f>
        <v>44323</v>
      </c>
      <c r="P365" s="378"/>
      <c r="Q365" s="243"/>
      <c r="R365" s="44" t="s">
        <v>426</v>
      </c>
    </row>
    <row r="366" spans="1:18" ht="35.25" hidden="1" customHeight="1">
      <c r="A366" s="15">
        <f t="shared" si="5"/>
        <v>356</v>
      </c>
      <c r="B366" s="43" t="s">
        <v>427</v>
      </c>
      <c r="C366" s="46" t="s">
        <v>428</v>
      </c>
      <c r="D366" s="156"/>
      <c r="E366" s="156"/>
      <c r="F366" s="156"/>
      <c r="G366" s="46" t="s">
        <v>429</v>
      </c>
      <c r="H366" s="141"/>
      <c r="I366" s="13" t="s">
        <v>18</v>
      </c>
      <c r="J366" s="13">
        <v>1</v>
      </c>
      <c r="K366" s="11" t="s">
        <v>730</v>
      </c>
      <c r="L366" s="43" t="s">
        <v>387</v>
      </c>
      <c r="M366" s="11" t="str">
        <f>VLOOKUP(N366,'Mã NV'!$A$3:$B$196,2,0)</f>
        <v>AC04</v>
      </c>
      <c r="N366" s="288" t="s">
        <v>3629</v>
      </c>
      <c r="O366" s="380">
        <f>VLOOKUP(B366,'Tổng hợp (3)'!$C$4:$E$985,3,0)</f>
        <v>44323</v>
      </c>
      <c r="P366" s="378"/>
      <c r="Q366" s="243"/>
      <c r="R366" s="44"/>
    </row>
    <row r="367" spans="1:18" ht="35.25" hidden="1" customHeight="1">
      <c r="A367" s="15">
        <f t="shared" si="5"/>
        <v>357</v>
      </c>
      <c r="B367" s="43" t="s">
        <v>430</v>
      </c>
      <c r="C367" s="46" t="s">
        <v>431</v>
      </c>
      <c r="D367" s="156"/>
      <c r="E367" s="156"/>
      <c r="F367" s="156"/>
      <c r="G367" s="46" t="s">
        <v>432</v>
      </c>
      <c r="H367" s="141"/>
      <c r="I367" s="13" t="s">
        <v>18</v>
      </c>
      <c r="J367" s="13">
        <v>1</v>
      </c>
      <c r="K367" s="11" t="s">
        <v>730</v>
      </c>
      <c r="L367" s="43" t="s">
        <v>387</v>
      </c>
      <c r="M367" s="11" t="str">
        <f>VLOOKUP(N367,'Mã NV'!$A$3:$B$196,2,0)</f>
        <v>AC04</v>
      </c>
      <c r="N367" s="288" t="s">
        <v>3629</v>
      </c>
      <c r="O367" s="380">
        <f>VLOOKUP(B367,'Tổng hợp (3)'!$C$4:$E$985,3,0)</f>
        <v>44323</v>
      </c>
      <c r="P367" s="378"/>
      <c r="Q367" s="243"/>
      <c r="R367" s="44" t="s">
        <v>433</v>
      </c>
    </row>
    <row r="368" spans="1:18" ht="35.25" hidden="1" customHeight="1">
      <c r="A368" s="15">
        <f t="shared" si="5"/>
        <v>358</v>
      </c>
      <c r="B368" s="43" t="s">
        <v>434</v>
      </c>
      <c r="C368" s="46" t="s">
        <v>431</v>
      </c>
      <c r="D368" s="156"/>
      <c r="E368" s="156"/>
      <c r="F368" s="156"/>
      <c r="G368" s="46" t="s">
        <v>435</v>
      </c>
      <c r="H368" s="141"/>
      <c r="I368" s="13" t="s">
        <v>18</v>
      </c>
      <c r="J368" s="13">
        <v>1</v>
      </c>
      <c r="K368" s="11" t="s">
        <v>730</v>
      </c>
      <c r="L368" s="43" t="s">
        <v>387</v>
      </c>
      <c r="M368" s="11" t="str">
        <f>VLOOKUP(N368,'Mã NV'!$A$3:$B$196,2,0)</f>
        <v>AC04</v>
      </c>
      <c r="N368" s="288" t="s">
        <v>3629</v>
      </c>
      <c r="O368" s="387">
        <v>44197</v>
      </c>
      <c r="P368" s="371"/>
      <c r="Q368" s="243"/>
      <c r="R368" s="44" t="s">
        <v>436</v>
      </c>
    </row>
    <row r="369" spans="1:18" ht="35.25" hidden="1" customHeight="1">
      <c r="A369" s="15">
        <f t="shared" si="5"/>
        <v>359</v>
      </c>
      <c r="B369" s="43" t="s">
        <v>437</v>
      </c>
      <c r="C369" s="46" t="s">
        <v>147</v>
      </c>
      <c r="D369" s="156"/>
      <c r="E369" s="156"/>
      <c r="F369" s="156"/>
      <c r="G369" s="46" t="s">
        <v>438</v>
      </c>
      <c r="H369" s="141"/>
      <c r="I369" s="13" t="s">
        <v>18</v>
      </c>
      <c r="J369" s="13">
        <v>1</v>
      </c>
      <c r="K369" s="11" t="s">
        <v>730</v>
      </c>
      <c r="L369" s="43" t="s">
        <v>387</v>
      </c>
      <c r="M369" s="11" t="str">
        <f>VLOOKUP(N369,'Mã NV'!$A$3:$B$196,2,0)</f>
        <v>AC04</v>
      </c>
      <c r="N369" s="288" t="s">
        <v>3629</v>
      </c>
      <c r="O369" s="387">
        <v>44197</v>
      </c>
      <c r="P369" s="371"/>
      <c r="Q369" s="243"/>
      <c r="R369" s="44"/>
    </row>
    <row r="370" spans="1:18" ht="35.25" hidden="1" customHeight="1">
      <c r="A370" s="15">
        <f t="shared" si="5"/>
        <v>360</v>
      </c>
      <c r="B370" s="43" t="s">
        <v>439</v>
      </c>
      <c r="C370" s="46" t="s">
        <v>143</v>
      </c>
      <c r="D370" s="156"/>
      <c r="E370" s="156"/>
      <c r="F370" s="156"/>
      <c r="G370" s="46"/>
      <c r="H370" s="141"/>
      <c r="I370" s="13" t="s">
        <v>18</v>
      </c>
      <c r="J370" s="13">
        <v>1</v>
      </c>
      <c r="K370" s="11" t="s">
        <v>730</v>
      </c>
      <c r="L370" s="43" t="s">
        <v>387</v>
      </c>
      <c r="M370" s="11" t="str">
        <f>VLOOKUP(N370,'Mã NV'!$A$3:$B$196,2,0)</f>
        <v>AC04</v>
      </c>
      <c r="N370" s="288" t="s">
        <v>3629</v>
      </c>
      <c r="O370" s="387">
        <v>44197</v>
      </c>
      <c r="P370" s="371"/>
      <c r="Q370" s="243"/>
      <c r="R370" s="44"/>
    </row>
    <row r="371" spans="1:18" ht="35.25" hidden="1" customHeight="1">
      <c r="A371" s="15">
        <f t="shared" si="5"/>
        <v>361</v>
      </c>
      <c r="B371" s="43" t="s">
        <v>440</v>
      </c>
      <c r="C371" s="46" t="s">
        <v>32</v>
      </c>
      <c r="D371" s="156"/>
      <c r="E371" s="156"/>
      <c r="F371" s="156"/>
      <c r="G371" s="46"/>
      <c r="H371" s="141"/>
      <c r="I371" s="13" t="s">
        <v>18</v>
      </c>
      <c r="J371" s="13">
        <v>1</v>
      </c>
      <c r="K371" s="11" t="s">
        <v>730</v>
      </c>
      <c r="L371" s="43" t="s">
        <v>387</v>
      </c>
      <c r="M371" s="11" t="str">
        <f>VLOOKUP(N371,'Mã NV'!$A$3:$B$196,2,0)</f>
        <v>AC04</v>
      </c>
      <c r="N371" s="288" t="s">
        <v>3629</v>
      </c>
      <c r="O371" s="387">
        <v>44197</v>
      </c>
      <c r="P371" s="371"/>
      <c r="Q371" s="160"/>
      <c r="R371" s="44"/>
    </row>
    <row r="372" spans="1:18" ht="35.25" hidden="1" customHeight="1">
      <c r="A372" s="15">
        <f t="shared" si="5"/>
        <v>362</v>
      </c>
      <c r="B372" s="43" t="s">
        <v>441</v>
      </c>
      <c r="C372" s="46" t="s">
        <v>442</v>
      </c>
      <c r="D372" s="156"/>
      <c r="E372" s="156"/>
      <c r="F372" s="156"/>
      <c r="G372" s="46" t="s">
        <v>443</v>
      </c>
      <c r="H372" s="141"/>
      <c r="I372" s="13" t="s">
        <v>18</v>
      </c>
      <c r="J372" s="13">
        <v>1</v>
      </c>
      <c r="K372" s="11" t="s">
        <v>730</v>
      </c>
      <c r="L372" s="43" t="s">
        <v>387</v>
      </c>
      <c r="M372" s="11" t="str">
        <f>VLOOKUP(N372,'Mã NV'!$A$3:$B$196,2,0)</f>
        <v>AC04</v>
      </c>
      <c r="N372" s="288" t="s">
        <v>3629</v>
      </c>
      <c r="O372" s="387">
        <v>44197</v>
      </c>
      <c r="P372" s="371"/>
      <c r="Q372" s="160"/>
      <c r="R372" s="44"/>
    </row>
    <row r="373" spans="1:18" ht="35.25" hidden="1" customHeight="1">
      <c r="A373" s="15">
        <f t="shared" si="5"/>
        <v>363</v>
      </c>
      <c r="B373" s="43" t="s">
        <v>444</v>
      </c>
      <c r="C373" s="46" t="s">
        <v>445</v>
      </c>
      <c r="D373" s="156"/>
      <c r="E373" s="156"/>
      <c r="F373" s="156"/>
      <c r="G373" s="19"/>
      <c r="H373" s="141"/>
      <c r="I373" s="13" t="s">
        <v>18</v>
      </c>
      <c r="J373" s="13">
        <v>1</v>
      </c>
      <c r="K373" s="11" t="s">
        <v>730</v>
      </c>
      <c r="L373" s="43" t="s">
        <v>387</v>
      </c>
      <c r="M373" s="11" t="str">
        <f>VLOOKUP(N373,'Mã NV'!$A$3:$B$196,2,0)</f>
        <v>AC04</v>
      </c>
      <c r="N373" s="288" t="s">
        <v>3629</v>
      </c>
      <c r="O373" s="380">
        <f>VLOOKUP(B373,'Tổng hợp (3)'!$C$4:$E$985,3,0)</f>
        <v>44739</v>
      </c>
      <c r="P373" s="378"/>
      <c r="Q373" s="160"/>
      <c r="R373" s="44"/>
    </row>
    <row r="374" spans="1:18" ht="35.25" hidden="1" customHeight="1">
      <c r="A374" s="15">
        <f t="shared" si="5"/>
        <v>364</v>
      </c>
      <c r="B374" s="9" t="s">
        <v>966</v>
      </c>
      <c r="C374" s="14" t="s">
        <v>967</v>
      </c>
      <c r="D374" s="156"/>
      <c r="E374" s="156"/>
      <c r="F374" s="156"/>
      <c r="G374" s="19"/>
      <c r="H374" s="141"/>
      <c r="I374" s="13" t="s">
        <v>18</v>
      </c>
      <c r="J374" s="13">
        <v>1</v>
      </c>
      <c r="K374" s="11" t="s">
        <v>730</v>
      </c>
      <c r="L374" s="43" t="s">
        <v>387</v>
      </c>
      <c r="M374" s="11" t="str">
        <f>VLOOKUP(N374,'Mã NV'!$A$3:$B$196,2,0)</f>
        <v>AC04</v>
      </c>
      <c r="N374" s="288" t="s">
        <v>3629</v>
      </c>
      <c r="O374" s="380" t="str">
        <f>VLOOKUP(B374,'Tổng hợp (3)'!$C$4:$E$985,3,0)</f>
        <v>21/10/2022</v>
      </c>
      <c r="P374" s="378"/>
      <c r="Q374" s="160"/>
      <c r="R374" s="44"/>
    </row>
    <row r="375" spans="1:18" ht="35.25" hidden="1" customHeight="1">
      <c r="A375" s="15">
        <f t="shared" si="5"/>
        <v>365</v>
      </c>
      <c r="B375" s="43" t="s">
        <v>446</v>
      </c>
      <c r="C375" s="46" t="s">
        <v>419</v>
      </c>
      <c r="D375" s="156"/>
      <c r="E375" s="156"/>
      <c r="F375" s="156"/>
      <c r="G375" s="46" t="s">
        <v>447</v>
      </c>
      <c r="H375" s="141"/>
      <c r="I375" s="13" t="s">
        <v>18</v>
      </c>
      <c r="J375" s="13">
        <v>1</v>
      </c>
      <c r="K375" s="11" t="s">
        <v>730</v>
      </c>
      <c r="L375" s="43" t="s">
        <v>387</v>
      </c>
      <c r="M375" s="11" t="str">
        <f>VLOOKUP(N375,'Mã NV'!$A$3:$B$196,2,0)</f>
        <v>AC10</v>
      </c>
      <c r="N375" s="304" t="s">
        <v>448</v>
      </c>
      <c r="O375" s="387">
        <v>44197</v>
      </c>
      <c r="P375" s="371"/>
      <c r="Q375" s="160"/>
      <c r="R375" s="44" t="s">
        <v>449</v>
      </c>
    </row>
    <row r="376" spans="1:18" ht="35.25" hidden="1" customHeight="1">
      <c r="A376" s="15">
        <f t="shared" si="5"/>
        <v>366</v>
      </c>
      <c r="B376" s="43" t="s">
        <v>450</v>
      </c>
      <c r="C376" s="46" t="s">
        <v>451</v>
      </c>
      <c r="D376" s="156"/>
      <c r="E376" s="156"/>
      <c r="F376" s="156"/>
      <c r="G376" s="46" t="s">
        <v>452</v>
      </c>
      <c r="H376" s="141"/>
      <c r="I376" s="13" t="s">
        <v>18</v>
      </c>
      <c r="J376" s="13">
        <v>1</v>
      </c>
      <c r="K376" s="11" t="s">
        <v>730</v>
      </c>
      <c r="L376" s="43" t="s">
        <v>387</v>
      </c>
      <c r="M376" s="11" t="str">
        <f>VLOOKUP(N376,'Mã NV'!$A$3:$B$196,2,0)</f>
        <v>AC10</v>
      </c>
      <c r="N376" s="304" t="s">
        <v>448</v>
      </c>
      <c r="O376" s="387">
        <v>44197</v>
      </c>
      <c r="P376" s="371"/>
      <c r="Q376" s="160"/>
      <c r="R376" s="44"/>
    </row>
    <row r="377" spans="1:18" ht="35.25" hidden="1" customHeight="1">
      <c r="A377" s="15">
        <f t="shared" si="5"/>
        <v>367</v>
      </c>
      <c r="B377" s="43" t="s">
        <v>968</v>
      </c>
      <c r="C377" s="46" t="s">
        <v>454</v>
      </c>
      <c r="D377" s="156"/>
      <c r="E377" s="156"/>
      <c r="F377" s="156"/>
      <c r="G377" s="46" t="s">
        <v>455</v>
      </c>
      <c r="H377" s="141"/>
      <c r="I377" s="13" t="s">
        <v>18</v>
      </c>
      <c r="J377" s="13">
        <v>1</v>
      </c>
      <c r="K377" s="11" t="s">
        <v>730</v>
      </c>
      <c r="L377" s="43" t="s">
        <v>387</v>
      </c>
      <c r="M377" s="11" t="str">
        <f>VLOOKUP(N377,'Mã NV'!$A$3:$B$196,2,0)</f>
        <v>AC10</v>
      </c>
      <c r="N377" s="304" t="s">
        <v>448</v>
      </c>
      <c r="O377" s="387">
        <v>44197</v>
      </c>
      <c r="P377" s="371"/>
      <c r="Q377" s="160"/>
      <c r="R377" s="44"/>
    </row>
    <row r="378" spans="1:18" ht="35.25" hidden="1" customHeight="1">
      <c r="A378" s="15">
        <f t="shared" si="5"/>
        <v>368</v>
      </c>
      <c r="B378" s="43" t="s">
        <v>969</v>
      </c>
      <c r="C378" s="46" t="s">
        <v>431</v>
      </c>
      <c r="D378" s="156"/>
      <c r="E378" s="156"/>
      <c r="F378" s="156"/>
      <c r="G378" s="46" t="s">
        <v>457</v>
      </c>
      <c r="H378" s="141"/>
      <c r="I378" s="13" t="s">
        <v>18</v>
      </c>
      <c r="J378" s="13">
        <v>1</v>
      </c>
      <c r="K378" s="11" t="s">
        <v>730</v>
      </c>
      <c r="L378" s="43" t="s">
        <v>387</v>
      </c>
      <c r="M378" s="11" t="str">
        <f>VLOOKUP(N378,'Mã NV'!$A$3:$B$196,2,0)</f>
        <v>AC10</v>
      </c>
      <c r="N378" s="304" t="s">
        <v>448</v>
      </c>
      <c r="O378" s="387">
        <v>44197</v>
      </c>
      <c r="P378" s="371"/>
      <c r="Q378" s="160"/>
      <c r="R378" s="44"/>
    </row>
    <row r="379" spans="1:18" ht="35.25" hidden="1" customHeight="1">
      <c r="A379" s="15">
        <f t="shared" si="5"/>
        <v>369</v>
      </c>
      <c r="B379" s="43" t="s">
        <v>458</v>
      </c>
      <c r="C379" s="46" t="s">
        <v>147</v>
      </c>
      <c r="D379" s="156"/>
      <c r="E379" s="156"/>
      <c r="F379" s="156"/>
      <c r="G379" s="46" t="s">
        <v>438</v>
      </c>
      <c r="H379" s="141"/>
      <c r="I379" s="13" t="s">
        <v>18</v>
      </c>
      <c r="J379" s="13">
        <v>1</v>
      </c>
      <c r="K379" s="11" t="s">
        <v>730</v>
      </c>
      <c r="L379" s="43" t="s">
        <v>387</v>
      </c>
      <c r="M379" s="11" t="str">
        <f>VLOOKUP(N379,'Mã NV'!$A$3:$B$196,2,0)</f>
        <v>AC10</v>
      </c>
      <c r="N379" s="304" t="s">
        <v>448</v>
      </c>
      <c r="O379" s="387">
        <v>44197</v>
      </c>
      <c r="P379" s="371"/>
      <c r="Q379" s="160"/>
      <c r="R379" s="44"/>
    </row>
    <row r="380" spans="1:18" ht="35.25" hidden="1" customHeight="1">
      <c r="A380" s="15">
        <f t="shared" si="5"/>
        <v>370</v>
      </c>
      <c r="B380" s="43" t="s">
        <v>459</v>
      </c>
      <c r="C380" s="46" t="s">
        <v>143</v>
      </c>
      <c r="D380" s="156"/>
      <c r="E380" s="156"/>
      <c r="F380" s="156"/>
      <c r="G380" s="46"/>
      <c r="H380" s="141"/>
      <c r="I380" s="13" t="s">
        <v>18</v>
      </c>
      <c r="J380" s="13">
        <v>1</v>
      </c>
      <c r="K380" s="11" t="s">
        <v>730</v>
      </c>
      <c r="L380" s="43" t="s">
        <v>387</v>
      </c>
      <c r="M380" s="11" t="str">
        <f>VLOOKUP(N380,'Mã NV'!$A$3:$B$196,2,0)</f>
        <v>AC10</v>
      </c>
      <c r="N380" s="304" t="s">
        <v>448</v>
      </c>
      <c r="O380" s="387">
        <v>44197</v>
      </c>
      <c r="P380" s="371"/>
      <c r="Q380" s="160"/>
      <c r="R380" s="44"/>
    </row>
    <row r="381" spans="1:18" ht="35.25" hidden="1" customHeight="1">
      <c r="A381" s="15">
        <f t="shared" si="5"/>
        <v>371</v>
      </c>
      <c r="B381" s="43" t="s">
        <v>460</v>
      </c>
      <c r="C381" s="46" t="s">
        <v>32</v>
      </c>
      <c r="D381" s="156"/>
      <c r="E381" s="156"/>
      <c r="F381" s="156"/>
      <c r="G381" s="46"/>
      <c r="H381" s="141"/>
      <c r="I381" s="13" t="s">
        <v>18</v>
      </c>
      <c r="J381" s="13">
        <v>1</v>
      </c>
      <c r="K381" s="11" t="s">
        <v>730</v>
      </c>
      <c r="L381" s="43" t="s">
        <v>387</v>
      </c>
      <c r="M381" s="11" t="str">
        <f>VLOOKUP(N381,'Mã NV'!$A$3:$B$196,2,0)</f>
        <v>AC10</v>
      </c>
      <c r="N381" s="304" t="s">
        <v>448</v>
      </c>
      <c r="O381" s="387">
        <v>44197</v>
      </c>
      <c r="P381" s="371"/>
      <c r="Q381" s="160"/>
      <c r="R381" s="44"/>
    </row>
    <row r="382" spans="1:18" ht="35.25" hidden="1" customHeight="1">
      <c r="A382" s="15">
        <f t="shared" si="5"/>
        <v>372</v>
      </c>
      <c r="B382" s="43" t="s">
        <v>461</v>
      </c>
      <c r="C382" s="46" t="s">
        <v>445</v>
      </c>
      <c r="D382" s="156"/>
      <c r="E382" s="156"/>
      <c r="F382" s="156"/>
      <c r="G382" s="19"/>
      <c r="H382" s="141"/>
      <c r="I382" s="13" t="s">
        <v>18</v>
      </c>
      <c r="J382" s="13">
        <v>1</v>
      </c>
      <c r="K382" s="11" t="s">
        <v>730</v>
      </c>
      <c r="L382" s="43" t="s">
        <v>387</v>
      </c>
      <c r="M382" s="11" t="str">
        <f>VLOOKUP(N382,'Mã NV'!$A$3:$B$196,2,0)</f>
        <v>AC10</v>
      </c>
      <c r="N382" s="304" t="s">
        <v>448</v>
      </c>
      <c r="O382" s="380">
        <f>VLOOKUP(B382,'Tổng hợp (3)'!$C$4:$E$985,3,0)</f>
        <v>44740</v>
      </c>
      <c r="P382" s="378"/>
      <c r="Q382" s="160"/>
      <c r="R382" s="44"/>
    </row>
    <row r="383" spans="1:18" ht="35.25" hidden="1" customHeight="1">
      <c r="A383" s="15">
        <f t="shared" si="5"/>
        <v>373</v>
      </c>
      <c r="B383" s="43" t="s">
        <v>462</v>
      </c>
      <c r="C383" s="46" t="s">
        <v>147</v>
      </c>
      <c r="D383" s="156"/>
      <c r="E383" s="156"/>
      <c r="F383" s="156"/>
      <c r="G383" s="46" t="s">
        <v>438</v>
      </c>
      <c r="H383" s="141"/>
      <c r="I383" s="13" t="s">
        <v>18</v>
      </c>
      <c r="J383" s="13">
        <v>1</v>
      </c>
      <c r="K383" s="11" t="s">
        <v>730</v>
      </c>
      <c r="L383" s="43" t="s">
        <v>387</v>
      </c>
      <c r="M383" s="11" t="str">
        <f>VLOOKUP(N383,'Mã NV'!$A$3:$B$196,2,0)</f>
        <v>NV0005</v>
      </c>
      <c r="N383" s="305" t="s">
        <v>2530</v>
      </c>
      <c r="O383" s="387">
        <v>44197</v>
      </c>
      <c r="P383" s="371"/>
      <c r="Q383" s="160"/>
      <c r="R383" s="66" t="s">
        <v>463</v>
      </c>
    </row>
    <row r="384" spans="1:18" ht="35.25" hidden="1" customHeight="1">
      <c r="A384" s="15">
        <f t="shared" si="5"/>
        <v>374</v>
      </c>
      <c r="B384" s="43" t="s">
        <v>24</v>
      </c>
      <c r="C384" s="46" t="s">
        <v>143</v>
      </c>
      <c r="D384" s="156"/>
      <c r="E384" s="156"/>
      <c r="F384" s="156"/>
      <c r="G384" s="46"/>
      <c r="H384" s="141"/>
      <c r="I384" s="13" t="s">
        <v>18</v>
      </c>
      <c r="J384" s="13">
        <v>1</v>
      </c>
      <c r="K384" s="11" t="s">
        <v>730</v>
      </c>
      <c r="L384" s="43" t="s">
        <v>387</v>
      </c>
      <c r="M384" s="11" t="str">
        <f>VLOOKUP(N384,'Mã NV'!$A$3:$B$196,2,0)</f>
        <v>NV0005</v>
      </c>
      <c r="N384" s="305" t="s">
        <v>2530</v>
      </c>
      <c r="O384" s="387">
        <v>44197</v>
      </c>
      <c r="P384" s="371"/>
      <c r="Q384" s="160"/>
      <c r="R384" s="66" t="s">
        <v>463</v>
      </c>
    </row>
    <row r="385" spans="1:18" ht="35.25" hidden="1" customHeight="1">
      <c r="A385" s="15">
        <f t="shared" si="5"/>
        <v>375</v>
      </c>
      <c r="B385" s="43" t="s">
        <v>464</v>
      </c>
      <c r="C385" s="46" t="s">
        <v>419</v>
      </c>
      <c r="D385" s="156"/>
      <c r="E385" s="156"/>
      <c r="F385" s="156"/>
      <c r="G385" s="46" t="s">
        <v>465</v>
      </c>
      <c r="H385" s="141"/>
      <c r="I385" s="13" t="s">
        <v>18</v>
      </c>
      <c r="J385" s="13">
        <v>1</v>
      </c>
      <c r="K385" s="11" t="s">
        <v>730</v>
      </c>
      <c r="L385" s="43" t="s">
        <v>387</v>
      </c>
      <c r="M385" s="11" t="str">
        <f>VLOOKUP(N385,'Mã NV'!$A$3:$B$196,2,0)</f>
        <v>AC06</v>
      </c>
      <c r="N385" s="304" t="s">
        <v>466</v>
      </c>
      <c r="O385" s="380">
        <f>VLOOKUP(B385,'Tổng hợp (3)'!$C$4:$E$985,3,0)</f>
        <v>44552</v>
      </c>
      <c r="P385" s="378"/>
      <c r="Q385" s="160"/>
      <c r="R385" s="44"/>
    </row>
    <row r="386" spans="1:18" ht="35.25" hidden="1" customHeight="1">
      <c r="A386" s="15">
        <f t="shared" si="5"/>
        <v>376</v>
      </c>
      <c r="B386" s="43" t="s">
        <v>467</v>
      </c>
      <c r="C386" s="46" t="s">
        <v>451</v>
      </c>
      <c r="D386" s="156"/>
      <c r="E386" s="156"/>
      <c r="F386" s="156"/>
      <c r="G386" s="46" t="s">
        <v>468</v>
      </c>
      <c r="H386" s="141"/>
      <c r="I386" s="13" t="s">
        <v>18</v>
      </c>
      <c r="J386" s="13">
        <v>1</v>
      </c>
      <c r="K386" s="11" t="s">
        <v>730</v>
      </c>
      <c r="L386" s="43" t="s">
        <v>387</v>
      </c>
      <c r="M386" s="11" t="str">
        <f>VLOOKUP(N386,'Mã NV'!$A$3:$B$196,2,0)</f>
        <v>AC06</v>
      </c>
      <c r="N386" s="304" t="s">
        <v>466</v>
      </c>
      <c r="O386" s="387">
        <v>44197</v>
      </c>
      <c r="P386" s="371"/>
      <c r="Q386" s="160"/>
      <c r="R386" s="44"/>
    </row>
    <row r="387" spans="1:18" ht="35.25" hidden="1" customHeight="1">
      <c r="A387" s="15">
        <f t="shared" si="5"/>
        <v>377</v>
      </c>
      <c r="B387" s="43" t="s">
        <v>970</v>
      </c>
      <c r="C387" s="46" t="s">
        <v>454</v>
      </c>
      <c r="D387" s="156"/>
      <c r="E387" s="156"/>
      <c r="F387" s="156"/>
      <c r="G387" s="46" t="s">
        <v>429</v>
      </c>
      <c r="H387" s="141"/>
      <c r="I387" s="13" t="s">
        <v>18</v>
      </c>
      <c r="J387" s="13">
        <v>1</v>
      </c>
      <c r="K387" s="11" t="s">
        <v>730</v>
      </c>
      <c r="L387" s="43" t="s">
        <v>387</v>
      </c>
      <c r="M387" s="11" t="str">
        <f>VLOOKUP(N387,'Mã NV'!$A$3:$B$196,2,0)</f>
        <v>AC06</v>
      </c>
      <c r="N387" s="304" t="s">
        <v>466</v>
      </c>
      <c r="O387" s="387">
        <v>44197</v>
      </c>
      <c r="P387" s="371"/>
      <c r="Q387" s="160"/>
      <c r="R387" s="44"/>
    </row>
    <row r="388" spans="1:18" ht="35.25" hidden="1" customHeight="1">
      <c r="A388" s="15">
        <f t="shared" si="5"/>
        <v>378</v>
      </c>
      <c r="B388" s="43" t="s">
        <v>470</v>
      </c>
      <c r="C388" s="46" t="s">
        <v>431</v>
      </c>
      <c r="D388" s="156"/>
      <c r="E388" s="156"/>
      <c r="F388" s="156"/>
      <c r="G388" s="46" t="s">
        <v>471</v>
      </c>
      <c r="H388" s="141"/>
      <c r="I388" s="13" t="s">
        <v>18</v>
      </c>
      <c r="J388" s="13">
        <v>1</v>
      </c>
      <c r="K388" s="11" t="s">
        <v>730</v>
      </c>
      <c r="L388" s="43" t="s">
        <v>387</v>
      </c>
      <c r="M388" s="11" t="str">
        <f>VLOOKUP(N388,'Mã NV'!$A$3:$B$196,2,0)</f>
        <v>AC06</v>
      </c>
      <c r="N388" s="304" t="s">
        <v>466</v>
      </c>
      <c r="O388" s="387">
        <v>44197</v>
      </c>
      <c r="P388" s="371"/>
      <c r="Q388" s="160"/>
      <c r="R388" s="44"/>
    </row>
    <row r="389" spans="1:18" ht="35.25" hidden="1" customHeight="1">
      <c r="A389" s="15">
        <f t="shared" si="5"/>
        <v>379</v>
      </c>
      <c r="B389" s="43" t="s">
        <v>472</v>
      </c>
      <c r="C389" s="46" t="s">
        <v>147</v>
      </c>
      <c r="D389" s="156"/>
      <c r="E389" s="156"/>
      <c r="F389" s="156"/>
      <c r="G389" s="46" t="s">
        <v>438</v>
      </c>
      <c r="H389" s="141"/>
      <c r="I389" s="13" t="s">
        <v>18</v>
      </c>
      <c r="J389" s="13">
        <v>1</v>
      </c>
      <c r="K389" s="11" t="s">
        <v>730</v>
      </c>
      <c r="L389" s="43" t="s">
        <v>387</v>
      </c>
      <c r="M389" s="11" t="str">
        <f>VLOOKUP(N389,'Mã NV'!$A$3:$B$196,2,0)</f>
        <v>AC06</v>
      </c>
      <c r="N389" s="304" t="s">
        <v>466</v>
      </c>
      <c r="O389" s="387">
        <v>44197</v>
      </c>
      <c r="P389" s="371"/>
      <c r="Q389" s="254"/>
      <c r="R389" s="44"/>
    </row>
    <row r="390" spans="1:18" ht="35.25" hidden="1" customHeight="1">
      <c r="A390" s="15">
        <f t="shared" si="5"/>
        <v>380</v>
      </c>
      <c r="B390" s="43" t="s">
        <v>473</v>
      </c>
      <c r="C390" s="46" t="s">
        <v>143</v>
      </c>
      <c r="D390" s="156"/>
      <c r="E390" s="156"/>
      <c r="F390" s="156"/>
      <c r="G390" s="46"/>
      <c r="H390" s="141"/>
      <c r="I390" s="13" t="s">
        <v>18</v>
      </c>
      <c r="J390" s="13">
        <v>1</v>
      </c>
      <c r="K390" s="11" t="s">
        <v>730</v>
      </c>
      <c r="L390" s="43" t="s">
        <v>387</v>
      </c>
      <c r="M390" s="11" t="str">
        <f>VLOOKUP(N390,'Mã NV'!$A$3:$B$196,2,0)</f>
        <v>AC06</v>
      </c>
      <c r="N390" s="304" t="s">
        <v>466</v>
      </c>
      <c r="O390" s="387">
        <v>44197</v>
      </c>
      <c r="P390" s="371"/>
      <c r="Q390" s="254"/>
      <c r="R390" s="44"/>
    </row>
    <row r="391" spans="1:18" ht="35.25" hidden="1" customHeight="1">
      <c r="A391" s="15">
        <f t="shared" si="5"/>
        <v>381</v>
      </c>
      <c r="B391" s="43" t="s">
        <v>474</v>
      </c>
      <c r="C391" s="46" t="s">
        <v>32</v>
      </c>
      <c r="D391" s="156"/>
      <c r="E391" s="156"/>
      <c r="F391" s="156"/>
      <c r="G391" s="19"/>
      <c r="H391" s="141"/>
      <c r="I391" s="19" t="s">
        <v>18</v>
      </c>
      <c r="J391" s="13">
        <v>1</v>
      </c>
      <c r="K391" s="11" t="s">
        <v>730</v>
      </c>
      <c r="L391" s="43" t="s">
        <v>387</v>
      </c>
      <c r="M391" s="11" t="str">
        <f>VLOOKUP(N391,'Mã NV'!$A$3:$B$196,2,0)</f>
        <v>AC06</v>
      </c>
      <c r="N391" s="304" t="s">
        <v>466</v>
      </c>
      <c r="O391" s="387">
        <v>44197</v>
      </c>
      <c r="P391" s="371"/>
      <c r="Q391" s="254"/>
      <c r="R391" s="44"/>
    </row>
    <row r="392" spans="1:18" ht="35.25" hidden="1" customHeight="1">
      <c r="A392" s="15">
        <f t="shared" si="5"/>
        <v>382</v>
      </c>
      <c r="B392" s="43" t="s">
        <v>475</v>
      </c>
      <c r="C392" s="46" t="s">
        <v>476</v>
      </c>
      <c r="D392" s="156"/>
      <c r="E392" s="156"/>
      <c r="F392" s="156"/>
      <c r="G392" s="46" t="s">
        <v>477</v>
      </c>
      <c r="H392" s="141"/>
      <c r="I392" s="13" t="s">
        <v>18</v>
      </c>
      <c r="J392" s="13">
        <v>1</v>
      </c>
      <c r="K392" s="11" t="s">
        <v>730</v>
      </c>
      <c r="L392" s="43" t="s">
        <v>387</v>
      </c>
      <c r="M392" s="11" t="str">
        <f>VLOOKUP(N392,'Mã NV'!$A$3:$B$196,2,0)</f>
        <v>AC06</v>
      </c>
      <c r="N392" s="304" t="s">
        <v>466</v>
      </c>
      <c r="O392" s="380">
        <f>VLOOKUP(B392,'Tổng hợp (3)'!$C$4:$E$985,3,0)</f>
        <v>44725</v>
      </c>
      <c r="P392" s="378"/>
      <c r="Q392" s="160"/>
      <c r="R392" s="44"/>
    </row>
    <row r="393" spans="1:18" ht="35.25" hidden="1" customHeight="1">
      <c r="A393" s="15">
        <f t="shared" si="5"/>
        <v>383</v>
      </c>
      <c r="B393" s="43" t="s">
        <v>478</v>
      </c>
      <c r="C393" s="46" t="s">
        <v>445</v>
      </c>
      <c r="D393" s="156"/>
      <c r="E393" s="156"/>
      <c r="F393" s="156"/>
      <c r="G393" s="19"/>
      <c r="H393" s="141"/>
      <c r="I393" s="13" t="s">
        <v>18</v>
      </c>
      <c r="J393" s="13">
        <v>1</v>
      </c>
      <c r="K393" s="11" t="s">
        <v>730</v>
      </c>
      <c r="L393" s="43" t="s">
        <v>387</v>
      </c>
      <c r="M393" s="11" t="str">
        <f>VLOOKUP(N393,'Mã NV'!$A$3:$B$196,2,0)</f>
        <v>AC06</v>
      </c>
      <c r="N393" s="304" t="s">
        <v>466</v>
      </c>
      <c r="O393" s="380">
        <f>VLOOKUP(B393,'Tổng hợp (3)'!$C$4:$E$985,3,0)</f>
        <v>44738</v>
      </c>
      <c r="P393" s="378"/>
      <c r="Q393" s="160"/>
      <c r="R393" s="44"/>
    </row>
    <row r="394" spans="1:18" ht="35.25" hidden="1" customHeight="1">
      <c r="A394" s="15">
        <f t="shared" si="5"/>
        <v>384</v>
      </c>
      <c r="B394" s="43" t="s">
        <v>479</v>
      </c>
      <c r="C394" s="46" t="s">
        <v>419</v>
      </c>
      <c r="D394" s="156"/>
      <c r="E394" s="156"/>
      <c r="F394" s="156"/>
      <c r="G394" s="46" t="s">
        <v>480</v>
      </c>
      <c r="H394" s="141"/>
      <c r="I394" s="19" t="s">
        <v>18</v>
      </c>
      <c r="J394" s="13">
        <v>1</v>
      </c>
      <c r="K394" s="11" t="s">
        <v>730</v>
      </c>
      <c r="L394" s="43" t="s">
        <v>387</v>
      </c>
      <c r="M394" s="11" t="str">
        <f>VLOOKUP(N394,'Mã NV'!$A$3:$B$196,2,0)</f>
        <v>BU07</v>
      </c>
      <c r="N394" s="304" t="s">
        <v>481</v>
      </c>
      <c r="O394" s="387">
        <v>44197</v>
      </c>
      <c r="P394" s="371"/>
      <c r="Q394" s="160"/>
      <c r="R394" s="44" t="s">
        <v>482</v>
      </c>
    </row>
    <row r="395" spans="1:18" ht="35.25" hidden="1" customHeight="1">
      <c r="A395" s="15">
        <f t="shared" si="5"/>
        <v>385</v>
      </c>
      <c r="B395" s="43" t="s">
        <v>483</v>
      </c>
      <c r="C395" s="46" t="s">
        <v>451</v>
      </c>
      <c r="D395" s="156"/>
      <c r="E395" s="156"/>
      <c r="F395" s="156"/>
      <c r="G395" s="19" t="s">
        <v>484</v>
      </c>
      <c r="H395" s="141"/>
      <c r="I395" s="19" t="s">
        <v>18</v>
      </c>
      <c r="J395" s="13">
        <v>1</v>
      </c>
      <c r="K395" s="11" t="s">
        <v>730</v>
      </c>
      <c r="L395" s="43" t="s">
        <v>387</v>
      </c>
      <c r="M395" s="11" t="str">
        <f>VLOOKUP(N395,'Mã NV'!$A$3:$B$196,2,0)</f>
        <v>BU07</v>
      </c>
      <c r="N395" s="304" t="s">
        <v>481</v>
      </c>
      <c r="O395" s="387">
        <v>44197</v>
      </c>
      <c r="P395" s="371"/>
      <c r="Q395" s="160"/>
      <c r="R395" s="44"/>
    </row>
    <row r="396" spans="1:18" ht="35.25" hidden="1" customHeight="1">
      <c r="A396" s="15">
        <f t="shared" si="5"/>
        <v>386</v>
      </c>
      <c r="B396" s="43" t="s">
        <v>485</v>
      </c>
      <c r="C396" s="46" t="s">
        <v>454</v>
      </c>
      <c r="D396" s="156"/>
      <c r="E396" s="156"/>
      <c r="F396" s="156"/>
      <c r="G396" s="19" t="s">
        <v>486</v>
      </c>
      <c r="H396" s="141"/>
      <c r="I396" s="19" t="s">
        <v>18</v>
      </c>
      <c r="J396" s="13">
        <v>1</v>
      </c>
      <c r="K396" s="11" t="s">
        <v>730</v>
      </c>
      <c r="L396" s="43" t="s">
        <v>387</v>
      </c>
      <c r="M396" s="11" t="str">
        <f>VLOOKUP(N396,'Mã NV'!$A$3:$B$196,2,0)</f>
        <v>BU07</v>
      </c>
      <c r="N396" s="304" t="s">
        <v>481</v>
      </c>
      <c r="O396" s="387">
        <v>44197</v>
      </c>
      <c r="P396" s="371"/>
      <c r="Q396" s="160"/>
      <c r="R396" s="44"/>
    </row>
    <row r="397" spans="1:18" ht="35.25" hidden="1" customHeight="1">
      <c r="A397" s="15">
        <f t="shared" si="5"/>
        <v>387</v>
      </c>
      <c r="B397" s="43" t="s">
        <v>487</v>
      </c>
      <c r="C397" s="46" t="s">
        <v>431</v>
      </c>
      <c r="D397" s="156"/>
      <c r="E397" s="156"/>
      <c r="F397" s="156"/>
      <c r="G397" s="65" t="s">
        <v>488</v>
      </c>
      <c r="H397" s="141"/>
      <c r="I397" s="19" t="s">
        <v>18</v>
      </c>
      <c r="J397" s="13">
        <v>1</v>
      </c>
      <c r="K397" s="11" t="s">
        <v>730</v>
      </c>
      <c r="L397" s="43" t="s">
        <v>387</v>
      </c>
      <c r="M397" s="11" t="str">
        <f>VLOOKUP(N397,'Mã NV'!$A$3:$B$196,2,0)</f>
        <v>BU07</v>
      </c>
      <c r="N397" s="304" t="s">
        <v>481</v>
      </c>
      <c r="O397" s="387">
        <v>44197</v>
      </c>
      <c r="P397" s="371"/>
      <c r="Q397" s="160"/>
      <c r="R397" s="44"/>
    </row>
    <row r="398" spans="1:18" ht="35.25" hidden="1" customHeight="1">
      <c r="A398" s="15">
        <f t="shared" si="5"/>
        <v>388</v>
      </c>
      <c r="B398" s="43" t="s">
        <v>489</v>
      </c>
      <c r="C398" s="46" t="s">
        <v>147</v>
      </c>
      <c r="D398" s="156"/>
      <c r="E398" s="156"/>
      <c r="F398" s="156"/>
      <c r="G398" s="65" t="s">
        <v>438</v>
      </c>
      <c r="H398" s="141"/>
      <c r="I398" s="19" t="s">
        <v>18</v>
      </c>
      <c r="J398" s="13">
        <v>1</v>
      </c>
      <c r="K398" s="11" t="s">
        <v>730</v>
      </c>
      <c r="L398" s="43" t="s">
        <v>387</v>
      </c>
      <c r="M398" s="11" t="str">
        <f>VLOOKUP(N398,'Mã NV'!$A$3:$B$196,2,0)</f>
        <v>BU07</v>
      </c>
      <c r="N398" s="304" t="s">
        <v>481</v>
      </c>
      <c r="O398" s="387">
        <v>44197</v>
      </c>
      <c r="P398" s="371"/>
      <c r="Q398" s="160"/>
      <c r="R398" s="44"/>
    </row>
    <row r="399" spans="1:18" ht="35.25" hidden="1" customHeight="1">
      <c r="A399" s="15">
        <f t="shared" si="5"/>
        <v>389</v>
      </c>
      <c r="B399" s="43" t="s">
        <v>490</v>
      </c>
      <c r="C399" s="46" t="s">
        <v>143</v>
      </c>
      <c r="D399" s="156"/>
      <c r="E399" s="156"/>
      <c r="F399" s="156"/>
      <c r="G399" s="65"/>
      <c r="H399" s="141"/>
      <c r="I399" s="19" t="s">
        <v>18</v>
      </c>
      <c r="J399" s="13">
        <v>1</v>
      </c>
      <c r="K399" s="11" t="s">
        <v>730</v>
      </c>
      <c r="L399" s="43" t="s">
        <v>387</v>
      </c>
      <c r="M399" s="11" t="str">
        <f>VLOOKUP(N399,'Mã NV'!$A$3:$B$196,2,0)</f>
        <v>BU07</v>
      </c>
      <c r="N399" s="304" t="s">
        <v>481</v>
      </c>
      <c r="O399" s="387">
        <v>44197</v>
      </c>
      <c r="P399" s="371"/>
      <c r="Q399" s="160"/>
      <c r="R399" s="44"/>
    </row>
    <row r="400" spans="1:18" ht="35.25" hidden="1" customHeight="1">
      <c r="A400" s="15">
        <f t="shared" si="5"/>
        <v>390</v>
      </c>
      <c r="B400" s="43" t="s">
        <v>491</v>
      </c>
      <c r="C400" s="46" t="s">
        <v>32</v>
      </c>
      <c r="D400" s="156"/>
      <c r="E400" s="156"/>
      <c r="F400" s="156"/>
      <c r="G400" s="19"/>
      <c r="H400" s="141"/>
      <c r="I400" s="19" t="s">
        <v>18</v>
      </c>
      <c r="J400" s="13">
        <v>1</v>
      </c>
      <c r="K400" s="11" t="s">
        <v>730</v>
      </c>
      <c r="L400" s="43" t="s">
        <v>387</v>
      </c>
      <c r="M400" s="11" t="str">
        <f>VLOOKUP(N400,'Mã NV'!$A$3:$B$196,2,0)</f>
        <v>BU07</v>
      </c>
      <c r="N400" s="304" t="s">
        <v>481</v>
      </c>
      <c r="O400" s="387">
        <v>44197</v>
      </c>
      <c r="P400" s="371"/>
      <c r="Q400" s="160"/>
      <c r="R400" s="44"/>
    </row>
    <row r="401" spans="1:18" ht="35.25" hidden="1" customHeight="1">
      <c r="A401" s="15">
        <f t="shared" si="5"/>
        <v>391</v>
      </c>
      <c r="B401" s="43" t="s">
        <v>492</v>
      </c>
      <c r="C401" s="46" t="s">
        <v>493</v>
      </c>
      <c r="D401" s="156"/>
      <c r="E401" s="156"/>
      <c r="F401" s="156"/>
      <c r="G401" s="19" t="s">
        <v>494</v>
      </c>
      <c r="H401" s="141"/>
      <c r="I401" s="19" t="s">
        <v>18</v>
      </c>
      <c r="J401" s="13">
        <v>1</v>
      </c>
      <c r="K401" s="11" t="s">
        <v>730</v>
      </c>
      <c r="L401" s="43" t="s">
        <v>387</v>
      </c>
      <c r="M401" s="11" t="str">
        <f>VLOOKUP(N401,'Mã NV'!$A$3:$B$196,2,0)</f>
        <v>BU07</v>
      </c>
      <c r="N401" s="304" t="s">
        <v>481</v>
      </c>
      <c r="O401" s="387">
        <v>44197</v>
      </c>
      <c r="P401" s="371"/>
      <c r="Q401" s="160"/>
      <c r="R401" s="44"/>
    </row>
    <row r="402" spans="1:18" ht="35.25" hidden="1" customHeight="1">
      <c r="A402" s="15">
        <f t="shared" ref="A402:A465" si="6">A401+1</f>
        <v>392</v>
      </c>
      <c r="B402" s="43" t="s">
        <v>495</v>
      </c>
      <c r="C402" s="46" t="s">
        <v>496</v>
      </c>
      <c r="D402" s="156"/>
      <c r="E402" s="156"/>
      <c r="F402" s="156"/>
      <c r="G402" s="46" t="s">
        <v>497</v>
      </c>
      <c r="H402" s="141"/>
      <c r="I402" s="19" t="s">
        <v>18</v>
      </c>
      <c r="J402" s="13">
        <v>1</v>
      </c>
      <c r="K402" s="11" t="s">
        <v>730</v>
      </c>
      <c r="L402" s="43" t="s">
        <v>387</v>
      </c>
      <c r="M402" s="11" t="str">
        <f>VLOOKUP(N402,'Mã NV'!$A$3:$B$196,2,0)</f>
        <v>BU07</v>
      </c>
      <c r="N402" s="304" t="s">
        <v>481</v>
      </c>
      <c r="O402" s="387">
        <v>44197</v>
      </c>
      <c r="P402" s="371"/>
      <c r="Q402" s="160"/>
      <c r="R402" s="44"/>
    </row>
    <row r="403" spans="1:18" ht="35.25" hidden="1" customHeight="1">
      <c r="A403" s="15">
        <f t="shared" si="6"/>
        <v>393</v>
      </c>
      <c r="B403" s="43" t="s">
        <v>498</v>
      </c>
      <c r="C403" s="46" t="s">
        <v>499</v>
      </c>
      <c r="D403" s="156"/>
      <c r="E403" s="156"/>
      <c r="F403" s="156"/>
      <c r="G403" s="19" t="s">
        <v>500</v>
      </c>
      <c r="H403" s="141"/>
      <c r="I403" s="19" t="s">
        <v>18</v>
      </c>
      <c r="J403" s="13">
        <v>1</v>
      </c>
      <c r="K403" s="11" t="s">
        <v>730</v>
      </c>
      <c r="L403" s="43" t="s">
        <v>387</v>
      </c>
      <c r="M403" s="11" t="str">
        <f>VLOOKUP(N403,'Mã NV'!$A$3:$B$196,2,0)</f>
        <v>BU07</v>
      </c>
      <c r="N403" s="304" t="s">
        <v>481</v>
      </c>
      <c r="O403" s="380">
        <f>VLOOKUP(B403,'Tổng hợp (3)'!$C$4:$E$985,3,0)</f>
        <v>44672</v>
      </c>
      <c r="P403" s="378"/>
      <c r="Q403" s="160"/>
      <c r="R403" s="44"/>
    </row>
    <row r="404" spans="1:18" ht="35.25" hidden="1" customHeight="1">
      <c r="A404" s="15">
        <f t="shared" si="6"/>
        <v>394</v>
      </c>
      <c r="B404" s="43" t="s">
        <v>501</v>
      </c>
      <c r="C404" s="46" t="s">
        <v>445</v>
      </c>
      <c r="D404" s="156"/>
      <c r="E404" s="156"/>
      <c r="F404" s="156"/>
      <c r="G404" s="19"/>
      <c r="H404" s="141"/>
      <c r="I404" s="13" t="s">
        <v>18</v>
      </c>
      <c r="J404" s="13">
        <v>1</v>
      </c>
      <c r="K404" s="11" t="s">
        <v>730</v>
      </c>
      <c r="L404" s="43" t="s">
        <v>387</v>
      </c>
      <c r="M404" s="11" t="str">
        <f>VLOOKUP(N404,'Mã NV'!$A$3:$B$196,2,0)</f>
        <v>BU07</v>
      </c>
      <c r="N404" s="304" t="s">
        <v>481</v>
      </c>
      <c r="O404" s="380">
        <f>VLOOKUP(B404,'Tổng hợp (3)'!$C$4:$E$985,3,0)</f>
        <v>44742</v>
      </c>
      <c r="P404" s="378"/>
      <c r="Q404" s="160"/>
      <c r="R404" s="44"/>
    </row>
    <row r="405" spans="1:18" ht="35.25" hidden="1" customHeight="1">
      <c r="A405" s="15">
        <f t="shared" si="6"/>
        <v>395</v>
      </c>
      <c r="B405" s="43" t="s">
        <v>502</v>
      </c>
      <c r="C405" s="46" t="s">
        <v>419</v>
      </c>
      <c r="D405" s="156"/>
      <c r="E405" s="156"/>
      <c r="F405" s="156"/>
      <c r="G405" s="46" t="s">
        <v>503</v>
      </c>
      <c r="H405" s="141"/>
      <c r="I405" s="13" t="s">
        <v>18</v>
      </c>
      <c r="J405" s="13">
        <v>1</v>
      </c>
      <c r="K405" s="11" t="s">
        <v>730</v>
      </c>
      <c r="L405" s="43" t="s">
        <v>387</v>
      </c>
      <c r="M405" s="11" t="str">
        <f>VLOOKUP(N405,'Mã NV'!$A$3:$B$196,2,0)</f>
        <v>NV0004</v>
      </c>
      <c r="N405" s="304" t="s">
        <v>2531</v>
      </c>
      <c r="O405" s="387">
        <v>44197</v>
      </c>
      <c r="P405" s="371"/>
      <c r="Q405" s="160"/>
      <c r="R405" s="44" t="s">
        <v>422</v>
      </c>
    </row>
    <row r="406" spans="1:18" ht="35.25" hidden="1" customHeight="1">
      <c r="A406" s="15">
        <f t="shared" si="6"/>
        <v>396</v>
      </c>
      <c r="B406" s="43" t="s">
        <v>505</v>
      </c>
      <c r="C406" s="46" t="s">
        <v>451</v>
      </c>
      <c r="D406" s="156"/>
      <c r="E406" s="156"/>
      <c r="F406" s="156"/>
      <c r="G406" s="46" t="s">
        <v>506</v>
      </c>
      <c r="H406" s="141"/>
      <c r="I406" s="13" t="s">
        <v>18</v>
      </c>
      <c r="J406" s="13">
        <v>1</v>
      </c>
      <c r="K406" s="11" t="s">
        <v>730</v>
      </c>
      <c r="L406" s="43" t="s">
        <v>387</v>
      </c>
      <c r="M406" s="11" t="str">
        <f>VLOOKUP(N406,'Mã NV'!$A$3:$B$196,2,0)</f>
        <v>NV0004</v>
      </c>
      <c r="N406" s="304" t="s">
        <v>2531</v>
      </c>
      <c r="O406" s="387">
        <v>44197</v>
      </c>
      <c r="P406" s="371"/>
      <c r="Q406" s="160"/>
      <c r="R406" s="44"/>
    </row>
    <row r="407" spans="1:18" ht="35.25" hidden="1" customHeight="1">
      <c r="A407" s="15">
        <f t="shared" si="6"/>
        <v>397</v>
      </c>
      <c r="B407" s="43" t="s">
        <v>507</v>
      </c>
      <c r="C407" s="46" t="s">
        <v>454</v>
      </c>
      <c r="D407" s="156"/>
      <c r="E407" s="156"/>
      <c r="F407" s="156"/>
      <c r="G407" s="46" t="s">
        <v>508</v>
      </c>
      <c r="H407" s="141"/>
      <c r="I407" s="13" t="s">
        <v>18</v>
      </c>
      <c r="J407" s="13">
        <v>1</v>
      </c>
      <c r="K407" s="11" t="s">
        <v>730</v>
      </c>
      <c r="L407" s="43" t="s">
        <v>387</v>
      </c>
      <c r="M407" s="11" t="str">
        <f>VLOOKUP(N407,'Mã NV'!$A$3:$B$196,2,0)</f>
        <v>NV0004</v>
      </c>
      <c r="N407" s="304" t="s">
        <v>2531</v>
      </c>
      <c r="O407" s="387">
        <v>44197</v>
      </c>
      <c r="P407" s="371"/>
      <c r="Q407" s="160"/>
      <c r="R407" s="44"/>
    </row>
    <row r="408" spans="1:18" ht="35.25" hidden="1" customHeight="1">
      <c r="A408" s="15">
        <f t="shared" si="6"/>
        <v>398</v>
      </c>
      <c r="B408" s="43" t="s">
        <v>509</v>
      </c>
      <c r="C408" s="46" t="s">
        <v>431</v>
      </c>
      <c r="D408" s="156"/>
      <c r="E408" s="156"/>
      <c r="F408" s="156"/>
      <c r="G408" s="46" t="s">
        <v>510</v>
      </c>
      <c r="H408" s="141"/>
      <c r="I408" s="13" t="s">
        <v>18</v>
      </c>
      <c r="J408" s="13">
        <v>1</v>
      </c>
      <c r="K408" s="11" t="s">
        <v>730</v>
      </c>
      <c r="L408" s="43" t="s">
        <v>387</v>
      </c>
      <c r="M408" s="11" t="str">
        <f>VLOOKUP(N408,'Mã NV'!$A$3:$B$196,2,0)</f>
        <v>NV0004</v>
      </c>
      <c r="N408" s="304" t="s">
        <v>2531</v>
      </c>
      <c r="O408" s="387">
        <v>44197</v>
      </c>
      <c r="P408" s="371"/>
      <c r="Q408" s="160"/>
      <c r="R408" s="44"/>
    </row>
    <row r="409" spans="1:18" ht="35.25" hidden="1" customHeight="1">
      <c r="A409" s="15">
        <f t="shared" si="6"/>
        <v>399</v>
      </c>
      <c r="B409" s="43" t="s">
        <v>511</v>
      </c>
      <c r="C409" s="46" t="s">
        <v>147</v>
      </c>
      <c r="D409" s="156"/>
      <c r="E409" s="156"/>
      <c r="F409" s="156"/>
      <c r="G409" s="46" t="s">
        <v>438</v>
      </c>
      <c r="H409" s="141"/>
      <c r="I409" s="13" t="s">
        <v>18</v>
      </c>
      <c r="J409" s="13">
        <v>1</v>
      </c>
      <c r="K409" s="11" t="s">
        <v>730</v>
      </c>
      <c r="L409" s="43" t="s">
        <v>387</v>
      </c>
      <c r="M409" s="11" t="str">
        <f>VLOOKUP(N409,'Mã NV'!$A$3:$B$196,2,0)</f>
        <v>NV0004</v>
      </c>
      <c r="N409" s="304" t="s">
        <v>2531</v>
      </c>
      <c r="O409" s="387">
        <v>44197</v>
      </c>
      <c r="P409" s="371"/>
      <c r="Q409" s="160"/>
      <c r="R409" s="44"/>
    </row>
    <row r="410" spans="1:18" ht="35.25" hidden="1" customHeight="1">
      <c r="A410" s="15">
        <f t="shared" si="6"/>
        <v>400</v>
      </c>
      <c r="B410" s="43" t="s">
        <v>512</v>
      </c>
      <c r="C410" s="46" t="s">
        <v>143</v>
      </c>
      <c r="D410" s="156"/>
      <c r="E410" s="156"/>
      <c r="F410" s="156"/>
      <c r="G410" s="46"/>
      <c r="H410" s="141"/>
      <c r="I410" s="13" t="s">
        <v>18</v>
      </c>
      <c r="J410" s="13">
        <v>1</v>
      </c>
      <c r="K410" s="11" t="s">
        <v>730</v>
      </c>
      <c r="L410" s="43" t="s">
        <v>387</v>
      </c>
      <c r="M410" s="11" t="str">
        <f>VLOOKUP(N410,'Mã NV'!$A$3:$B$196,2,0)</f>
        <v>NV0004</v>
      </c>
      <c r="N410" s="304" t="s">
        <v>2531</v>
      </c>
      <c r="O410" s="387">
        <v>44197</v>
      </c>
      <c r="P410" s="371"/>
      <c r="Q410" s="160"/>
      <c r="R410" s="44"/>
    </row>
    <row r="411" spans="1:18" ht="35.25" hidden="1" customHeight="1">
      <c r="A411" s="15">
        <f t="shared" si="6"/>
        <v>401</v>
      </c>
      <c r="B411" s="43" t="s">
        <v>513</v>
      </c>
      <c r="C411" s="46" t="s">
        <v>32</v>
      </c>
      <c r="D411" s="156"/>
      <c r="E411" s="156"/>
      <c r="F411" s="156"/>
      <c r="G411" s="46"/>
      <c r="H411" s="141"/>
      <c r="I411" s="13" t="s">
        <v>18</v>
      </c>
      <c r="J411" s="13">
        <v>1</v>
      </c>
      <c r="K411" s="19" t="s">
        <v>514</v>
      </c>
      <c r="L411" s="43" t="s">
        <v>387</v>
      </c>
      <c r="M411" s="11" t="str">
        <f>VLOOKUP(N411,'Mã NV'!$A$3:$B$196,2,0)</f>
        <v>NV0004</v>
      </c>
      <c r="N411" s="304" t="s">
        <v>2531</v>
      </c>
      <c r="O411" s="387">
        <v>44197</v>
      </c>
      <c r="P411" s="371"/>
      <c r="Q411" s="160"/>
      <c r="R411" s="44"/>
    </row>
    <row r="412" spans="1:18" ht="35.25" hidden="1" customHeight="1">
      <c r="A412" s="15">
        <f t="shared" si="6"/>
        <v>402</v>
      </c>
      <c r="B412" s="43" t="s">
        <v>515</v>
      </c>
      <c r="C412" s="46" t="s">
        <v>445</v>
      </c>
      <c r="D412" s="156"/>
      <c r="E412" s="156"/>
      <c r="F412" s="156"/>
      <c r="G412" s="19"/>
      <c r="H412" s="141"/>
      <c r="I412" s="13" t="s">
        <v>18</v>
      </c>
      <c r="J412" s="13">
        <v>1</v>
      </c>
      <c r="K412" s="19" t="s">
        <v>730</v>
      </c>
      <c r="L412" s="43" t="s">
        <v>387</v>
      </c>
      <c r="M412" s="11" t="str">
        <f>VLOOKUP(N412,'Mã NV'!$A$3:$B$196,2,0)</f>
        <v>NV0004</v>
      </c>
      <c r="N412" s="304" t="s">
        <v>2531</v>
      </c>
      <c r="O412" s="380">
        <f>VLOOKUP(B412,'Tổng hợp (3)'!$C$4:$E$985,3,0)</f>
        <v>44737</v>
      </c>
      <c r="P412" s="378"/>
      <c r="Q412" s="160"/>
      <c r="R412" s="44"/>
    </row>
    <row r="413" spans="1:18" ht="35.25" hidden="1" customHeight="1">
      <c r="A413" s="15">
        <f t="shared" si="6"/>
        <v>403</v>
      </c>
      <c r="B413" s="43" t="s">
        <v>516</v>
      </c>
      <c r="C413" s="46" t="s">
        <v>419</v>
      </c>
      <c r="D413" s="156"/>
      <c r="E413" s="156"/>
      <c r="F413" s="156"/>
      <c r="G413" s="46" t="s">
        <v>517</v>
      </c>
      <c r="H413" s="141"/>
      <c r="I413" s="13" t="s">
        <v>18</v>
      </c>
      <c r="J413" s="13">
        <v>1</v>
      </c>
      <c r="K413" s="19" t="s">
        <v>730</v>
      </c>
      <c r="L413" s="43" t="s">
        <v>387</v>
      </c>
      <c r="M413" s="11" t="str">
        <f>VLOOKUP(N413,'Mã NV'!$A$3:$B$196,2,0)</f>
        <v>AC05</v>
      </c>
      <c r="N413" s="304" t="s">
        <v>3632</v>
      </c>
      <c r="O413" s="387">
        <v>44197</v>
      </c>
      <c r="P413" s="371"/>
      <c r="Q413" s="160"/>
      <c r="R413" s="44" t="s">
        <v>519</v>
      </c>
    </row>
    <row r="414" spans="1:18" ht="35.25" hidden="1" customHeight="1">
      <c r="A414" s="15">
        <f t="shared" si="6"/>
        <v>404</v>
      </c>
      <c r="B414" s="43" t="s">
        <v>520</v>
      </c>
      <c r="C414" s="46" t="s">
        <v>451</v>
      </c>
      <c r="D414" s="156"/>
      <c r="E414" s="156"/>
      <c r="F414" s="156"/>
      <c r="G414" s="46" t="s">
        <v>521</v>
      </c>
      <c r="H414" s="141"/>
      <c r="I414" s="13" t="s">
        <v>18</v>
      </c>
      <c r="J414" s="13">
        <v>1</v>
      </c>
      <c r="K414" s="19" t="s">
        <v>730</v>
      </c>
      <c r="L414" s="43" t="s">
        <v>387</v>
      </c>
      <c r="M414" s="11" t="str">
        <f>VLOOKUP(N414,'Mã NV'!$A$3:$B$196,2,0)</f>
        <v>AC05</v>
      </c>
      <c r="N414" s="304" t="s">
        <v>3632</v>
      </c>
      <c r="O414" s="387">
        <v>44197</v>
      </c>
      <c r="P414" s="371"/>
      <c r="Q414" s="160"/>
      <c r="R414" s="44"/>
    </row>
    <row r="415" spans="1:18" ht="35.25" hidden="1" customHeight="1">
      <c r="A415" s="15">
        <f t="shared" si="6"/>
        <v>405</v>
      </c>
      <c r="B415" s="43" t="s">
        <v>522</v>
      </c>
      <c r="C415" s="46" t="s">
        <v>523</v>
      </c>
      <c r="D415" s="156"/>
      <c r="E415" s="156"/>
      <c r="F415" s="156"/>
      <c r="G415" s="46" t="s">
        <v>524</v>
      </c>
      <c r="H415" s="141"/>
      <c r="I415" s="13" t="s">
        <v>18</v>
      </c>
      <c r="J415" s="13">
        <v>1</v>
      </c>
      <c r="K415" s="19" t="s">
        <v>730</v>
      </c>
      <c r="L415" s="43" t="s">
        <v>387</v>
      </c>
      <c r="M415" s="11" t="str">
        <f>VLOOKUP(N415,'Mã NV'!$A$3:$B$196,2,0)</f>
        <v>AC05</v>
      </c>
      <c r="N415" s="304" t="s">
        <v>3632</v>
      </c>
      <c r="O415" s="387">
        <v>44197</v>
      </c>
      <c r="P415" s="371"/>
      <c r="Q415" s="160"/>
      <c r="R415" s="44"/>
    </row>
    <row r="416" spans="1:18" ht="35.25" hidden="1" customHeight="1">
      <c r="A416" s="15">
        <f t="shared" si="6"/>
        <v>406</v>
      </c>
      <c r="B416" s="43" t="s">
        <v>525</v>
      </c>
      <c r="C416" s="46" t="s">
        <v>431</v>
      </c>
      <c r="D416" s="156"/>
      <c r="E416" s="156"/>
      <c r="F416" s="156"/>
      <c r="G416" s="46" t="s">
        <v>526</v>
      </c>
      <c r="H416" s="141"/>
      <c r="I416" s="13" t="s">
        <v>18</v>
      </c>
      <c r="J416" s="13">
        <v>1</v>
      </c>
      <c r="K416" s="19" t="s">
        <v>730</v>
      </c>
      <c r="L416" s="43" t="s">
        <v>387</v>
      </c>
      <c r="M416" s="11" t="str">
        <f>VLOOKUP(N416,'Mã NV'!$A$3:$B$196,2,0)</f>
        <v>AC05</v>
      </c>
      <c r="N416" s="304" t="s">
        <v>3632</v>
      </c>
      <c r="O416" s="387">
        <v>44197</v>
      </c>
      <c r="P416" s="371"/>
      <c r="Q416" s="160"/>
      <c r="R416" s="44"/>
    </row>
    <row r="417" spans="1:18" ht="35.25" hidden="1" customHeight="1">
      <c r="A417" s="15">
        <f t="shared" si="6"/>
        <v>407</v>
      </c>
      <c r="B417" s="43" t="s">
        <v>527</v>
      </c>
      <c r="C417" s="46" t="s">
        <v>147</v>
      </c>
      <c r="D417" s="156"/>
      <c r="E417" s="156"/>
      <c r="F417" s="156"/>
      <c r="G417" s="46" t="s">
        <v>528</v>
      </c>
      <c r="H417" s="141"/>
      <c r="I417" s="13" t="s">
        <v>18</v>
      </c>
      <c r="J417" s="13">
        <v>1</v>
      </c>
      <c r="K417" s="19" t="s">
        <v>730</v>
      </c>
      <c r="L417" s="43" t="s">
        <v>387</v>
      </c>
      <c r="M417" s="11" t="str">
        <f>VLOOKUP(N417,'Mã NV'!$A$3:$B$196,2,0)</f>
        <v>AC05</v>
      </c>
      <c r="N417" s="304" t="s">
        <v>3632</v>
      </c>
      <c r="O417" s="387">
        <v>44197</v>
      </c>
      <c r="P417" s="371"/>
      <c r="Q417" s="160"/>
      <c r="R417" s="44"/>
    </row>
    <row r="418" spans="1:18" ht="35.25" hidden="1" customHeight="1">
      <c r="A418" s="15">
        <f t="shared" si="6"/>
        <v>408</v>
      </c>
      <c r="B418" s="43" t="s">
        <v>529</v>
      </c>
      <c r="C418" s="46" t="s">
        <v>143</v>
      </c>
      <c r="D418" s="156"/>
      <c r="E418" s="156"/>
      <c r="F418" s="156"/>
      <c r="G418" s="46"/>
      <c r="H418" s="141"/>
      <c r="I418" s="13" t="s">
        <v>18</v>
      </c>
      <c r="J418" s="13">
        <v>1</v>
      </c>
      <c r="K418" s="19" t="s">
        <v>530</v>
      </c>
      <c r="L418" s="43" t="s">
        <v>387</v>
      </c>
      <c r="M418" s="11" t="str">
        <f>VLOOKUP(N418,'Mã NV'!$A$3:$B$196,2,0)</f>
        <v>AC05</v>
      </c>
      <c r="N418" s="304" t="s">
        <v>3632</v>
      </c>
      <c r="O418" s="387">
        <v>44197</v>
      </c>
      <c r="P418" s="371"/>
      <c r="Q418" s="160"/>
      <c r="R418" s="44"/>
    </row>
    <row r="419" spans="1:18" ht="35.25" hidden="1" customHeight="1">
      <c r="A419" s="15">
        <f t="shared" si="6"/>
        <v>409</v>
      </c>
      <c r="B419" s="43" t="s">
        <v>531</v>
      </c>
      <c r="C419" s="46" t="s">
        <v>32</v>
      </c>
      <c r="D419" s="156"/>
      <c r="E419" s="156"/>
      <c r="F419" s="156"/>
      <c r="G419" s="46"/>
      <c r="H419" s="141"/>
      <c r="I419" s="13" t="s">
        <v>18</v>
      </c>
      <c r="J419" s="13">
        <v>1</v>
      </c>
      <c r="K419" s="19" t="s">
        <v>532</v>
      </c>
      <c r="L419" s="43" t="s">
        <v>387</v>
      </c>
      <c r="M419" s="11" t="str">
        <f>VLOOKUP(N419,'Mã NV'!$A$3:$B$196,2,0)</f>
        <v>AC05</v>
      </c>
      <c r="N419" s="304" t="s">
        <v>3632</v>
      </c>
      <c r="O419" s="387">
        <v>44197</v>
      </c>
      <c r="P419" s="371"/>
      <c r="Q419" s="160"/>
      <c r="R419" s="44"/>
    </row>
    <row r="420" spans="1:18" ht="35.25" hidden="1" customHeight="1">
      <c r="A420" s="15">
        <f t="shared" si="6"/>
        <v>410</v>
      </c>
      <c r="B420" s="43" t="s">
        <v>533</v>
      </c>
      <c r="C420" s="46" t="s">
        <v>476</v>
      </c>
      <c r="D420" s="156"/>
      <c r="E420" s="156"/>
      <c r="F420" s="156"/>
      <c r="G420" s="46" t="s">
        <v>534</v>
      </c>
      <c r="H420" s="141"/>
      <c r="I420" s="13" t="s">
        <v>18</v>
      </c>
      <c r="J420" s="13">
        <v>1</v>
      </c>
      <c r="K420" s="19" t="s">
        <v>730</v>
      </c>
      <c r="L420" s="43" t="s">
        <v>387</v>
      </c>
      <c r="M420" s="11" t="str">
        <f>VLOOKUP(N420,'Mã NV'!$A$3:$B$196,2,0)</f>
        <v>AC05</v>
      </c>
      <c r="N420" s="304" t="s">
        <v>3632</v>
      </c>
      <c r="O420" s="380">
        <f>VLOOKUP(B420,'Tổng hợp (3)'!$C$4:$E$985,3,0)</f>
        <v>44725</v>
      </c>
      <c r="P420" s="378"/>
      <c r="Q420" s="160"/>
      <c r="R420" s="44"/>
    </row>
    <row r="421" spans="1:18" ht="35.25" hidden="1" customHeight="1">
      <c r="A421" s="15">
        <f t="shared" si="6"/>
        <v>411</v>
      </c>
      <c r="B421" s="43" t="s">
        <v>535</v>
      </c>
      <c r="C421" s="46" t="s">
        <v>445</v>
      </c>
      <c r="D421" s="156"/>
      <c r="E421" s="156"/>
      <c r="F421" s="156"/>
      <c r="G421" s="19"/>
      <c r="H421" s="141"/>
      <c r="I421" s="13" t="s">
        <v>18</v>
      </c>
      <c r="J421" s="13">
        <v>1</v>
      </c>
      <c r="K421" s="19" t="s">
        <v>730</v>
      </c>
      <c r="L421" s="43" t="s">
        <v>387</v>
      </c>
      <c r="M421" s="11" t="str">
        <f>VLOOKUP(N421,'Mã NV'!$A$3:$B$196,2,0)</f>
        <v>AC05</v>
      </c>
      <c r="N421" s="304" t="s">
        <v>3632</v>
      </c>
      <c r="O421" s="380">
        <f>VLOOKUP(B421,'Tổng hợp (3)'!$C$4:$E$985,3,0)</f>
        <v>44741</v>
      </c>
      <c r="P421" s="378"/>
      <c r="Q421" s="160"/>
      <c r="R421" s="44"/>
    </row>
    <row r="422" spans="1:18" ht="35.25" hidden="1" customHeight="1">
      <c r="A422" s="15">
        <f t="shared" si="6"/>
        <v>412</v>
      </c>
      <c r="B422" s="43" t="s">
        <v>536</v>
      </c>
      <c r="C422" s="46" t="s">
        <v>419</v>
      </c>
      <c r="D422" s="156"/>
      <c r="E422" s="156"/>
      <c r="F422" s="156"/>
      <c r="G422" s="46" t="s">
        <v>537</v>
      </c>
      <c r="H422" s="141"/>
      <c r="I422" s="13" t="s">
        <v>18</v>
      </c>
      <c r="J422" s="13">
        <v>1</v>
      </c>
      <c r="K422" s="19" t="s">
        <v>730</v>
      </c>
      <c r="L422" s="43" t="s">
        <v>387</v>
      </c>
      <c r="M422" s="11" t="str">
        <f>VLOOKUP(N422,'Mã NV'!$A$3:$B$196,2,0)</f>
        <v>AC07</v>
      </c>
      <c r="N422" s="304" t="s">
        <v>538</v>
      </c>
      <c r="O422" s="380">
        <f>VLOOKUP(B422,'Tổng hợp (3)'!$C$4:$E$985,3,0)</f>
        <v>44320</v>
      </c>
      <c r="P422" s="378"/>
      <c r="Q422" s="160"/>
      <c r="R422" s="44" t="s">
        <v>449</v>
      </c>
    </row>
    <row r="423" spans="1:18" ht="35.25" hidden="1" customHeight="1">
      <c r="A423" s="15">
        <f t="shared" si="6"/>
        <v>413</v>
      </c>
      <c r="B423" s="43" t="s">
        <v>539</v>
      </c>
      <c r="C423" s="46" t="s">
        <v>451</v>
      </c>
      <c r="D423" s="156"/>
      <c r="E423" s="156"/>
      <c r="F423" s="156"/>
      <c r="G423" s="46" t="s">
        <v>540</v>
      </c>
      <c r="H423" s="141"/>
      <c r="I423" s="13" t="s">
        <v>18</v>
      </c>
      <c r="J423" s="13">
        <v>1</v>
      </c>
      <c r="K423" s="19" t="s">
        <v>730</v>
      </c>
      <c r="L423" s="43" t="s">
        <v>387</v>
      </c>
      <c r="M423" s="11" t="str">
        <f>VLOOKUP(N423,'Mã NV'!$A$3:$B$196,2,0)</f>
        <v>AC07</v>
      </c>
      <c r="N423" s="304" t="s">
        <v>538</v>
      </c>
      <c r="O423" s="380">
        <f>VLOOKUP(B423,'Tổng hợp (3)'!$C$4:$E$985,3,0)</f>
        <v>44320</v>
      </c>
      <c r="P423" s="378"/>
      <c r="Q423" s="160"/>
      <c r="R423" s="44"/>
    </row>
    <row r="424" spans="1:18" ht="35.25" hidden="1" customHeight="1">
      <c r="A424" s="15">
        <f t="shared" si="6"/>
        <v>414</v>
      </c>
      <c r="B424" s="43" t="s">
        <v>541</v>
      </c>
      <c r="C424" s="46" t="s">
        <v>523</v>
      </c>
      <c r="D424" s="156"/>
      <c r="E424" s="156"/>
      <c r="F424" s="156"/>
      <c r="G424" s="46" t="s">
        <v>542</v>
      </c>
      <c r="H424" s="141"/>
      <c r="I424" s="13" t="s">
        <v>18</v>
      </c>
      <c r="J424" s="13">
        <v>1</v>
      </c>
      <c r="K424" s="19" t="s">
        <v>730</v>
      </c>
      <c r="L424" s="43" t="s">
        <v>387</v>
      </c>
      <c r="M424" s="11" t="str">
        <f>VLOOKUP(N424,'Mã NV'!$A$3:$B$196,2,0)</f>
        <v>AC07</v>
      </c>
      <c r="N424" s="304" t="s">
        <v>538</v>
      </c>
      <c r="O424" s="380">
        <f>VLOOKUP(B424,'Tổng hợp (3)'!$C$4:$E$985,3,0)</f>
        <v>44320</v>
      </c>
      <c r="P424" s="378"/>
      <c r="Q424" s="160"/>
      <c r="R424" s="44"/>
    </row>
    <row r="425" spans="1:18" ht="35.25" hidden="1" customHeight="1">
      <c r="A425" s="15">
        <f t="shared" si="6"/>
        <v>415</v>
      </c>
      <c r="B425" s="43" t="s">
        <v>543</v>
      </c>
      <c r="C425" s="66" t="s">
        <v>431</v>
      </c>
      <c r="D425" s="156"/>
      <c r="E425" s="156"/>
      <c r="F425" s="156"/>
      <c r="G425" s="66" t="s">
        <v>544</v>
      </c>
      <c r="H425" s="141"/>
      <c r="I425" s="13" t="s">
        <v>18</v>
      </c>
      <c r="J425" s="13">
        <v>1</v>
      </c>
      <c r="K425" s="19" t="s">
        <v>730</v>
      </c>
      <c r="L425" s="43" t="s">
        <v>387</v>
      </c>
      <c r="M425" s="11" t="str">
        <f>VLOOKUP(N425,'Mã NV'!$A$3:$B$196,2,0)</f>
        <v>AC07</v>
      </c>
      <c r="N425" s="304" t="s">
        <v>538</v>
      </c>
      <c r="O425" s="380">
        <f>VLOOKUP(B425,'Tổng hợp (3)'!$C$4:$E$985,3,0)</f>
        <v>44320</v>
      </c>
      <c r="P425" s="378"/>
      <c r="Q425" s="160"/>
      <c r="R425" s="44"/>
    </row>
    <row r="426" spans="1:18" ht="35.25" hidden="1" customHeight="1">
      <c r="A426" s="15">
        <f t="shared" si="6"/>
        <v>416</v>
      </c>
      <c r="B426" s="43" t="s">
        <v>545</v>
      </c>
      <c r="C426" s="46" t="s">
        <v>147</v>
      </c>
      <c r="D426" s="156"/>
      <c r="E426" s="156"/>
      <c r="F426" s="156"/>
      <c r="G426" s="46" t="s">
        <v>438</v>
      </c>
      <c r="H426" s="141"/>
      <c r="I426" s="13" t="s">
        <v>18</v>
      </c>
      <c r="J426" s="13">
        <v>1</v>
      </c>
      <c r="K426" s="19" t="s">
        <v>730</v>
      </c>
      <c r="L426" s="43" t="s">
        <v>387</v>
      </c>
      <c r="M426" s="11" t="str">
        <f>VLOOKUP(N426,'Mã NV'!$A$3:$B$196,2,0)</f>
        <v>AC07</v>
      </c>
      <c r="N426" s="304" t="s">
        <v>538</v>
      </c>
      <c r="O426" s="387">
        <v>44197</v>
      </c>
      <c r="P426" s="371"/>
      <c r="Q426" s="160"/>
      <c r="R426" s="44"/>
    </row>
    <row r="427" spans="1:18" ht="35.25" hidden="1" customHeight="1">
      <c r="A427" s="15">
        <f t="shared" si="6"/>
        <v>417</v>
      </c>
      <c r="B427" s="43" t="s">
        <v>546</v>
      </c>
      <c r="C427" s="46" t="s">
        <v>143</v>
      </c>
      <c r="D427" s="156"/>
      <c r="E427" s="156"/>
      <c r="F427" s="156"/>
      <c r="G427" s="46"/>
      <c r="H427" s="141"/>
      <c r="I427" s="13" t="s">
        <v>18</v>
      </c>
      <c r="J427" s="13">
        <v>1</v>
      </c>
      <c r="K427" s="19" t="s">
        <v>730</v>
      </c>
      <c r="L427" s="43" t="s">
        <v>387</v>
      </c>
      <c r="M427" s="11" t="str">
        <f>VLOOKUP(N427,'Mã NV'!$A$3:$B$196,2,0)</f>
        <v>AC07</v>
      </c>
      <c r="N427" s="304" t="s">
        <v>538</v>
      </c>
      <c r="O427" s="387">
        <v>44197</v>
      </c>
      <c r="P427" s="371"/>
      <c r="Q427" s="160"/>
      <c r="R427" s="44"/>
    </row>
    <row r="428" spans="1:18" ht="35.25" hidden="1" customHeight="1">
      <c r="A428" s="15">
        <f t="shared" si="6"/>
        <v>418</v>
      </c>
      <c r="B428" s="43" t="s">
        <v>547</v>
      </c>
      <c r="C428" s="46" t="s">
        <v>32</v>
      </c>
      <c r="D428" s="156"/>
      <c r="E428" s="156"/>
      <c r="F428" s="156"/>
      <c r="G428" s="46"/>
      <c r="H428" s="141"/>
      <c r="I428" s="13" t="s">
        <v>18</v>
      </c>
      <c r="J428" s="13">
        <v>1</v>
      </c>
      <c r="K428" s="19" t="s">
        <v>730</v>
      </c>
      <c r="L428" s="43" t="s">
        <v>387</v>
      </c>
      <c r="M428" s="11" t="str">
        <f>VLOOKUP(N428,'Mã NV'!$A$3:$B$196,2,0)</f>
        <v>AC07</v>
      </c>
      <c r="N428" s="304" t="s">
        <v>538</v>
      </c>
      <c r="O428" s="387">
        <v>44197</v>
      </c>
      <c r="P428" s="371"/>
      <c r="Q428" s="160"/>
      <c r="R428" s="44"/>
    </row>
    <row r="429" spans="1:18" ht="35.25" hidden="1" customHeight="1">
      <c r="A429" s="15">
        <f t="shared" si="6"/>
        <v>419</v>
      </c>
      <c r="B429" s="43" t="s">
        <v>548</v>
      </c>
      <c r="C429" s="46" t="s">
        <v>445</v>
      </c>
      <c r="D429" s="156"/>
      <c r="E429" s="156"/>
      <c r="F429" s="156"/>
      <c r="G429" s="19"/>
      <c r="H429" s="141"/>
      <c r="I429" s="13" t="s">
        <v>18</v>
      </c>
      <c r="J429" s="13">
        <v>1</v>
      </c>
      <c r="K429" s="19" t="s">
        <v>730</v>
      </c>
      <c r="L429" s="43" t="s">
        <v>387</v>
      </c>
      <c r="M429" s="11" t="str">
        <f>VLOOKUP(N429,'Mã NV'!$A$3:$B$196,2,0)</f>
        <v>AC07</v>
      </c>
      <c r="N429" s="304" t="s">
        <v>538</v>
      </c>
      <c r="O429" s="380">
        <f>VLOOKUP(B429,'Tổng hợp (3)'!$C$4:$E$985,3,0)</f>
        <v>44736</v>
      </c>
      <c r="P429" s="378"/>
      <c r="Q429" s="160"/>
      <c r="R429" s="44"/>
    </row>
    <row r="430" spans="1:18" ht="35.25" hidden="1" customHeight="1">
      <c r="A430" s="15">
        <f t="shared" si="6"/>
        <v>420</v>
      </c>
      <c r="B430" s="43" t="s">
        <v>971</v>
      </c>
      <c r="C430" s="64" t="s">
        <v>559</v>
      </c>
      <c r="D430" s="156"/>
      <c r="E430" s="156"/>
      <c r="F430" s="156"/>
      <c r="G430" s="11"/>
      <c r="H430" s="141"/>
      <c r="I430" s="13" t="s">
        <v>18</v>
      </c>
      <c r="J430" s="15">
        <v>1</v>
      </c>
      <c r="K430" s="19" t="s">
        <v>730</v>
      </c>
      <c r="L430" s="43" t="s">
        <v>387</v>
      </c>
      <c r="M430" s="11" t="str">
        <f>VLOOKUP(N430,'Mã NV'!$A$3:$B$196,2,0)</f>
        <v>AC10</v>
      </c>
      <c r="N430" s="288" t="s">
        <v>448</v>
      </c>
      <c r="O430" s="380">
        <f>VLOOKUP(B430,'Tổng hợp (3)'!$C$4:$E$985,3,0)</f>
        <v>44636</v>
      </c>
      <c r="P430" s="378"/>
      <c r="Q430" s="160"/>
      <c r="R430" s="398" t="s">
        <v>560</v>
      </c>
    </row>
    <row r="431" spans="1:18" ht="35.25" hidden="1" customHeight="1">
      <c r="A431" s="15">
        <f t="shared" si="6"/>
        <v>421</v>
      </c>
      <c r="B431" s="43" t="s">
        <v>972</v>
      </c>
      <c r="C431" s="64" t="s">
        <v>559</v>
      </c>
      <c r="D431" s="156"/>
      <c r="E431" s="156"/>
      <c r="F431" s="156"/>
      <c r="G431" s="11"/>
      <c r="H431" s="141"/>
      <c r="I431" s="13" t="s">
        <v>18</v>
      </c>
      <c r="J431" s="15">
        <v>1</v>
      </c>
      <c r="K431" s="19" t="s">
        <v>730</v>
      </c>
      <c r="L431" s="43" t="s">
        <v>387</v>
      </c>
      <c r="M431" s="11" t="str">
        <f>VLOOKUP(N431,'Mã NV'!$A$3:$B$196,2,0)</f>
        <v>AC10</v>
      </c>
      <c r="N431" s="288" t="s">
        <v>448</v>
      </c>
      <c r="O431" s="380">
        <f>VLOOKUP(B431,'Tổng hợp (3)'!$C$4:$E$985,3,0)</f>
        <v>44636</v>
      </c>
      <c r="P431" s="378"/>
      <c r="Q431" s="160"/>
      <c r="R431" s="398"/>
    </row>
    <row r="432" spans="1:18" ht="35.25" hidden="1" customHeight="1">
      <c r="A432" s="15">
        <f t="shared" si="6"/>
        <v>422</v>
      </c>
      <c r="B432" s="43" t="s">
        <v>973</v>
      </c>
      <c r="C432" s="64" t="s">
        <v>559</v>
      </c>
      <c r="D432" s="156"/>
      <c r="E432" s="156"/>
      <c r="F432" s="156"/>
      <c r="G432" s="11"/>
      <c r="H432" s="141"/>
      <c r="I432" s="13" t="s">
        <v>18</v>
      </c>
      <c r="J432" s="15">
        <v>1</v>
      </c>
      <c r="K432" s="19" t="s">
        <v>730</v>
      </c>
      <c r="L432" s="43" t="s">
        <v>387</v>
      </c>
      <c r="M432" s="11" t="str">
        <f>VLOOKUP(N432,'Mã NV'!$A$3:$B$196,2,0)</f>
        <v>AC10</v>
      </c>
      <c r="N432" s="288" t="s">
        <v>448</v>
      </c>
      <c r="O432" s="382" t="s">
        <v>4267</v>
      </c>
      <c r="P432" s="371"/>
      <c r="Q432" s="160"/>
      <c r="R432" s="398"/>
    </row>
    <row r="433" spans="1:18" ht="35.25" hidden="1" customHeight="1">
      <c r="A433" s="15">
        <f t="shared" si="6"/>
        <v>423</v>
      </c>
      <c r="B433" s="43" t="s">
        <v>974</v>
      </c>
      <c r="C433" s="64" t="s">
        <v>559</v>
      </c>
      <c r="D433" s="156"/>
      <c r="E433" s="156"/>
      <c r="F433" s="156"/>
      <c r="G433" s="11"/>
      <c r="H433" s="141"/>
      <c r="I433" s="13" t="s">
        <v>18</v>
      </c>
      <c r="J433" s="15">
        <v>1</v>
      </c>
      <c r="K433" s="19" t="s">
        <v>730</v>
      </c>
      <c r="L433" s="43" t="s">
        <v>387</v>
      </c>
      <c r="M433" s="11" t="str">
        <f>VLOOKUP(N433,'Mã NV'!$A$3:$B$196,2,0)</f>
        <v>AC10</v>
      </c>
      <c r="N433" s="288" t="s">
        <v>448</v>
      </c>
      <c r="O433" s="382" t="s">
        <v>4267</v>
      </c>
      <c r="P433" s="371"/>
      <c r="Q433" s="160"/>
      <c r="R433" s="398"/>
    </row>
    <row r="434" spans="1:18" ht="35.25" hidden="1" customHeight="1">
      <c r="A434" s="15">
        <f t="shared" si="6"/>
        <v>424</v>
      </c>
      <c r="B434" s="43" t="s">
        <v>975</v>
      </c>
      <c r="C434" s="64" t="s">
        <v>559</v>
      </c>
      <c r="D434" s="156"/>
      <c r="E434" s="156"/>
      <c r="F434" s="156"/>
      <c r="G434" s="11"/>
      <c r="H434" s="141"/>
      <c r="I434" s="13" t="s">
        <v>18</v>
      </c>
      <c r="J434" s="15">
        <v>1</v>
      </c>
      <c r="K434" s="19" t="s">
        <v>730</v>
      </c>
      <c r="L434" s="43" t="s">
        <v>387</v>
      </c>
      <c r="M434" s="11" t="str">
        <f>VLOOKUP(N434,'Mã NV'!$A$3:$B$196,2,0)</f>
        <v>AC10</v>
      </c>
      <c r="N434" s="288" t="s">
        <v>448</v>
      </c>
      <c r="O434" s="382" t="s">
        <v>4267</v>
      </c>
      <c r="P434" s="371"/>
      <c r="Q434" s="160"/>
      <c r="R434" s="398"/>
    </row>
    <row r="435" spans="1:18" ht="35.25" hidden="1" customHeight="1">
      <c r="A435" s="15">
        <f t="shared" si="6"/>
        <v>425</v>
      </c>
      <c r="B435" s="43" t="s">
        <v>976</v>
      </c>
      <c r="C435" s="64" t="s">
        <v>562</v>
      </c>
      <c r="D435" s="156"/>
      <c r="E435" s="156"/>
      <c r="F435" s="156"/>
      <c r="G435" s="11"/>
      <c r="H435" s="141"/>
      <c r="I435" s="13" t="s">
        <v>18</v>
      </c>
      <c r="J435" s="15">
        <v>1</v>
      </c>
      <c r="K435" s="19" t="s">
        <v>730</v>
      </c>
      <c r="L435" s="43" t="s">
        <v>387</v>
      </c>
      <c r="M435" s="11" t="str">
        <f>VLOOKUP(N435,'Mã NV'!$A$3:$B$196,2,0)</f>
        <v>AC10</v>
      </c>
      <c r="N435" s="288" t="s">
        <v>448</v>
      </c>
      <c r="O435" s="382" t="s">
        <v>4267</v>
      </c>
      <c r="P435" s="371"/>
      <c r="Q435" s="160"/>
      <c r="R435" s="398"/>
    </row>
    <row r="436" spans="1:18" ht="35.25" hidden="1" customHeight="1">
      <c r="A436" s="15">
        <f t="shared" si="6"/>
        <v>426</v>
      </c>
      <c r="B436" s="43" t="s">
        <v>977</v>
      </c>
      <c r="C436" s="64" t="s">
        <v>562</v>
      </c>
      <c r="D436" s="156"/>
      <c r="E436" s="156"/>
      <c r="F436" s="156"/>
      <c r="G436" s="11"/>
      <c r="H436" s="141"/>
      <c r="I436" s="13" t="s">
        <v>18</v>
      </c>
      <c r="J436" s="15">
        <v>1</v>
      </c>
      <c r="K436" s="19" t="s">
        <v>730</v>
      </c>
      <c r="L436" s="43" t="s">
        <v>387</v>
      </c>
      <c r="M436" s="11" t="str">
        <f>VLOOKUP(N436,'Mã NV'!$A$3:$B$196,2,0)</f>
        <v>AC10</v>
      </c>
      <c r="N436" s="288" t="s">
        <v>448</v>
      </c>
      <c r="O436" s="382" t="s">
        <v>4267</v>
      </c>
      <c r="P436" s="371"/>
      <c r="Q436" s="160"/>
      <c r="R436" s="398"/>
    </row>
    <row r="437" spans="1:18" ht="35.25" hidden="1" customHeight="1">
      <c r="A437" s="15">
        <f t="shared" si="6"/>
        <v>427</v>
      </c>
      <c r="B437" s="43" t="s">
        <v>978</v>
      </c>
      <c r="C437" s="64" t="s">
        <v>562</v>
      </c>
      <c r="D437" s="156"/>
      <c r="E437" s="156"/>
      <c r="F437" s="156"/>
      <c r="G437" s="11"/>
      <c r="H437" s="141"/>
      <c r="I437" s="13" t="s">
        <v>18</v>
      </c>
      <c r="J437" s="15">
        <v>1</v>
      </c>
      <c r="K437" s="19" t="s">
        <v>730</v>
      </c>
      <c r="L437" s="43" t="s">
        <v>387</v>
      </c>
      <c r="M437" s="11" t="str">
        <f>VLOOKUP(N437,'Mã NV'!$A$3:$B$196,2,0)</f>
        <v>AC10</v>
      </c>
      <c r="N437" s="288" t="s">
        <v>448</v>
      </c>
      <c r="O437" s="380">
        <f>VLOOKUP(B437,'Tổng hợp (3)'!$C$4:$E$985,3,0)</f>
        <v>44635</v>
      </c>
      <c r="P437" s="378"/>
      <c r="Q437" s="160"/>
      <c r="R437" s="398"/>
    </row>
    <row r="438" spans="1:18" ht="35.25" hidden="1" customHeight="1">
      <c r="A438" s="15">
        <f t="shared" si="6"/>
        <v>428</v>
      </c>
      <c r="B438" s="43" t="s">
        <v>979</v>
      </c>
      <c r="C438" s="64" t="s">
        <v>562</v>
      </c>
      <c r="D438" s="156"/>
      <c r="E438" s="156"/>
      <c r="F438" s="156"/>
      <c r="G438" s="11"/>
      <c r="H438" s="141"/>
      <c r="I438" s="13" t="s">
        <v>18</v>
      </c>
      <c r="J438" s="15">
        <v>1</v>
      </c>
      <c r="K438" s="19" t="s">
        <v>730</v>
      </c>
      <c r="L438" s="43" t="s">
        <v>387</v>
      </c>
      <c r="M438" s="11" t="str">
        <f>VLOOKUP(N438,'Mã NV'!$A$3:$B$196,2,0)</f>
        <v>AC10</v>
      </c>
      <c r="N438" s="288" t="s">
        <v>448</v>
      </c>
      <c r="O438" s="380">
        <f>VLOOKUP(B438,'Tổng hợp (3)'!$C$4:$E$985,3,0)</f>
        <v>44635</v>
      </c>
      <c r="P438" s="378"/>
      <c r="Q438" s="160"/>
      <c r="R438" s="398"/>
    </row>
    <row r="439" spans="1:18" ht="35.25" hidden="1" customHeight="1">
      <c r="A439" s="15">
        <f t="shared" si="6"/>
        <v>429</v>
      </c>
      <c r="B439" s="43" t="s">
        <v>980</v>
      </c>
      <c r="C439" s="64" t="s">
        <v>562</v>
      </c>
      <c r="D439" s="156"/>
      <c r="E439" s="156"/>
      <c r="F439" s="156"/>
      <c r="G439" s="11"/>
      <c r="H439" s="141"/>
      <c r="I439" s="13" t="s">
        <v>18</v>
      </c>
      <c r="J439" s="15">
        <v>1</v>
      </c>
      <c r="K439" s="19" t="s">
        <v>730</v>
      </c>
      <c r="L439" s="43" t="s">
        <v>387</v>
      </c>
      <c r="M439" s="11" t="str">
        <f>VLOOKUP(N439,'Mã NV'!$A$3:$B$196,2,0)</f>
        <v>AC10</v>
      </c>
      <c r="N439" s="288" t="s">
        <v>448</v>
      </c>
      <c r="O439" s="380">
        <f>VLOOKUP(B439,'Tổng hợp (3)'!$C$4:$E$985,3,0)</f>
        <v>44635</v>
      </c>
      <c r="P439" s="378"/>
      <c r="Q439" s="160"/>
      <c r="R439" s="398"/>
    </row>
    <row r="440" spans="1:18" ht="35.25" hidden="1" customHeight="1">
      <c r="A440" s="15">
        <f t="shared" si="6"/>
        <v>430</v>
      </c>
      <c r="B440" s="43" t="s">
        <v>981</v>
      </c>
      <c r="C440" s="64" t="s">
        <v>562</v>
      </c>
      <c r="D440" s="156"/>
      <c r="E440" s="156"/>
      <c r="F440" s="156"/>
      <c r="G440" s="11"/>
      <c r="H440" s="141"/>
      <c r="I440" s="13" t="s">
        <v>18</v>
      </c>
      <c r="J440" s="15">
        <v>1</v>
      </c>
      <c r="K440" s="19" t="s">
        <v>730</v>
      </c>
      <c r="L440" s="43" t="s">
        <v>387</v>
      </c>
      <c r="M440" s="11" t="str">
        <f>VLOOKUP(N440,'Mã NV'!$A$3:$B$196,2,0)</f>
        <v>AC10</v>
      </c>
      <c r="N440" s="288" t="s">
        <v>448</v>
      </c>
      <c r="O440" s="380">
        <f>VLOOKUP(B440,'Tổng hợp (3)'!$C$4:$E$985,3,0)</f>
        <v>44635</v>
      </c>
      <c r="P440" s="378"/>
      <c r="Q440" s="160"/>
      <c r="R440" s="398"/>
    </row>
    <row r="441" spans="1:18" ht="35.25" hidden="1" customHeight="1">
      <c r="A441" s="15">
        <f t="shared" si="6"/>
        <v>431</v>
      </c>
      <c r="B441" s="141" t="s">
        <v>982</v>
      </c>
      <c r="C441" s="64" t="s">
        <v>983</v>
      </c>
      <c r="D441" s="156"/>
      <c r="E441" s="156"/>
      <c r="F441" s="156"/>
      <c r="G441" s="64"/>
      <c r="H441" s="141"/>
      <c r="I441" s="13" t="s">
        <v>18</v>
      </c>
      <c r="J441" s="15">
        <v>1</v>
      </c>
      <c r="K441" s="19" t="s">
        <v>730</v>
      </c>
      <c r="L441" s="43" t="s">
        <v>387</v>
      </c>
      <c r="M441" s="11" t="str">
        <f>VLOOKUP(N441,'Mã NV'!$A$3:$B$196,2,0)</f>
        <v>BU07</v>
      </c>
      <c r="N441" s="288" t="s">
        <v>481</v>
      </c>
      <c r="O441" s="382" t="s">
        <v>4267</v>
      </c>
      <c r="P441" s="371"/>
      <c r="Q441" s="160"/>
      <c r="R441" s="35"/>
    </row>
    <row r="442" spans="1:18" ht="35.25" hidden="1" customHeight="1">
      <c r="A442" s="15">
        <f t="shared" si="6"/>
        <v>432</v>
      </c>
      <c r="B442" s="141" t="s">
        <v>984</v>
      </c>
      <c r="C442" s="64" t="s">
        <v>985</v>
      </c>
      <c r="D442" s="156"/>
      <c r="E442" s="156"/>
      <c r="F442" s="156"/>
      <c r="G442" s="64"/>
      <c r="H442" s="141"/>
      <c r="I442" s="13" t="s">
        <v>18</v>
      </c>
      <c r="J442" s="15">
        <v>1</v>
      </c>
      <c r="K442" s="19" t="s">
        <v>3219</v>
      </c>
      <c r="L442" s="43" t="s">
        <v>17</v>
      </c>
      <c r="M442" s="11" t="e">
        <f>VLOOKUP(N442,'Mã NV'!$A$3:$B$196,2,0)</f>
        <v>#N/A</v>
      </c>
      <c r="N442" s="288" t="s">
        <v>176</v>
      </c>
      <c r="O442" s="387">
        <v>44977</v>
      </c>
      <c r="P442" s="371"/>
      <c r="Q442" s="160"/>
      <c r="R442" s="35" t="s">
        <v>3246</v>
      </c>
    </row>
    <row r="443" spans="1:18" ht="35.25" hidden="1" customHeight="1">
      <c r="A443" s="15">
        <f t="shared" si="6"/>
        <v>433</v>
      </c>
      <c r="B443" s="142" t="s">
        <v>563</v>
      </c>
      <c r="C443" s="150" t="s">
        <v>564</v>
      </c>
      <c r="D443" s="156"/>
      <c r="E443" s="156"/>
      <c r="F443" s="156"/>
      <c r="G443" s="143" t="s">
        <v>565</v>
      </c>
      <c r="H443" s="141"/>
      <c r="I443" s="153" t="s">
        <v>566</v>
      </c>
      <c r="J443" s="153">
        <v>1</v>
      </c>
      <c r="K443" s="19" t="s">
        <v>730</v>
      </c>
      <c r="L443" s="142" t="s">
        <v>567</v>
      </c>
      <c r="M443" s="11" t="str">
        <f>VLOOKUP(N443,'Mã NV'!$A$3:$B$196,2,0)</f>
        <v>PU09</v>
      </c>
      <c r="N443" s="306" t="s">
        <v>568</v>
      </c>
      <c r="O443" s="387">
        <v>44197</v>
      </c>
      <c r="P443" s="371"/>
      <c r="Q443" s="160"/>
      <c r="R443" s="140"/>
    </row>
    <row r="444" spans="1:18" ht="35.25" hidden="1" customHeight="1">
      <c r="A444" s="15">
        <f t="shared" si="6"/>
        <v>434</v>
      </c>
      <c r="B444" s="142" t="s">
        <v>569</v>
      </c>
      <c r="C444" s="150" t="s">
        <v>570</v>
      </c>
      <c r="D444" s="156"/>
      <c r="E444" s="156"/>
      <c r="F444" s="156"/>
      <c r="G444" s="143" t="s">
        <v>571</v>
      </c>
      <c r="H444" s="141"/>
      <c r="I444" s="153" t="s">
        <v>566</v>
      </c>
      <c r="J444" s="153">
        <v>1</v>
      </c>
      <c r="K444" s="19" t="s">
        <v>730</v>
      </c>
      <c r="L444" s="142" t="s">
        <v>567</v>
      </c>
      <c r="M444" s="11" t="str">
        <f>VLOOKUP(N444,'Mã NV'!$A$3:$B$196,2,0)</f>
        <v>PU09</v>
      </c>
      <c r="N444" s="306" t="s">
        <v>568</v>
      </c>
      <c r="O444" s="387">
        <v>44197</v>
      </c>
      <c r="P444" s="371"/>
      <c r="Q444" s="160"/>
      <c r="R444" s="140"/>
    </row>
    <row r="445" spans="1:18" ht="35.25" hidden="1" customHeight="1">
      <c r="A445" s="15">
        <f t="shared" si="6"/>
        <v>435</v>
      </c>
      <c r="B445" s="142" t="s">
        <v>572</v>
      </c>
      <c r="C445" s="150" t="s">
        <v>115</v>
      </c>
      <c r="D445" s="156"/>
      <c r="E445" s="156"/>
      <c r="F445" s="156"/>
      <c r="G445" s="143" t="s">
        <v>573</v>
      </c>
      <c r="H445" s="141"/>
      <c r="I445" s="153" t="s">
        <v>566</v>
      </c>
      <c r="J445" s="153">
        <v>1</v>
      </c>
      <c r="K445" s="19" t="s">
        <v>730</v>
      </c>
      <c r="L445" s="142" t="s">
        <v>567</v>
      </c>
      <c r="M445" s="11" t="str">
        <f>VLOOKUP(N445,'Mã NV'!$A$3:$B$196,2,0)</f>
        <v>PU09</v>
      </c>
      <c r="N445" s="306" t="s">
        <v>568</v>
      </c>
      <c r="O445" s="387">
        <v>44197</v>
      </c>
      <c r="P445" s="371"/>
      <c r="Q445" s="160"/>
      <c r="R445" s="140"/>
    </row>
    <row r="446" spans="1:18" ht="35.25" hidden="1" customHeight="1">
      <c r="A446" s="15">
        <f t="shared" si="6"/>
        <v>436</v>
      </c>
      <c r="B446" s="142" t="s">
        <v>574</v>
      </c>
      <c r="C446" s="150" t="s">
        <v>575</v>
      </c>
      <c r="D446" s="156"/>
      <c r="E446" s="156"/>
      <c r="F446" s="156"/>
      <c r="G446" s="143" t="s">
        <v>576</v>
      </c>
      <c r="H446" s="141"/>
      <c r="I446" s="153" t="s">
        <v>566</v>
      </c>
      <c r="J446" s="153">
        <v>1</v>
      </c>
      <c r="K446" s="19" t="s">
        <v>730</v>
      </c>
      <c r="L446" s="142" t="s">
        <v>567</v>
      </c>
      <c r="M446" s="11" t="str">
        <f>VLOOKUP(N446,'Mã NV'!$A$3:$B$196,2,0)</f>
        <v>PU09</v>
      </c>
      <c r="N446" s="306" t="s">
        <v>568</v>
      </c>
      <c r="O446" s="387">
        <v>44197</v>
      </c>
      <c r="P446" s="371"/>
      <c r="Q446" s="160"/>
      <c r="R446" s="140"/>
    </row>
    <row r="447" spans="1:18" ht="35.25" hidden="1" customHeight="1">
      <c r="A447" s="15">
        <f t="shared" si="6"/>
        <v>437</v>
      </c>
      <c r="B447" s="142" t="s">
        <v>577</v>
      </c>
      <c r="C447" s="150" t="s">
        <v>578</v>
      </c>
      <c r="D447" s="156"/>
      <c r="E447" s="156"/>
      <c r="F447" s="156"/>
      <c r="G447" s="143"/>
      <c r="H447" s="141"/>
      <c r="I447" s="153" t="s">
        <v>566</v>
      </c>
      <c r="J447" s="153">
        <v>1</v>
      </c>
      <c r="K447" s="19" t="s">
        <v>730</v>
      </c>
      <c r="L447" s="142" t="s">
        <v>567</v>
      </c>
      <c r="M447" s="11" t="str">
        <f>VLOOKUP(N447,'Mã NV'!$A$3:$B$196,2,0)</f>
        <v>PU09</v>
      </c>
      <c r="N447" s="306" t="s">
        <v>568</v>
      </c>
      <c r="O447" s="380">
        <f>VLOOKUP(B447,'Tổng hợp (3)'!$C$4:$E$985,3,0)</f>
        <v>44721</v>
      </c>
      <c r="P447" s="378"/>
      <c r="Q447" s="160"/>
      <c r="R447" s="140"/>
    </row>
    <row r="448" spans="1:18" ht="35.25" hidden="1" customHeight="1">
      <c r="A448" s="15">
        <f t="shared" si="6"/>
        <v>438</v>
      </c>
      <c r="B448" s="142" t="s">
        <v>579</v>
      </c>
      <c r="C448" s="150" t="s">
        <v>580</v>
      </c>
      <c r="D448" s="156"/>
      <c r="E448" s="156"/>
      <c r="F448" s="156"/>
      <c r="G448" s="143"/>
      <c r="H448" s="141"/>
      <c r="I448" s="153" t="s">
        <v>566</v>
      </c>
      <c r="J448" s="153">
        <v>1</v>
      </c>
      <c r="K448" s="19" t="s">
        <v>730</v>
      </c>
      <c r="L448" s="142" t="s">
        <v>567</v>
      </c>
      <c r="M448" s="11" t="str">
        <f>VLOOKUP(N448,'Mã NV'!$A$3:$B$196,2,0)</f>
        <v>PU09</v>
      </c>
      <c r="N448" s="306" t="s">
        <v>568</v>
      </c>
      <c r="O448" s="387">
        <v>44197</v>
      </c>
      <c r="P448" s="371"/>
      <c r="Q448" s="160"/>
      <c r="R448" s="140"/>
    </row>
    <row r="449" spans="1:18" ht="35.25" hidden="1" customHeight="1">
      <c r="A449" s="15">
        <f t="shared" si="6"/>
        <v>439</v>
      </c>
      <c r="B449" s="142" t="s">
        <v>581</v>
      </c>
      <c r="C449" s="150" t="s">
        <v>582</v>
      </c>
      <c r="D449" s="156"/>
      <c r="E449" s="156"/>
      <c r="F449" s="156"/>
      <c r="G449" s="143"/>
      <c r="H449" s="141"/>
      <c r="I449" s="153" t="s">
        <v>566</v>
      </c>
      <c r="J449" s="153">
        <v>1</v>
      </c>
      <c r="K449" s="19" t="s">
        <v>730</v>
      </c>
      <c r="L449" s="142" t="s">
        <v>567</v>
      </c>
      <c r="M449" s="11" t="str">
        <f>VLOOKUP(N449,'Mã NV'!$A$3:$B$196,2,0)</f>
        <v>PU09</v>
      </c>
      <c r="N449" s="306" t="s">
        <v>568</v>
      </c>
      <c r="O449" s="387">
        <v>44197</v>
      </c>
      <c r="P449" s="371"/>
      <c r="Q449" s="160"/>
      <c r="R449" s="140"/>
    </row>
    <row r="450" spans="1:18" ht="35.25" hidden="1" customHeight="1">
      <c r="A450" s="15">
        <f t="shared" si="6"/>
        <v>440</v>
      </c>
      <c r="B450" s="142" t="s">
        <v>986</v>
      </c>
      <c r="C450" s="150" t="s">
        <v>445</v>
      </c>
      <c r="D450" s="156"/>
      <c r="E450" s="156"/>
      <c r="F450" s="156"/>
      <c r="G450" s="143"/>
      <c r="H450" s="141"/>
      <c r="I450" s="153" t="s">
        <v>566</v>
      </c>
      <c r="J450" s="153">
        <v>1</v>
      </c>
      <c r="K450" s="19" t="s">
        <v>730</v>
      </c>
      <c r="L450" s="142" t="s">
        <v>567</v>
      </c>
      <c r="M450" s="11" t="str">
        <f>VLOOKUP(N450,'Mã NV'!$A$3:$B$196,2,0)</f>
        <v>PU09</v>
      </c>
      <c r="N450" s="306" t="s">
        <v>568</v>
      </c>
      <c r="O450" s="380">
        <f>VLOOKUP(B450,'Tổng hợp (3)'!$C$4:$E$985,3,0)</f>
        <v>44764</v>
      </c>
      <c r="P450" s="378"/>
      <c r="Q450" s="160"/>
      <c r="R450" s="140"/>
    </row>
    <row r="451" spans="1:18" ht="35.25" hidden="1" customHeight="1">
      <c r="A451" s="15">
        <f t="shared" si="6"/>
        <v>441</v>
      </c>
      <c r="B451" s="142" t="s">
        <v>585</v>
      </c>
      <c r="C451" s="150" t="s">
        <v>564</v>
      </c>
      <c r="D451" s="156"/>
      <c r="E451" s="156"/>
      <c r="F451" s="156"/>
      <c r="G451" s="143" t="s">
        <v>586</v>
      </c>
      <c r="H451" s="141"/>
      <c r="I451" s="153" t="s">
        <v>566</v>
      </c>
      <c r="J451" s="153">
        <v>1</v>
      </c>
      <c r="K451" s="19" t="s">
        <v>730</v>
      </c>
      <c r="L451" s="142" t="s">
        <v>567</v>
      </c>
      <c r="M451" s="11" t="str">
        <f>VLOOKUP(N451,'Mã NV'!$A$3:$B$196,2,0)</f>
        <v>PU02</v>
      </c>
      <c r="N451" s="306" t="s">
        <v>587</v>
      </c>
      <c r="O451" s="387">
        <v>44197</v>
      </c>
      <c r="P451" s="371"/>
      <c r="Q451" s="160"/>
      <c r="R451" s="150"/>
    </row>
    <row r="452" spans="1:18" ht="35.25" hidden="1" customHeight="1">
      <c r="A452" s="15">
        <f t="shared" si="6"/>
        <v>442</v>
      </c>
      <c r="B452" s="142" t="s">
        <v>588</v>
      </c>
      <c r="C452" s="150" t="s">
        <v>589</v>
      </c>
      <c r="D452" s="156"/>
      <c r="E452" s="156"/>
      <c r="F452" s="156"/>
      <c r="G452" s="143" t="s">
        <v>590</v>
      </c>
      <c r="H452" s="141"/>
      <c r="I452" s="153" t="s">
        <v>566</v>
      </c>
      <c r="J452" s="153">
        <v>1</v>
      </c>
      <c r="K452" s="154" t="s">
        <v>591</v>
      </c>
      <c r="L452" s="142" t="s">
        <v>567</v>
      </c>
      <c r="M452" s="11" t="str">
        <f>VLOOKUP(N452,'Mã NV'!$A$3:$B$196,2,0)</f>
        <v>PU02</v>
      </c>
      <c r="N452" s="306" t="s">
        <v>587</v>
      </c>
      <c r="O452" s="387">
        <v>44197</v>
      </c>
      <c r="P452" s="371"/>
      <c r="Q452" s="160"/>
      <c r="R452" s="150"/>
    </row>
    <row r="453" spans="1:18" ht="35.25" hidden="1" customHeight="1">
      <c r="A453" s="15">
        <f t="shared" si="6"/>
        <v>443</v>
      </c>
      <c r="B453" s="142" t="s">
        <v>592</v>
      </c>
      <c r="C453" s="150" t="s">
        <v>120</v>
      </c>
      <c r="D453" s="156"/>
      <c r="E453" s="156"/>
      <c r="F453" s="156"/>
      <c r="G453" s="143"/>
      <c r="H453" s="141"/>
      <c r="I453" s="153" t="s">
        <v>566</v>
      </c>
      <c r="J453" s="153">
        <v>1</v>
      </c>
      <c r="K453" s="144" t="s">
        <v>730</v>
      </c>
      <c r="L453" s="142" t="s">
        <v>567</v>
      </c>
      <c r="M453" s="11" t="str">
        <f>VLOOKUP(N453,'Mã NV'!$A$3:$B$196,2,0)</f>
        <v>PU02</v>
      </c>
      <c r="N453" s="306" t="s">
        <v>587</v>
      </c>
      <c r="O453" s="387">
        <v>44197</v>
      </c>
      <c r="P453" s="371"/>
      <c r="Q453" s="160"/>
      <c r="R453" s="150"/>
    </row>
    <row r="454" spans="1:18" ht="35.25" hidden="1" customHeight="1">
      <c r="A454" s="15">
        <f t="shared" si="6"/>
        <v>444</v>
      </c>
      <c r="B454" s="142" t="s">
        <v>593</v>
      </c>
      <c r="C454" s="150" t="s">
        <v>115</v>
      </c>
      <c r="D454" s="156"/>
      <c r="E454" s="156"/>
      <c r="F454" s="156"/>
      <c r="G454" s="143" t="s">
        <v>594</v>
      </c>
      <c r="H454" s="141"/>
      <c r="I454" s="153" t="s">
        <v>566</v>
      </c>
      <c r="J454" s="153">
        <v>1</v>
      </c>
      <c r="K454" s="144" t="s">
        <v>730</v>
      </c>
      <c r="L454" s="142" t="s">
        <v>567</v>
      </c>
      <c r="M454" s="11" t="str">
        <f>VLOOKUP(N454,'Mã NV'!$A$3:$B$196,2,0)</f>
        <v>PU02</v>
      </c>
      <c r="N454" s="306" t="s">
        <v>587</v>
      </c>
      <c r="O454" s="387">
        <v>44197</v>
      </c>
      <c r="P454" s="371"/>
      <c r="Q454" s="160"/>
      <c r="R454" s="150"/>
    </row>
    <row r="455" spans="1:18" ht="35.25" hidden="1" customHeight="1">
      <c r="A455" s="15">
        <f t="shared" si="6"/>
        <v>445</v>
      </c>
      <c r="B455" s="142" t="s">
        <v>595</v>
      </c>
      <c r="C455" s="150" t="s">
        <v>575</v>
      </c>
      <c r="D455" s="156"/>
      <c r="E455" s="156"/>
      <c r="F455" s="156"/>
      <c r="G455" s="143" t="s">
        <v>596</v>
      </c>
      <c r="H455" s="141"/>
      <c r="I455" s="153" t="s">
        <v>566</v>
      </c>
      <c r="J455" s="153">
        <v>1</v>
      </c>
      <c r="K455" s="144" t="s">
        <v>730</v>
      </c>
      <c r="L455" s="142" t="s">
        <v>567</v>
      </c>
      <c r="M455" s="11" t="str">
        <f>VLOOKUP(N455,'Mã NV'!$A$3:$B$196,2,0)</f>
        <v>PU02</v>
      </c>
      <c r="N455" s="306" t="s">
        <v>587</v>
      </c>
      <c r="O455" s="387">
        <v>44197</v>
      </c>
      <c r="P455" s="371"/>
      <c r="Q455" s="160"/>
      <c r="R455" s="150"/>
    </row>
    <row r="456" spans="1:18" ht="35.25" hidden="1" customHeight="1">
      <c r="A456" s="15">
        <f t="shared" si="6"/>
        <v>446</v>
      </c>
      <c r="B456" s="142" t="s">
        <v>597</v>
      </c>
      <c r="C456" s="150" t="s">
        <v>578</v>
      </c>
      <c r="D456" s="156"/>
      <c r="E456" s="156"/>
      <c r="F456" s="156"/>
      <c r="G456" s="143"/>
      <c r="H456" s="141"/>
      <c r="I456" s="153" t="s">
        <v>566</v>
      </c>
      <c r="J456" s="153">
        <v>1</v>
      </c>
      <c r="K456" s="144" t="s">
        <v>730</v>
      </c>
      <c r="L456" s="142" t="s">
        <v>567</v>
      </c>
      <c r="M456" s="11" t="str">
        <f>VLOOKUP(N456,'Mã NV'!$A$3:$B$196,2,0)</f>
        <v>PU02</v>
      </c>
      <c r="N456" s="306" t="s">
        <v>587</v>
      </c>
      <c r="O456" s="387">
        <v>44197</v>
      </c>
      <c r="P456" s="371"/>
      <c r="Q456" s="160"/>
      <c r="R456" s="150"/>
    </row>
    <row r="457" spans="1:18" ht="35.25" hidden="1" customHeight="1">
      <c r="A457" s="15">
        <f t="shared" si="6"/>
        <v>447</v>
      </c>
      <c r="B457" s="142" t="s">
        <v>598</v>
      </c>
      <c r="C457" s="150" t="s">
        <v>580</v>
      </c>
      <c r="D457" s="156"/>
      <c r="E457" s="156"/>
      <c r="F457" s="156"/>
      <c r="G457" s="143"/>
      <c r="H457" s="141"/>
      <c r="I457" s="153" t="s">
        <v>566</v>
      </c>
      <c r="J457" s="153">
        <v>1</v>
      </c>
      <c r="K457" s="144" t="s">
        <v>730</v>
      </c>
      <c r="L457" s="142" t="s">
        <v>567</v>
      </c>
      <c r="M457" s="11" t="str">
        <f>VLOOKUP(N457,'Mã NV'!$A$3:$B$196,2,0)</f>
        <v>PU02</v>
      </c>
      <c r="N457" s="306" t="s">
        <v>587</v>
      </c>
      <c r="O457" s="387">
        <v>44197</v>
      </c>
      <c r="P457" s="371"/>
      <c r="Q457" s="160"/>
      <c r="R457" s="150"/>
    </row>
    <row r="458" spans="1:18" ht="35.25" hidden="1" customHeight="1">
      <c r="A458" s="15">
        <f t="shared" si="6"/>
        <v>448</v>
      </c>
      <c r="B458" s="142" t="s">
        <v>599</v>
      </c>
      <c r="C458" s="150" t="s">
        <v>582</v>
      </c>
      <c r="D458" s="156"/>
      <c r="E458" s="156"/>
      <c r="F458" s="156"/>
      <c r="G458" s="143"/>
      <c r="H458" s="141"/>
      <c r="I458" s="153" t="s">
        <v>566</v>
      </c>
      <c r="J458" s="153">
        <v>1</v>
      </c>
      <c r="K458" s="144" t="s">
        <v>730</v>
      </c>
      <c r="L458" s="142" t="s">
        <v>567</v>
      </c>
      <c r="M458" s="11" t="str">
        <f>VLOOKUP(N458,'Mã NV'!$A$3:$B$196,2,0)</f>
        <v>PU02</v>
      </c>
      <c r="N458" s="306" t="s">
        <v>587</v>
      </c>
      <c r="O458" s="387">
        <v>44197</v>
      </c>
      <c r="P458" s="371"/>
      <c r="Q458" s="160"/>
      <c r="R458" s="150"/>
    </row>
    <row r="459" spans="1:18" ht="35.25" hidden="1" customHeight="1">
      <c r="A459" s="15">
        <f t="shared" si="6"/>
        <v>449</v>
      </c>
      <c r="B459" s="142" t="s">
        <v>600</v>
      </c>
      <c r="C459" s="150" t="s">
        <v>601</v>
      </c>
      <c r="D459" s="156"/>
      <c r="E459" s="156"/>
      <c r="F459" s="156"/>
      <c r="G459" s="143"/>
      <c r="H459" s="141"/>
      <c r="I459" s="153" t="s">
        <v>566</v>
      </c>
      <c r="J459" s="153">
        <v>1</v>
      </c>
      <c r="K459" s="144" t="s">
        <v>730</v>
      </c>
      <c r="L459" s="142" t="s">
        <v>567</v>
      </c>
      <c r="M459" s="11" t="str">
        <f>VLOOKUP(N459,'Mã NV'!$A$3:$B$196,2,0)</f>
        <v>PU05</v>
      </c>
      <c r="N459" s="306" t="s">
        <v>602</v>
      </c>
      <c r="O459" s="387">
        <v>44197</v>
      </c>
      <c r="P459" s="371"/>
      <c r="Q459" s="160"/>
      <c r="R459" s="150"/>
    </row>
    <row r="460" spans="1:18" ht="35.25" hidden="1" customHeight="1">
      <c r="A460" s="15">
        <f t="shared" si="6"/>
        <v>450</v>
      </c>
      <c r="B460" s="142" t="s">
        <v>603</v>
      </c>
      <c r="C460" s="150" t="s">
        <v>601</v>
      </c>
      <c r="D460" s="156"/>
      <c r="E460" s="156"/>
      <c r="F460" s="156"/>
      <c r="G460" s="143"/>
      <c r="H460" s="141"/>
      <c r="I460" s="153" t="s">
        <v>566</v>
      </c>
      <c r="J460" s="153">
        <v>1</v>
      </c>
      <c r="K460" s="144" t="s">
        <v>730</v>
      </c>
      <c r="L460" s="142" t="s">
        <v>567</v>
      </c>
      <c r="M460" s="11" t="str">
        <f>VLOOKUP(N460,'Mã NV'!$A$3:$B$196,2,0)</f>
        <v>PU05</v>
      </c>
      <c r="N460" s="306" t="s">
        <v>602</v>
      </c>
      <c r="O460" s="387">
        <v>44197</v>
      </c>
      <c r="P460" s="371"/>
      <c r="Q460" s="160"/>
      <c r="R460" s="150"/>
    </row>
    <row r="461" spans="1:18" ht="35.25" hidden="1" customHeight="1">
      <c r="A461" s="15">
        <f t="shared" si="6"/>
        <v>451</v>
      </c>
      <c r="B461" s="142" t="s">
        <v>604</v>
      </c>
      <c r="C461" s="150" t="s">
        <v>605</v>
      </c>
      <c r="D461" s="156"/>
      <c r="E461" s="156"/>
      <c r="F461" s="156"/>
      <c r="G461" s="143"/>
      <c r="H461" s="141"/>
      <c r="I461" s="153" t="s">
        <v>566</v>
      </c>
      <c r="J461" s="153">
        <v>1</v>
      </c>
      <c r="K461" s="144" t="s">
        <v>730</v>
      </c>
      <c r="L461" s="142" t="s">
        <v>567</v>
      </c>
      <c r="M461" s="11" t="str">
        <f>VLOOKUP(N461,'Mã NV'!$A$3:$B$196,2,0)</f>
        <v>PU05</v>
      </c>
      <c r="N461" s="306" t="s">
        <v>602</v>
      </c>
      <c r="O461" s="387">
        <v>44197</v>
      </c>
      <c r="P461" s="371"/>
      <c r="Q461" s="160"/>
      <c r="R461" s="150"/>
    </row>
    <row r="462" spans="1:18" ht="35.25" hidden="1" customHeight="1">
      <c r="A462" s="15">
        <f t="shared" si="6"/>
        <v>452</v>
      </c>
      <c r="B462" s="142" t="s">
        <v>606</v>
      </c>
      <c r="C462" s="150" t="s">
        <v>605</v>
      </c>
      <c r="D462" s="156"/>
      <c r="E462" s="156"/>
      <c r="F462" s="156"/>
      <c r="G462" s="143"/>
      <c r="H462" s="141"/>
      <c r="I462" s="153" t="s">
        <v>566</v>
      </c>
      <c r="J462" s="153">
        <v>1</v>
      </c>
      <c r="K462" s="144" t="s">
        <v>730</v>
      </c>
      <c r="L462" s="142" t="s">
        <v>567</v>
      </c>
      <c r="M462" s="11" t="str">
        <f>VLOOKUP(N462,'Mã NV'!$A$3:$B$196,2,0)</f>
        <v>PU05</v>
      </c>
      <c r="N462" s="306" t="s">
        <v>602</v>
      </c>
      <c r="O462" s="387">
        <v>44197</v>
      </c>
      <c r="P462" s="371"/>
      <c r="Q462" s="160"/>
      <c r="R462" s="150"/>
    </row>
    <row r="463" spans="1:18" ht="35.25" hidden="1" customHeight="1">
      <c r="A463" s="15">
        <f t="shared" si="6"/>
        <v>453</v>
      </c>
      <c r="B463" s="142" t="s">
        <v>607</v>
      </c>
      <c r="C463" s="150" t="s">
        <v>564</v>
      </c>
      <c r="D463" s="156"/>
      <c r="E463" s="156"/>
      <c r="F463" s="156"/>
      <c r="G463" s="143" t="s">
        <v>608</v>
      </c>
      <c r="H463" s="141"/>
      <c r="I463" s="153" t="s">
        <v>566</v>
      </c>
      <c r="J463" s="153">
        <v>1</v>
      </c>
      <c r="K463" s="144" t="s">
        <v>730</v>
      </c>
      <c r="L463" s="142" t="s">
        <v>567</v>
      </c>
      <c r="M463" s="11" t="str">
        <f>VLOOKUP(N463,'Mã NV'!$A$3:$B$196,2,0)</f>
        <v>PU05</v>
      </c>
      <c r="N463" s="306" t="s">
        <v>602</v>
      </c>
      <c r="O463" s="387">
        <v>44197</v>
      </c>
      <c r="P463" s="371"/>
      <c r="Q463" s="160"/>
      <c r="R463" s="150"/>
    </row>
    <row r="464" spans="1:18" ht="35.25" hidden="1" customHeight="1">
      <c r="A464" s="15">
        <f t="shared" si="6"/>
        <v>454</v>
      </c>
      <c r="B464" s="142" t="s">
        <v>609</v>
      </c>
      <c r="C464" s="150" t="s">
        <v>610</v>
      </c>
      <c r="D464" s="156"/>
      <c r="E464" s="156"/>
      <c r="F464" s="156"/>
      <c r="G464" s="143"/>
      <c r="H464" s="141"/>
      <c r="I464" s="153" t="s">
        <v>566</v>
      </c>
      <c r="J464" s="153">
        <v>1</v>
      </c>
      <c r="K464" s="144" t="s">
        <v>730</v>
      </c>
      <c r="L464" s="142" t="s">
        <v>567</v>
      </c>
      <c r="M464" s="11" t="str">
        <f>VLOOKUP(N464,'Mã NV'!$A$3:$B$196,2,0)</f>
        <v>PU05</v>
      </c>
      <c r="N464" s="306" t="s">
        <v>602</v>
      </c>
      <c r="O464" s="387">
        <v>44197</v>
      </c>
      <c r="P464" s="371"/>
      <c r="Q464" s="160"/>
      <c r="R464" s="150"/>
    </row>
    <row r="465" spans="1:18" ht="35.25" hidden="1" customHeight="1">
      <c r="A465" s="15">
        <f t="shared" si="6"/>
        <v>455</v>
      </c>
      <c r="B465" s="142" t="s">
        <v>611</v>
      </c>
      <c r="C465" s="150" t="s">
        <v>612</v>
      </c>
      <c r="D465" s="46"/>
      <c r="E465" s="46"/>
      <c r="F465" s="46"/>
      <c r="G465" s="143" t="s">
        <v>613</v>
      </c>
      <c r="H465" s="141"/>
      <c r="I465" s="153" t="s">
        <v>566</v>
      </c>
      <c r="J465" s="153">
        <v>1</v>
      </c>
      <c r="K465" s="144" t="s">
        <v>730</v>
      </c>
      <c r="L465" s="142" t="s">
        <v>567</v>
      </c>
      <c r="M465" s="11" t="str">
        <f>VLOOKUP(N465,'Mã NV'!$A$3:$B$196,2,0)</f>
        <v>PU05</v>
      </c>
      <c r="N465" s="306" t="s">
        <v>602</v>
      </c>
      <c r="O465" s="387">
        <v>44197</v>
      </c>
      <c r="P465" s="371"/>
      <c r="Q465" s="160"/>
      <c r="R465" s="150"/>
    </row>
    <row r="466" spans="1:18" ht="35.25" hidden="1" customHeight="1">
      <c r="A466" s="15">
        <f t="shared" ref="A466:A529" si="7">A465+1</f>
        <v>456</v>
      </c>
      <c r="B466" s="142" t="s">
        <v>614</v>
      </c>
      <c r="C466" s="150" t="s">
        <v>615</v>
      </c>
      <c r="D466" s="46"/>
      <c r="E466" s="46"/>
      <c r="F466" s="46"/>
      <c r="G466" s="143"/>
      <c r="H466" s="141"/>
      <c r="I466" s="153" t="s">
        <v>566</v>
      </c>
      <c r="J466" s="153">
        <v>1</v>
      </c>
      <c r="K466" s="144" t="s">
        <v>730</v>
      </c>
      <c r="L466" s="142" t="s">
        <v>567</v>
      </c>
      <c r="M466" s="11" t="str">
        <f>VLOOKUP(N466,'Mã NV'!$A$3:$B$196,2,0)</f>
        <v>PU05</v>
      </c>
      <c r="N466" s="306" t="s">
        <v>602</v>
      </c>
      <c r="O466" s="387">
        <v>44197</v>
      </c>
      <c r="P466" s="371"/>
      <c r="Q466" s="160"/>
      <c r="R466" s="150"/>
    </row>
    <row r="467" spans="1:18" ht="35.25" hidden="1" customHeight="1">
      <c r="A467" s="15">
        <f t="shared" si="7"/>
        <v>457</v>
      </c>
      <c r="B467" s="142" t="s">
        <v>616</v>
      </c>
      <c r="C467" s="150" t="s">
        <v>578</v>
      </c>
      <c r="D467" s="46"/>
      <c r="E467" s="46"/>
      <c r="F467" s="46"/>
      <c r="G467" s="143"/>
      <c r="H467" s="141"/>
      <c r="I467" s="153" t="s">
        <v>566</v>
      </c>
      <c r="J467" s="153">
        <v>1</v>
      </c>
      <c r="K467" s="144" t="s">
        <v>730</v>
      </c>
      <c r="L467" s="142" t="s">
        <v>567</v>
      </c>
      <c r="M467" s="11" t="str">
        <f>VLOOKUP(N467,'Mã NV'!$A$3:$B$196,2,0)</f>
        <v>PU05</v>
      </c>
      <c r="N467" s="306" t="s">
        <v>602</v>
      </c>
      <c r="O467" s="387">
        <v>44197</v>
      </c>
      <c r="P467" s="371"/>
      <c r="Q467" s="160"/>
      <c r="R467" s="150"/>
    </row>
    <row r="468" spans="1:18" ht="35.25" hidden="1" customHeight="1">
      <c r="A468" s="15">
        <f t="shared" si="7"/>
        <v>458</v>
      </c>
      <c r="B468" s="142" t="s">
        <v>617</v>
      </c>
      <c r="C468" s="150" t="s">
        <v>580</v>
      </c>
      <c r="D468" s="156"/>
      <c r="E468" s="156"/>
      <c r="F468" s="156"/>
      <c r="G468" s="143"/>
      <c r="H468" s="141"/>
      <c r="I468" s="153" t="s">
        <v>566</v>
      </c>
      <c r="J468" s="153">
        <v>1</v>
      </c>
      <c r="K468" s="144" t="s">
        <v>730</v>
      </c>
      <c r="L468" s="142" t="s">
        <v>567</v>
      </c>
      <c r="M468" s="11" t="str">
        <f>VLOOKUP(N468,'Mã NV'!$A$3:$B$196,2,0)</f>
        <v>PU05</v>
      </c>
      <c r="N468" s="306" t="s">
        <v>602</v>
      </c>
      <c r="O468" s="387">
        <v>44197</v>
      </c>
      <c r="P468" s="371"/>
      <c r="Q468" s="145"/>
      <c r="R468" s="150"/>
    </row>
    <row r="469" spans="1:18" ht="35.25" hidden="1" customHeight="1">
      <c r="A469" s="15">
        <f t="shared" si="7"/>
        <v>459</v>
      </c>
      <c r="B469" s="142" t="s">
        <v>618</v>
      </c>
      <c r="C469" s="150" t="s">
        <v>582</v>
      </c>
      <c r="D469" s="156"/>
      <c r="E469" s="156"/>
      <c r="F469" s="156"/>
      <c r="G469" s="143"/>
      <c r="H469" s="141"/>
      <c r="I469" s="153" t="s">
        <v>566</v>
      </c>
      <c r="J469" s="153">
        <v>1</v>
      </c>
      <c r="K469" s="144" t="s">
        <v>730</v>
      </c>
      <c r="L469" s="142" t="s">
        <v>567</v>
      </c>
      <c r="M469" s="11" t="str">
        <f>VLOOKUP(N469,'Mã NV'!$A$3:$B$196,2,0)</f>
        <v>PU05</v>
      </c>
      <c r="N469" s="306" t="s">
        <v>602</v>
      </c>
      <c r="O469" s="387">
        <v>44197</v>
      </c>
      <c r="P469" s="371"/>
      <c r="Q469" s="145"/>
      <c r="R469" s="150"/>
    </row>
    <row r="470" spans="1:18" ht="35.25" hidden="1" customHeight="1">
      <c r="A470" s="15">
        <f t="shared" si="7"/>
        <v>460</v>
      </c>
      <c r="B470" s="142" t="s">
        <v>987</v>
      </c>
      <c r="C470" s="150" t="s">
        <v>445</v>
      </c>
      <c r="D470" s="156"/>
      <c r="E470" s="156"/>
      <c r="F470" s="156"/>
      <c r="G470" s="143"/>
      <c r="H470" s="141"/>
      <c r="I470" s="153" t="s">
        <v>566</v>
      </c>
      <c r="J470" s="153">
        <v>1</v>
      </c>
      <c r="K470" s="144" t="s">
        <v>730</v>
      </c>
      <c r="L470" s="142" t="s">
        <v>567</v>
      </c>
      <c r="M470" s="11" t="str">
        <f>VLOOKUP(N470,'Mã NV'!$A$3:$B$196,2,0)</f>
        <v>PU05</v>
      </c>
      <c r="N470" s="306" t="s">
        <v>602</v>
      </c>
      <c r="O470" s="380">
        <f>VLOOKUP(B470,'Tổng hợp (3)'!$C$4:$E$985,3,0)</f>
        <v>44762</v>
      </c>
      <c r="P470" s="378"/>
      <c r="Q470" s="145"/>
      <c r="R470" s="150"/>
    </row>
    <row r="471" spans="1:18" ht="35.25" hidden="1" customHeight="1">
      <c r="A471" s="15">
        <f t="shared" si="7"/>
        <v>461</v>
      </c>
      <c r="B471" s="142" t="s">
        <v>619</v>
      </c>
      <c r="C471" s="150" t="s">
        <v>620</v>
      </c>
      <c r="D471" s="156"/>
      <c r="E471" s="156"/>
      <c r="F471" s="156"/>
      <c r="G471" s="143" t="s">
        <v>621</v>
      </c>
      <c r="H471" s="141"/>
      <c r="I471" s="153" t="s">
        <v>566</v>
      </c>
      <c r="J471" s="153">
        <v>1</v>
      </c>
      <c r="K471" s="144" t="s">
        <v>730</v>
      </c>
      <c r="L471" s="142" t="s">
        <v>567</v>
      </c>
      <c r="M471" s="11" t="str">
        <f>VLOOKUP(N471,'Mã NV'!$A$3:$B$196,2,0)</f>
        <v>PU01</v>
      </c>
      <c r="N471" s="306" t="s">
        <v>622</v>
      </c>
      <c r="O471" s="387">
        <v>44197</v>
      </c>
      <c r="P471" s="371"/>
      <c r="Q471" s="145"/>
      <c r="R471" s="150"/>
    </row>
    <row r="472" spans="1:18" ht="35.25" hidden="1" customHeight="1">
      <c r="A472" s="15">
        <f t="shared" si="7"/>
        <v>462</v>
      </c>
      <c r="B472" s="142" t="s">
        <v>623</v>
      </c>
      <c r="C472" s="150" t="s">
        <v>115</v>
      </c>
      <c r="D472" s="156"/>
      <c r="E472" s="156"/>
      <c r="F472" s="156"/>
      <c r="G472" s="143"/>
      <c r="H472" s="141"/>
      <c r="I472" s="153" t="s">
        <v>624</v>
      </c>
      <c r="J472" s="153">
        <v>1</v>
      </c>
      <c r="K472" s="144" t="s">
        <v>730</v>
      </c>
      <c r="L472" s="142" t="s">
        <v>567</v>
      </c>
      <c r="M472" s="11" t="str">
        <f>VLOOKUP(N472,'Mã NV'!$A$3:$B$196,2,0)</f>
        <v>PU01</v>
      </c>
      <c r="N472" s="306" t="s">
        <v>622</v>
      </c>
      <c r="O472" s="387">
        <v>44197</v>
      </c>
      <c r="P472" s="371"/>
      <c r="Q472" s="145"/>
      <c r="R472" s="150"/>
    </row>
    <row r="473" spans="1:18" ht="35.25" hidden="1" customHeight="1">
      <c r="A473" s="15">
        <f t="shared" si="7"/>
        <v>463</v>
      </c>
      <c r="B473" s="142" t="s">
        <v>625</v>
      </c>
      <c r="C473" s="150" t="s">
        <v>626</v>
      </c>
      <c r="D473" s="19"/>
      <c r="E473" s="19"/>
      <c r="F473" s="19"/>
      <c r="G473" s="143"/>
      <c r="H473" s="141"/>
      <c r="I473" s="153" t="s">
        <v>624</v>
      </c>
      <c r="J473" s="153">
        <v>1</v>
      </c>
      <c r="K473" s="144" t="s">
        <v>730</v>
      </c>
      <c r="L473" s="142" t="s">
        <v>567</v>
      </c>
      <c r="M473" s="11" t="str">
        <f>VLOOKUP(N473,'Mã NV'!$A$3:$B$196,2,0)</f>
        <v>PU01</v>
      </c>
      <c r="N473" s="306" t="s">
        <v>622</v>
      </c>
      <c r="O473" s="387">
        <v>44197</v>
      </c>
      <c r="P473" s="371"/>
      <c r="Q473" s="43"/>
      <c r="R473" s="150"/>
    </row>
    <row r="474" spans="1:18" ht="35.25" hidden="1" customHeight="1">
      <c r="A474" s="15">
        <f t="shared" si="7"/>
        <v>464</v>
      </c>
      <c r="B474" s="142" t="s">
        <v>627</v>
      </c>
      <c r="C474" s="150" t="s">
        <v>578</v>
      </c>
      <c r="D474" s="156"/>
      <c r="E474" s="156"/>
      <c r="F474" s="156"/>
      <c r="G474" s="143"/>
      <c r="H474" s="141"/>
      <c r="I474" s="153" t="s">
        <v>566</v>
      </c>
      <c r="J474" s="153">
        <v>1</v>
      </c>
      <c r="K474" s="144" t="s">
        <v>730</v>
      </c>
      <c r="L474" s="142" t="s">
        <v>567</v>
      </c>
      <c r="M474" s="11" t="str">
        <f>VLOOKUP(N474,'Mã NV'!$A$3:$B$196,2,0)</f>
        <v>PU01</v>
      </c>
      <c r="N474" s="306" t="s">
        <v>622</v>
      </c>
      <c r="O474" s="387">
        <v>44197</v>
      </c>
      <c r="P474" s="371"/>
      <c r="Q474" s="145"/>
      <c r="R474" s="150"/>
    </row>
    <row r="475" spans="1:18" ht="35.25" hidden="1" customHeight="1">
      <c r="A475" s="15">
        <f t="shared" si="7"/>
        <v>465</v>
      </c>
      <c r="B475" s="142" t="s">
        <v>628</v>
      </c>
      <c r="C475" s="150" t="s">
        <v>580</v>
      </c>
      <c r="D475" s="156"/>
      <c r="E475" s="156"/>
      <c r="F475" s="156"/>
      <c r="G475" s="143"/>
      <c r="H475" s="141"/>
      <c r="I475" s="153" t="s">
        <v>566</v>
      </c>
      <c r="J475" s="153">
        <v>1</v>
      </c>
      <c r="K475" s="144" t="s">
        <v>730</v>
      </c>
      <c r="L475" s="142" t="s">
        <v>567</v>
      </c>
      <c r="M475" s="11" t="str">
        <f>VLOOKUP(N475,'Mã NV'!$A$3:$B$196,2,0)</f>
        <v>PU01</v>
      </c>
      <c r="N475" s="306" t="s">
        <v>622</v>
      </c>
      <c r="O475" s="387">
        <v>44197</v>
      </c>
      <c r="P475" s="371"/>
      <c r="Q475" s="145"/>
      <c r="R475" s="150"/>
    </row>
    <row r="476" spans="1:18" ht="35.25" hidden="1" customHeight="1">
      <c r="A476" s="15">
        <f t="shared" si="7"/>
        <v>466</v>
      </c>
      <c r="B476" s="142" t="s">
        <v>629</v>
      </c>
      <c r="C476" s="150" t="s">
        <v>582</v>
      </c>
      <c r="D476" s="156"/>
      <c r="E476" s="156"/>
      <c r="F476" s="156"/>
      <c r="G476" s="143"/>
      <c r="H476" s="141"/>
      <c r="I476" s="153" t="s">
        <v>566</v>
      </c>
      <c r="J476" s="153">
        <v>1</v>
      </c>
      <c r="K476" s="144" t="s">
        <v>730</v>
      </c>
      <c r="L476" s="142" t="s">
        <v>567</v>
      </c>
      <c r="M476" s="11" t="str">
        <f>VLOOKUP(N476,'Mã NV'!$A$3:$B$196,2,0)</f>
        <v>PU01</v>
      </c>
      <c r="N476" s="306" t="s">
        <v>622</v>
      </c>
      <c r="O476" s="387">
        <v>44197</v>
      </c>
      <c r="P476" s="371"/>
      <c r="Q476" s="145"/>
      <c r="R476" s="150"/>
    </row>
    <row r="477" spans="1:18" ht="35.25" hidden="1" customHeight="1">
      <c r="A477" s="15">
        <f t="shared" si="7"/>
        <v>467</v>
      </c>
      <c r="B477" s="142" t="s">
        <v>630</v>
      </c>
      <c r="C477" s="150" t="s">
        <v>564</v>
      </c>
      <c r="D477" s="156"/>
      <c r="E477" s="156"/>
      <c r="F477" s="156"/>
      <c r="G477" s="143"/>
      <c r="H477" s="141"/>
      <c r="I477" s="153" t="s">
        <v>566</v>
      </c>
      <c r="J477" s="153">
        <v>1</v>
      </c>
      <c r="K477" s="144" t="s">
        <v>730</v>
      </c>
      <c r="L477" s="142" t="s">
        <v>567</v>
      </c>
      <c r="M477" s="11" t="str">
        <f>VLOOKUP(N477,'Mã NV'!$A$3:$B$196,2,0)</f>
        <v>PU10</v>
      </c>
      <c r="N477" s="306" t="s">
        <v>631</v>
      </c>
      <c r="O477" s="380">
        <f>VLOOKUP(B477,'Tổng hợp (3)'!$C$4:$E$985,3,0)</f>
        <v>44469</v>
      </c>
      <c r="P477" s="378"/>
      <c r="Q477" s="145"/>
      <c r="R477" s="150"/>
    </row>
    <row r="478" spans="1:18" ht="35.25" hidden="1" customHeight="1">
      <c r="A478" s="15">
        <f t="shared" si="7"/>
        <v>468</v>
      </c>
      <c r="B478" s="142" t="s">
        <v>632</v>
      </c>
      <c r="C478" s="150" t="s">
        <v>633</v>
      </c>
      <c r="D478" s="156"/>
      <c r="E478" s="156"/>
      <c r="F478" s="156"/>
      <c r="G478" s="143" t="s">
        <v>634</v>
      </c>
      <c r="H478" s="141"/>
      <c r="I478" s="153" t="s">
        <v>566</v>
      </c>
      <c r="J478" s="153">
        <v>1</v>
      </c>
      <c r="K478" s="144" t="s">
        <v>730</v>
      </c>
      <c r="L478" s="142" t="s">
        <v>567</v>
      </c>
      <c r="M478" s="11" t="str">
        <f>VLOOKUP(N478,'Mã NV'!$A$3:$B$196,2,0)</f>
        <v>PU10</v>
      </c>
      <c r="N478" s="306" t="s">
        <v>631</v>
      </c>
      <c r="O478" s="387">
        <v>44197</v>
      </c>
      <c r="P478" s="371"/>
      <c r="Q478" s="145"/>
      <c r="R478" s="150"/>
    </row>
    <row r="479" spans="1:18" ht="35.25" hidden="1" customHeight="1">
      <c r="A479" s="15">
        <f t="shared" si="7"/>
        <v>469</v>
      </c>
      <c r="B479" s="142" t="s">
        <v>635</v>
      </c>
      <c r="C479" s="150" t="s">
        <v>120</v>
      </c>
      <c r="D479" s="156"/>
      <c r="E479" s="156"/>
      <c r="F479" s="156"/>
      <c r="G479" s="143"/>
      <c r="H479" s="141"/>
      <c r="I479" s="153" t="s">
        <v>566</v>
      </c>
      <c r="J479" s="153">
        <v>1</v>
      </c>
      <c r="K479" s="144" t="s">
        <v>730</v>
      </c>
      <c r="L479" s="142" t="s">
        <v>567</v>
      </c>
      <c r="M479" s="11" t="str">
        <f>VLOOKUP(N479,'Mã NV'!$A$3:$B$196,2,0)</f>
        <v>PU10</v>
      </c>
      <c r="N479" s="306" t="s">
        <v>631</v>
      </c>
      <c r="O479" s="387">
        <v>44197</v>
      </c>
      <c r="P479" s="371"/>
      <c r="Q479" s="145"/>
      <c r="R479" s="150"/>
    </row>
    <row r="480" spans="1:18" ht="35.25" hidden="1" customHeight="1">
      <c r="A480" s="15">
        <f t="shared" si="7"/>
        <v>470</v>
      </c>
      <c r="B480" s="142" t="s">
        <v>636</v>
      </c>
      <c r="C480" s="150" t="s">
        <v>578</v>
      </c>
      <c r="D480" s="156"/>
      <c r="E480" s="156"/>
      <c r="F480" s="156"/>
      <c r="G480" s="143"/>
      <c r="H480" s="141"/>
      <c r="I480" s="153" t="s">
        <v>566</v>
      </c>
      <c r="J480" s="153">
        <v>1</v>
      </c>
      <c r="K480" s="144" t="s">
        <v>730</v>
      </c>
      <c r="L480" s="142" t="s">
        <v>567</v>
      </c>
      <c r="M480" s="11" t="str">
        <f>VLOOKUP(N480,'Mã NV'!$A$3:$B$196,2,0)</f>
        <v>PU10</v>
      </c>
      <c r="N480" s="306" t="s">
        <v>631</v>
      </c>
      <c r="O480" s="380">
        <f>VLOOKUP(B480,'Tổng hợp (3)'!$C$4:$E$985,3,0)</f>
        <v>44774</v>
      </c>
      <c r="P480" s="378"/>
      <c r="Q480" s="145"/>
      <c r="R480" s="150"/>
    </row>
    <row r="481" spans="1:18" ht="35.25" hidden="1" customHeight="1">
      <c r="A481" s="15">
        <f t="shared" si="7"/>
        <v>471</v>
      </c>
      <c r="B481" s="142" t="s">
        <v>637</v>
      </c>
      <c r="C481" s="150" t="s">
        <v>580</v>
      </c>
      <c r="D481" s="156"/>
      <c r="E481" s="156"/>
      <c r="F481" s="156"/>
      <c r="G481" s="143"/>
      <c r="H481" s="141"/>
      <c r="I481" s="153" t="s">
        <v>566</v>
      </c>
      <c r="J481" s="153">
        <v>1</v>
      </c>
      <c r="K481" s="144" t="s">
        <v>730</v>
      </c>
      <c r="L481" s="142" t="s">
        <v>567</v>
      </c>
      <c r="M481" s="11" t="str">
        <f>VLOOKUP(N481,'Mã NV'!$A$3:$B$196,2,0)</f>
        <v>PU10</v>
      </c>
      <c r="N481" s="306" t="s">
        <v>631</v>
      </c>
      <c r="O481" s="387">
        <v>44197</v>
      </c>
      <c r="P481" s="371"/>
      <c r="Q481" s="145"/>
      <c r="R481" s="150"/>
    </row>
    <row r="482" spans="1:18" ht="35.25" hidden="1" customHeight="1">
      <c r="A482" s="15">
        <f t="shared" si="7"/>
        <v>472</v>
      </c>
      <c r="B482" s="142" t="s">
        <v>638</v>
      </c>
      <c r="C482" s="150" t="s">
        <v>582</v>
      </c>
      <c r="D482" s="156"/>
      <c r="E482" s="156"/>
      <c r="F482" s="156"/>
      <c r="G482" s="143"/>
      <c r="H482" s="141"/>
      <c r="I482" s="153" t="s">
        <v>566</v>
      </c>
      <c r="J482" s="153">
        <v>1</v>
      </c>
      <c r="K482" s="144" t="s">
        <v>730</v>
      </c>
      <c r="L482" s="142" t="s">
        <v>567</v>
      </c>
      <c r="M482" s="11" t="str">
        <f>VLOOKUP(N482,'Mã NV'!$A$3:$B$196,2,0)</f>
        <v>PU10</v>
      </c>
      <c r="N482" s="306" t="s">
        <v>631</v>
      </c>
      <c r="O482" s="387">
        <v>44197</v>
      </c>
      <c r="P482" s="371"/>
      <c r="Q482" s="145"/>
      <c r="R482" s="150"/>
    </row>
    <row r="483" spans="1:18" ht="35.25" hidden="1" customHeight="1">
      <c r="A483" s="15">
        <f t="shared" si="7"/>
        <v>473</v>
      </c>
      <c r="B483" s="142" t="s">
        <v>639</v>
      </c>
      <c r="C483" s="150" t="s">
        <v>640</v>
      </c>
      <c r="D483" s="156"/>
      <c r="E483" s="156"/>
      <c r="F483" s="156"/>
      <c r="G483" s="143"/>
      <c r="H483" s="141"/>
      <c r="I483" s="153" t="s">
        <v>566</v>
      </c>
      <c r="J483" s="153">
        <v>1</v>
      </c>
      <c r="K483" s="144" t="s">
        <v>730</v>
      </c>
      <c r="L483" s="142" t="s">
        <v>567</v>
      </c>
      <c r="M483" s="11" t="str">
        <f>VLOOKUP(N483,'Mã NV'!$A$3:$B$196,2,0)</f>
        <v>PU10</v>
      </c>
      <c r="N483" s="306" t="s">
        <v>631</v>
      </c>
      <c r="O483" s="380">
        <f>VLOOKUP(B483,'Tổng hợp (3)'!$C$4:$E$985,3,0)</f>
        <v>44774</v>
      </c>
      <c r="P483" s="378"/>
      <c r="Q483" s="145"/>
      <c r="R483" s="140"/>
    </row>
    <row r="484" spans="1:18" ht="35.25" hidden="1" customHeight="1">
      <c r="A484" s="15">
        <f t="shared" si="7"/>
        <v>474</v>
      </c>
      <c r="B484" s="142" t="s">
        <v>696</v>
      </c>
      <c r="C484" s="150" t="s">
        <v>641</v>
      </c>
      <c r="D484" s="156"/>
      <c r="E484" s="156"/>
      <c r="F484" s="156"/>
      <c r="G484" s="155" t="s">
        <v>642</v>
      </c>
      <c r="H484" s="141"/>
      <c r="I484" s="153" t="s">
        <v>566</v>
      </c>
      <c r="J484" s="153">
        <v>1</v>
      </c>
      <c r="K484" s="144" t="s">
        <v>730</v>
      </c>
      <c r="L484" s="142" t="s">
        <v>567</v>
      </c>
      <c r="M484" s="11" t="str">
        <f>VLOOKUP(N484,'Mã NV'!$A$3:$B$196,2,0)</f>
        <v>PU10</v>
      </c>
      <c r="N484" s="306" t="s">
        <v>631</v>
      </c>
      <c r="O484" s="381">
        <v>44197</v>
      </c>
      <c r="P484" s="371"/>
      <c r="Q484" s="145"/>
      <c r="R484" s="140"/>
    </row>
    <row r="485" spans="1:18" ht="35.25" hidden="1" customHeight="1">
      <c r="A485" s="15">
        <f t="shared" si="7"/>
        <v>475</v>
      </c>
      <c r="B485" s="142" t="s">
        <v>643</v>
      </c>
      <c r="C485" s="150" t="s">
        <v>601</v>
      </c>
      <c r="D485" s="156"/>
      <c r="E485" s="156"/>
      <c r="F485" s="156"/>
      <c r="G485" s="155"/>
      <c r="H485" s="141"/>
      <c r="I485" s="153" t="s">
        <v>566</v>
      </c>
      <c r="J485" s="153">
        <v>1</v>
      </c>
      <c r="K485" s="144" t="s">
        <v>730</v>
      </c>
      <c r="L485" s="142" t="s">
        <v>567</v>
      </c>
      <c r="M485" s="11" t="str">
        <f>VLOOKUP(N485,'Mã NV'!$A$3:$B$196,2,0)</f>
        <v>PU10</v>
      </c>
      <c r="N485" s="306" t="s">
        <v>631</v>
      </c>
      <c r="O485" s="381">
        <v>44197</v>
      </c>
      <c r="P485" s="371"/>
      <c r="Q485" s="145"/>
      <c r="R485" s="140"/>
    </row>
    <row r="486" spans="1:18" ht="35.25" hidden="1" customHeight="1">
      <c r="A486" s="15">
        <f t="shared" si="7"/>
        <v>476</v>
      </c>
      <c r="B486" s="142" t="s">
        <v>644</v>
      </c>
      <c r="C486" s="150" t="s">
        <v>451</v>
      </c>
      <c r="D486" s="156"/>
      <c r="E486" s="156"/>
      <c r="F486" s="156"/>
      <c r="G486" s="143" t="s">
        <v>645</v>
      </c>
      <c r="H486" s="141"/>
      <c r="I486" s="153" t="s">
        <v>566</v>
      </c>
      <c r="J486" s="153">
        <v>1</v>
      </c>
      <c r="K486" s="144" t="s">
        <v>730</v>
      </c>
      <c r="L486" s="142" t="s">
        <v>567</v>
      </c>
      <c r="M486" s="11" t="str">
        <f>VLOOKUP(N486,'Mã NV'!$A$3:$B$196,2,0)</f>
        <v>PU11</v>
      </c>
      <c r="N486" s="306" t="s">
        <v>646</v>
      </c>
      <c r="O486" s="381">
        <v>44197</v>
      </c>
      <c r="P486" s="371"/>
      <c r="Q486" s="145"/>
      <c r="R486" s="150"/>
    </row>
    <row r="487" spans="1:18" ht="35.25" hidden="1" customHeight="1">
      <c r="A487" s="15">
        <f t="shared" si="7"/>
        <v>477</v>
      </c>
      <c r="B487" s="142" t="s">
        <v>647</v>
      </c>
      <c r="C487" s="150" t="s">
        <v>570</v>
      </c>
      <c r="D487" s="156"/>
      <c r="E487" s="156"/>
      <c r="F487" s="156"/>
      <c r="G487" s="143" t="s">
        <v>648</v>
      </c>
      <c r="H487" s="141"/>
      <c r="I487" s="153" t="s">
        <v>566</v>
      </c>
      <c r="J487" s="153">
        <v>1</v>
      </c>
      <c r="K487" s="144" t="s">
        <v>730</v>
      </c>
      <c r="L487" s="142" t="s">
        <v>567</v>
      </c>
      <c r="M487" s="11" t="str">
        <f>VLOOKUP(N487,'Mã NV'!$A$3:$B$196,2,0)</f>
        <v>PU11</v>
      </c>
      <c r="N487" s="307" t="s">
        <v>646</v>
      </c>
      <c r="O487" s="380">
        <f>VLOOKUP(B487,'Tổng hợp (3)'!$C$4:$E$985,3,0)</f>
        <v>44714</v>
      </c>
      <c r="P487" s="378"/>
      <c r="Q487" s="145"/>
      <c r="R487" s="150"/>
    </row>
    <row r="488" spans="1:18" ht="35.25" hidden="1" customHeight="1">
      <c r="A488" s="15">
        <f t="shared" si="7"/>
        <v>478</v>
      </c>
      <c r="B488" s="142" t="s">
        <v>649</v>
      </c>
      <c r="C488" s="150" t="s">
        <v>575</v>
      </c>
      <c r="D488" s="156"/>
      <c r="E488" s="156"/>
      <c r="F488" s="156"/>
      <c r="G488" s="143" t="s">
        <v>650</v>
      </c>
      <c r="H488" s="141"/>
      <c r="I488" s="153" t="s">
        <v>566</v>
      </c>
      <c r="J488" s="153">
        <v>1</v>
      </c>
      <c r="K488" s="144" t="s">
        <v>730</v>
      </c>
      <c r="L488" s="142" t="s">
        <v>567</v>
      </c>
      <c r="M488" s="11" t="str">
        <f>VLOOKUP(N488,'Mã NV'!$A$3:$B$196,2,0)</f>
        <v>PU11</v>
      </c>
      <c r="N488" s="307" t="s">
        <v>646</v>
      </c>
      <c r="O488" s="381">
        <v>44197</v>
      </c>
      <c r="P488" s="371"/>
      <c r="Q488" s="145"/>
      <c r="R488" s="150"/>
    </row>
    <row r="489" spans="1:18" ht="35.25" hidden="1" customHeight="1">
      <c r="A489" s="15">
        <f t="shared" si="7"/>
        <v>479</v>
      </c>
      <c r="B489" s="142" t="s">
        <v>988</v>
      </c>
      <c r="C489" s="150" t="s">
        <v>601</v>
      </c>
      <c r="D489" s="156"/>
      <c r="E489" s="156"/>
      <c r="F489" s="156"/>
      <c r="G489" s="143"/>
      <c r="H489" s="141"/>
      <c r="I489" s="153" t="s">
        <v>566</v>
      </c>
      <c r="J489" s="153">
        <v>1</v>
      </c>
      <c r="K489" s="144" t="s">
        <v>730</v>
      </c>
      <c r="L489" s="142" t="s">
        <v>567</v>
      </c>
      <c r="M489" s="11" t="str">
        <f>VLOOKUP(N489,'Mã NV'!$A$3:$B$196,2,0)</f>
        <v>PU11</v>
      </c>
      <c r="N489" s="307" t="s">
        <v>646</v>
      </c>
      <c r="O489" s="381">
        <v>44197</v>
      </c>
      <c r="P489" s="371"/>
      <c r="Q489" s="145"/>
      <c r="R489" s="150"/>
    </row>
    <row r="490" spans="1:18" ht="35.25" hidden="1" customHeight="1">
      <c r="A490" s="15">
        <f t="shared" si="7"/>
        <v>480</v>
      </c>
      <c r="B490" s="142" t="s">
        <v>651</v>
      </c>
      <c r="C490" s="150" t="s">
        <v>578</v>
      </c>
      <c r="D490" s="156"/>
      <c r="E490" s="156"/>
      <c r="F490" s="156"/>
      <c r="G490" s="143"/>
      <c r="H490" s="141"/>
      <c r="I490" s="153" t="s">
        <v>566</v>
      </c>
      <c r="J490" s="153">
        <v>1</v>
      </c>
      <c r="K490" s="144" t="s">
        <v>730</v>
      </c>
      <c r="L490" s="142" t="s">
        <v>567</v>
      </c>
      <c r="M490" s="11" t="str">
        <f>VLOOKUP(N490,'Mã NV'!$A$3:$B$196,2,0)</f>
        <v>PU11</v>
      </c>
      <c r="N490" s="307" t="s">
        <v>646</v>
      </c>
      <c r="O490" s="381">
        <v>44197</v>
      </c>
      <c r="P490" s="371"/>
      <c r="Q490" s="145"/>
      <c r="R490" s="150"/>
    </row>
    <row r="491" spans="1:18" ht="35.25" hidden="1" customHeight="1">
      <c r="A491" s="15">
        <f t="shared" si="7"/>
        <v>481</v>
      </c>
      <c r="B491" s="142" t="s">
        <v>652</v>
      </c>
      <c r="C491" s="150" t="s">
        <v>580</v>
      </c>
      <c r="D491" s="156"/>
      <c r="E491" s="156"/>
      <c r="F491" s="156"/>
      <c r="G491" s="143"/>
      <c r="H491" s="141"/>
      <c r="I491" s="153" t="s">
        <v>566</v>
      </c>
      <c r="J491" s="153">
        <v>1</v>
      </c>
      <c r="K491" s="144" t="s">
        <v>730</v>
      </c>
      <c r="L491" s="142" t="s">
        <v>567</v>
      </c>
      <c r="M491" s="11" t="str">
        <f>VLOOKUP(N491,'Mã NV'!$A$3:$B$196,2,0)</f>
        <v>PU11</v>
      </c>
      <c r="N491" s="307" t="s">
        <v>646</v>
      </c>
      <c r="O491" s="381">
        <v>44197</v>
      </c>
      <c r="P491" s="371"/>
      <c r="Q491" s="145"/>
      <c r="R491" s="150"/>
    </row>
    <row r="492" spans="1:18" ht="35.25" hidden="1" customHeight="1">
      <c r="A492" s="15">
        <f t="shared" si="7"/>
        <v>482</v>
      </c>
      <c r="B492" s="142" t="s">
        <v>653</v>
      </c>
      <c r="C492" s="150" t="s">
        <v>582</v>
      </c>
      <c r="D492" s="156"/>
      <c r="E492" s="156"/>
      <c r="F492" s="156"/>
      <c r="G492" s="143"/>
      <c r="H492" s="141"/>
      <c r="I492" s="153" t="s">
        <v>566</v>
      </c>
      <c r="J492" s="153">
        <v>1</v>
      </c>
      <c r="K492" s="144" t="s">
        <v>730</v>
      </c>
      <c r="L492" s="142" t="s">
        <v>567</v>
      </c>
      <c r="M492" s="11" t="str">
        <f>VLOOKUP(N492,'Mã NV'!$A$3:$B$196,2,0)</f>
        <v>PU11</v>
      </c>
      <c r="N492" s="307" t="s">
        <v>646</v>
      </c>
      <c r="O492" s="381">
        <v>44197</v>
      </c>
      <c r="P492" s="371"/>
      <c r="Q492" s="145"/>
      <c r="R492" s="150"/>
    </row>
    <row r="493" spans="1:18" ht="35.25" hidden="1" customHeight="1">
      <c r="A493" s="15">
        <f t="shared" si="7"/>
        <v>483</v>
      </c>
      <c r="B493" s="142" t="s">
        <v>989</v>
      </c>
      <c r="C493" s="150" t="s">
        <v>445</v>
      </c>
      <c r="D493" s="156"/>
      <c r="E493" s="156"/>
      <c r="F493" s="156"/>
      <c r="G493" s="143"/>
      <c r="H493" s="141"/>
      <c r="I493" s="153" t="s">
        <v>566</v>
      </c>
      <c r="J493" s="153">
        <v>1</v>
      </c>
      <c r="K493" s="144" t="s">
        <v>730</v>
      </c>
      <c r="L493" s="142" t="s">
        <v>567</v>
      </c>
      <c r="M493" s="11" t="str">
        <f>VLOOKUP(N493,'Mã NV'!$A$3:$B$196,2,0)</f>
        <v>PU11</v>
      </c>
      <c r="N493" s="307" t="s">
        <v>646</v>
      </c>
      <c r="O493" s="380">
        <f>VLOOKUP(B493,'Tổng hợp (3)'!$C$4:$E$985,3,0)</f>
        <v>44763</v>
      </c>
      <c r="P493" s="378"/>
      <c r="Q493" s="145"/>
      <c r="R493" s="150"/>
    </row>
    <row r="494" spans="1:18" ht="35.25" hidden="1" customHeight="1">
      <c r="A494" s="15">
        <f t="shared" si="7"/>
        <v>484</v>
      </c>
      <c r="B494" s="142" t="s">
        <v>990</v>
      </c>
      <c r="C494" s="150" t="s">
        <v>991</v>
      </c>
      <c r="D494" s="156"/>
      <c r="E494" s="156"/>
      <c r="F494" s="156"/>
      <c r="G494" s="149" t="s">
        <v>2338</v>
      </c>
      <c r="H494" s="141"/>
      <c r="I494" s="153" t="s">
        <v>566</v>
      </c>
      <c r="J494" s="153">
        <v>1</v>
      </c>
      <c r="K494" s="144" t="s">
        <v>730</v>
      </c>
      <c r="L494" s="142" t="s">
        <v>567</v>
      </c>
      <c r="M494" s="11" t="str">
        <f>VLOOKUP(N494,'Mã NV'!$A$3:$B$196,2,0)</f>
        <v>PU11</v>
      </c>
      <c r="N494" s="307" t="s">
        <v>646</v>
      </c>
      <c r="O494" s="388">
        <v>44991</v>
      </c>
      <c r="P494" s="371"/>
      <c r="Q494" s="145"/>
      <c r="R494" s="150" t="s">
        <v>2657</v>
      </c>
    </row>
    <row r="495" spans="1:18" ht="35.25" hidden="1" customHeight="1">
      <c r="A495" s="15">
        <f t="shared" si="7"/>
        <v>485</v>
      </c>
      <c r="B495" s="142" t="s">
        <v>992</v>
      </c>
      <c r="C495" s="150" t="s">
        <v>991</v>
      </c>
      <c r="D495" s="156"/>
      <c r="E495" s="156"/>
      <c r="F495" s="156"/>
      <c r="G495" s="149" t="s">
        <v>2339</v>
      </c>
      <c r="H495" s="141"/>
      <c r="I495" s="153" t="s">
        <v>566</v>
      </c>
      <c r="J495" s="153">
        <v>1</v>
      </c>
      <c r="K495" s="144" t="s">
        <v>730</v>
      </c>
      <c r="L495" s="142" t="s">
        <v>567</v>
      </c>
      <c r="M495" s="11" t="str">
        <f>VLOOKUP(N495,'Mã NV'!$A$3:$B$196,2,0)</f>
        <v>PU11</v>
      </c>
      <c r="N495" s="307" t="s">
        <v>646</v>
      </c>
      <c r="O495" s="388">
        <v>44991</v>
      </c>
      <c r="P495" s="371"/>
      <c r="Q495" s="145"/>
      <c r="R495" s="150"/>
    </row>
    <row r="496" spans="1:18" ht="35.25" hidden="1" customHeight="1">
      <c r="A496" s="15">
        <f t="shared" si="7"/>
        <v>486</v>
      </c>
      <c r="B496" s="142" t="s">
        <v>993</v>
      </c>
      <c r="C496" s="150" t="s">
        <v>991</v>
      </c>
      <c r="D496" s="156"/>
      <c r="E496" s="156"/>
      <c r="F496" s="156"/>
      <c r="G496" s="149" t="s">
        <v>2340</v>
      </c>
      <c r="H496" s="141"/>
      <c r="I496" s="153" t="s">
        <v>566</v>
      </c>
      <c r="J496" s="153">
        <v>1</v>
      </c>
      <c r="K496" s="144" t="s">
        <v>730</v>
      </c>
      <c r="L496" s="142" t="s">
        <v>567</v>
      </c>
      <c r="M496" s="11" t="str">
        <f>VLOOKUP(N496,'Mã NV'!$A$3:$B$196,2,0)</f>
        <v>PU11</v>
      </c>
      <c r="N496" s="307" t="s">
        <v>646</v>
      </c>
      <c r="O496" s="388">
        <v>44991</v>
      </c>
      <c r="P496" s="371"/>
      <c r="Q496" s="145"/>
      <c r="R496" s="150"/>
    </row>
    <row r="497" spans="1:18" ht="35.25" hidden="1" customHeight="1">
      <c r="A497" s="15">
        <f t="shared" si="7"/>
        <v>487</v>
      </c>
      <c r="B497" s="142" t="s">
        <v>994</v>
      </c>
      <c r="C497" s="150" t="s">
        <v>991</v>
      </c>
      <c r="D497" s="156"/>
      <c r="E497" s="156"/>
      <c r="F497" s="156"/>
      <c r="G497" s="149" t="s">
        <v>2341</v>
      </c>
      <c r="H497" s="141"/>
      <c r="I497" s="153" t="s">
        <v>566</v>
      </c>
      <c r="J497" s="153">
        <v>1</v>
      </c>
      <c r="K497" s="144" t="s">
        <v>730</v>
      </c>
      <c r="L497" s="142" t="s">
        <v>567</v>
      </c>
      <c r="M497" s="11" t="str">
        <f>VLOOKUP(N497,'Mã NV'!$A$3:$B$196,2,0)</f>
        <v>PU11</v>
      </c>
      <c r="N497" s="307" t="s">
        <v>646</v>
      </c>
      <c r="O497" s="388">
        <v>44996</v>
      </c>
      <c r="P497" s="371"/>
      <c r="Q497" s="145"/>
      <c r="R497" s="169" t="s">
        <v>2658</v>
      </c>
    </row>
    <row r="498" spans="1:18" ht="35.25" hidden="1" customHeight="1">
      <c r="A498" s="15">
        <f t="shared" si="7"/>
        <v>488</v>
      </c>
      <c r="B498" s="142" t="s">
        <v>995</v>
      </c>
      <c r="C498" s="14" t="s">
        <v>996</v>
      </c>
      <c r="D498" s="156"/>
      <c r="E498" s="156"/>
      <c r="F498" s="156"/>
      <c r="G498" s="14" t="s">
        <v>996</v>
      </c>
      <c r="H498" s="141"/>
      <c r="I498" s="153" t="s">
        <v>566</v>
      </c>
      <c r="J498" s="153">
        <v>1</v>
      </c>
      <c r="K498" s="144" t="s">
        <v>730</v>
      </c>
      <c r="L498" s="142" t="s">
        <v>567</v>
      </c>
      <c r="M498" s="11" t="str">
        <f>VLOOKUP(N498,'Mã NV'!$A$3:$B$196,2,0)</f>
        <v>PU11</v>
      </c>
      <c r="N498" s="307" t="s">
        <v>646</v>
      </c>
      <c r="O498" s="380">
        <f>VLOOKUP(B498,'Tổng hợp (3)'!$C$4:$E$985,3,0)</f>
        <v>44819</v>
      </c>
      <c r="P498" s="378"/>
      <c r="Q498" s="145"/>
      <c r="R498" s="169"/>
    </row>
    <row r="499" spans="1:18" ht="35.25" hidden="1" customHeight="1">
      <c r="A499" s="15">
        <f t="shared" si="7"/>
        <v>489</v>
      </c>
      <c r="B499" s="9" t="s">
        <v>997</v>
      </c>
      <c r="C499" s="14" t="s">
        <v>998</v>
      </c>
      <c r="D499" s="156"/>
      <c r="E499" s="156"/>
      <c r="F499" s="156"/>
      <c r="G499" s="14"/>
      <c r="H499" s="141"/>
      <c r="I499" s="153" t="s">
        <v>566</v>
      </c>
      <c r="J499" s="153">
        <v>1</v>
      </c>
      <c r="K499" s="144" t="s">
        <v>730</v>
      </c>
      <c r="L499" s="142" t="s">
        <v>567</v>
      </c>
      <c r="M499" s="11" t="str">
        <f>VLOOKUP(N499,'Mã NV'!$A$3:$B$196,2,0)</f>
        <v>PU11</v>
      </c>
      <c r="N499" s="307" t="s">
        <v>646</v>
      </c>
      <c r="O499" s="380">
        <f>VLOOKUP(B499,'Tổng hợp (3)'!$C$4:$E$985,3,0)</f>
        <v>44727</v>
      </c>
      <c r="P499" s="378"/>
      <c r="Q499" s="145"/>
      <c r="R499" s="169"/>
    </row>
    <row r="500" spans="1:18" ht="35.25" hidden="1" customHeight="1">
      <c r="A500" s="15">
        <f t="shared" si="7"/>
        <v>490</v>
      </c>
      <c r="B500" s="142" t="s">
        <v>654</v>
      </c>
      <c r="C500" s="150" t="s">
        <v>564</v>
      </c>
      <c r="D500" s="156"/>
      <c r="E500" s="156"/>
      <c r="F500" s="156"/>
      <c r="G500" s="143" t="s">
        <v>655</v>
      </c>
      <c r="H500" s="141"/>
      <c r="I500" s="153" t="s">
        <v>566</v>
      </c>
      <c r="J500" s="153">
        <v>1</v>
      </c>
      <c r="K500" s="144" t="s">
        <v>730</v>
      </c>
      <c r="L500" s="142" t="s">
        <v>567</v>
      </c>
      <c r="M500" s="11" t="str">
        <f>VLOOKUP(N500,'Mã NV'!$A$3:$B$196,2,0)</f>
        <v>PU08</v>
      </c>
      <c r="N500" s="306" t="s">
        <v>656</v>
      </c>
      <c r="O500" s="381">
        <v>44197</v>
      </c>
      <c r="P500" s="371"/>
      <c r="Q500" s="145"/>
      <c r="R500" s="150"/>
    </row>
    <row r="501" spans="1:18" ht="35.25" hidden="1" customHeight="1">
      <c r="A501" s="15">
        <f t="shared" si="7"/>
        <v>491</v>
      </c>
      <c r="B501" s="142" t="s">
        <v>657</v>
      </c>
      <c r="C501" s="150" t="s">
        <v>620</v>
      </c>
      <c r="D501" s="156"/>
      <c r="E501" s="156"/>
      <c r="F501" s="156"/>
      <c r="G501" s="143" t="s">
        <v>658</v>
      </c>
      <c r="H501" s="141"/>
      <c r="I501" s="153" t="s">
        <v>566</v>
      </c>
      <c r="J501" s="153">
        <v>1</v>
      </c>
      <c r="K501" s="144" t="s">
        <v>730</v>
      </c>
      <c r="L501" s="142" t="s">
        <v>567</v>
      </c>
      <c r="M501" s="11" t="str">
        <f>VLOOKUP(N501,'Mã NV'!$A$3:$B$196,2,0)</f>
        <v>PU08</v>
      </c>
      <c r="N501" s="306" t="s">
        <v>656</v>
      </c>
      <c r="O501" s="381">
        <v>44197</v>
      </c>
      <c r="P501" s="371"/>
      <c r="Q501" s="145"/>
      <c r="R501" s="150"/>
    </row>
    <row r="502" spans="1:18" ht="35.25" hidden="1" customHeight="1">
      <c r="A502" s="15">
        <f t="shared" si="7"/>
        <v>492</v>
      </c>
      <c r="B502" s="142" t="s">
        <v>659</v>
      </c>
      <c r="C502" s="150" t="s">
        <v>120</v>
      </c>
      <c r="D502" s="156"/>
      <c r="E502" s="156"/>
      <c r="F502" s="156"/>
      <c r="G502" s="143"/>
      <c r="H502" s="141"/>
      <c r="I502" s="153" t="s">
        <v>566</v>
      </c>
      <c r="J502" s="153">
        <v>1</v>
      </c>
      <c r="K502" s="144" t="s">
        <v>730</v>
      </c>
      <c r="L502" s="142" t="s">
        <v>567</v>
      </c>
      <c r="M502" s="11" t="str">
        <f>VLOOKUP(N502,'Mã NV'!$A$3:$B$196,2,0)</f>
        <v>PU08</v>
      </c>
      <c r="N502" s="306" t="s">
        <v>656</v>
      </c>
      <c r="O502" s="381">
        <v>44197</v>
      </c>
      <c r="P502" s="371"/>
      <c r="Q502" s="145"/>
      <c r="R502" s="150"/>
    </row>
    <row r="503" spans="1:18" ht="35.25" hidden="1" customHeight="1">
      <c r="A503" s="15">
        <f t="shared" si="7"/>
        <v>493</v>
      </c>
      <c r="B503" s="142" t="s">
        <v>697</v>
      </c>
      <c r="C503" s="150" t="s">
        <v>999</v>
      </c>
      <c r="D503" s="156"/>
      <c r="E503" s="156"/>
      <c r="F503" s="156"/>
      <c r="G503" s="155" t="s">
        <v>662</v>
      </c>
      <c r="H503" s="141"/>
      <c r="I503" s="153" t="s">
        <v>566</v>
      </c>
      <c r="J503" s="153">
        <v>1</v>
      </c>
      <c r="K503" s="144" t="s">
        <v>730</v>
      </c>
      <c r="L503" s="142" t="s">
        <v>567</v>
      </c>
      <c r="M503" s="11" t="str">
        <f>VLOOKUP(N503,'Mã NV'!$A$3:$B$196,2,0)</f>
        <v>PU08</v>
      </c>
      <c r="N503" s="306" t="s">
        <v>656</v>
      </c>
      <c r="O503" s="381">
        <v>44197</v>
      </c>
      <c r="P503" s="371"/>
      <c r="Q503" s="145"/>
      <c r="R503" s="150"/>
    </row>
    <row r="504" spans="1:18" ht="35.25" hidden="1" customHeight="1">
      <c r="A504" s="15">
        <f t="shared" si="7"/>
        <v>494</v>
      </c>
      <c r="B504" s="145" t="s">
        <v>711</v>
      </c>
      <c r="C504" s="169" t="s">
        <v>663</v>
      </c>
      <c r="D504" s="156"/>
      <c r="E504" s="156"/>
      <c r="F504" s="156"/>
      <c r="G504" s="157" t="s">
        <v>662</v>
      </c>
      <c r="H504" s="141"/>
      <c r="I504" s="158" t="s">
        <v>566</v>
      </c>
      <c r="J504" s="158">
        <v>1</v>
      </c>
      <c r="K504" s="144" t="s">
        <v>730</v>
      </c>
      <c r="L504" s="145" t="s">
        <v>567</v>
      </c>
      <c r="M504" s="11" t="str">
        <f>VLOOKUP(N504,'Mã NV'!$A$3:$B$196,2,0)</f>
        <v>PU08</v>
      </c>
      <c r="N504" s="308" t="s">
        <v>656</v>
      </c>
      <c r="O504" s="381">
        <v>44197</v>
      </c>
      <c r="P504" s="371"/>
      <c r="Q504" s="145"/>
      <c r="R504" s="169"/>
    </row>
    <row r="505" spans="1:18" ht="35.25" hidden="1" customHeight="1">
      <c r="A505" s="15">
        <f t="shared" si="7"/>
        <v>495</v>
      </c>
      <c r="B505" s="142" t="s">
        <v>664</v>
      </c>
      <c r="C505" s="150" t="s">
        <v>578</v>
      </c>
      <c r="D505" s="156"/>
      <c r="E505" s="156"/>
      <c r="F505" s="156"/>
      <c r="G505" s="143"/>
      <c r="H505" s="141"/>
      <c r="I505" s="153" t="s">
        <v>566</v>
      </c>
      <c r="J505" s="153">
        <v>1</v>
      </c>
      <c r="K505" s="144" t="s">
        <v>730</v>
      </c>
      <c r="L505" s="142" t="s">
        <v>567</v>
      </c>
      <c r="M505" s="11" t="str">
        <f>VLOOKUP(N505,'Mã NV'!$A$3:$B$196,2,0)</f>
        <v>PU08</v>
      </c>
      <c r="N505" s="306" t="s">
        <v>656</v>
      </c>
      <c r="O505" s="381">
        <v>44197</v>
      </c>
      <c r="P505" s="371"/>
      <c r="Q505" s="145"/>
      <c r="R505" s="150"/>
    </row>
    <row r="506" spans="1:18" ht="35.25" hidden="1" customHeight="1">
      <c r="A506" s="15">
        <f t="shared" si="7"/>
        <v>496</v>
      </c>
      <c r="B506" s="142" t="s">
        <v>665</v>
      </c>
      <c r="C506" s="150" t="s">
        <v>580</v>
      </c>
      <c r="D506" s="156"/>
      <c r="E506" s="156"/>
      <c r="F506" s="156"/>
      <c r="G506" s="143"/>
      <c r="H506" s="141"/>
      <c r="I506" s="153" t="s">
        <v>566</v>
      </c>
      <c r="J506" s="153">
        <v>1</v>
      </c>
      <c r="K506" s="144" t="s">
        <v>730</v>
      </c>
      <c r="L506" s="142" t="s">
        <v>567</v>
      </c>
      <c r="M506" s="11" t="str">
        <f>VLOOKUP(N506,'Mã NV'!$A$3:$B$196,2,0)</f>
        <v>PU08</v>
      </c>
      <c r="N506" s="306" t="s">
        <v>656</v>
      </c>
      <c r="O506" s="381">
        <v>44197</v>
      </c>
      <c r="P506" s="371"/>
      <c r="Q506" s="145"/>
      <c r="R506" s="150"/>
    </row>
    <row r="507" spans="1:18" ht="35.25" hidden="1" customHeight="1">
      <c r="A507" s="15">
        <f t="shared" si="7"/>
        <v>497</v>
      </c>
      <c r="B507" s="142" t="s">
        <v>666</v>
      </c>
      <c r="C507" s="150" t="s">
        <v>582</v>
      </c>
      <c r="D507" s="156"/>
      <c r="E507" s="156"/>
      <c r="F507" s="156"/>
      <c r="G507" s="143"/>
      <c r="H507" s="141"/>
      <c r="I507" s="153" t="s">
        <v>566</v>
      </c>
      <c r="J507" s="153">
        <v>1</v>
      </c>
      <c r="K507" s="144" t="s">
        <v>730</v>
      </c>
      <c r="L507" s="142" t="s">
        <v>567</v>
      </c>
      <c r="M507" s="11" t="str">
        <f>VLOOKUP(N507,'Mã NV'!$A$3:$B$196,2,0)</f>
        <v>PU08</v>
      </c>
      <c r="N507" s="306" t="s">
        <v>656</v>
      </c>
      <c r="O507" s="381">
        <v>44197</v>
      </c>
      <c r="P507" s="371"/>
      <c r="Q507" s="145"/>
      <c r="R507" s="150"/>
    </row>
    <row r="508" spans="1:18" ht="35.25" hidden="1" customHeight="1">
      <c r="A508" s="15">
        <f t="shared" si="7"/>
        <v>498</v>
      </c>
      <c r="B508" s="142" t="s">
        <v>667</v>
      </c>
      <c r="C508" s="150" t="s">
        <v>601</v>
      </c>
      <c r="D508" s="156"/>
      <c r="E508" s="156"/>
      <c r="F508" s="156"/>
      <c r="G508" s="143"/>
      <c r="H508" s="141"/>
      <c r="I508" s="153" t="s">
        <v>566</v>
      </c>
      <c r="J508" s="153">
        <v>1</v>
      </c>
      <c r="K508" s="144" t="s">
        <v>730</v>
      </c>
      <c r="L508" s="142" t="s">
        <v>567</v>
      </c>
      <c r="M508" s="11" t="str">
        <f>VLOOKUP(N508,'Mã NV'!$A$3:$B$196,2,0)</f>
        <v>PU08</v>
      </c>
      <c r="N508" s="306" t="s">
        <v>656</v>
      </c>
      <c r="O508" s="381">
        <v>44197</v>
      </c>
      <c r="P508" s="371"/>
      <c r="Q508" s="145"/>
      <c r="R508" s="150"/>
    </row>
    <row r="509" spans="1:18" ht="35.25" hidden="1" customHeight="1">
      <c r="A509" s="15">
        <f t="shared" si="7"/>
        <v>499</v>
      </c>
      <c r="B509" s="142" t="s">
        <v>668</v>
      </c>
      <c r="C509" s="150" t="s">
        <v>605</v>
      </c>
      <c r="D509" s="156"/>
      <c r="E509" s="156"/>
      <c r="F509" s="156"/>
      <c r="G509" s="143"/>
      <c r="H509" s="141"/>
      <c r="I509" s="153" t="s">
        <v>566</v>
      </c>
      <c r="J509" s="153">
        <v>1</v>
      </c>
      <c r="K509" s="144" t="s">
        <v>730</v>
      </c>
      <c r="L509" s="142" t="s">
        <v>567</v>
      </c>
      <c r="M509" s="11" t="str">
        <f>VLOOKUP(N509,'Mã NV'!$A$3:$B$196,2,0)</f>
        <v>PU08</v>
      </c>
      <c r="N509" s="306" t="s">
        <v>656</v>
      </c>
      <c r="O509" s="381">
        <v>44197</v>
      </c>
      <c r="P509" s="371"/>
      <c r="Q509" s="145"/>
      <c r="R509" s="150"/>
    </row>
    <row r="510" spans="1:18" ht="35.25" hidden="1" customHeight="1">
      <c r="A510" s="15">
        <f t="shared" si="7"/>
        <v>500</v>
      </c>
      <c r="B510" s="142" t="s">
        <v>669</v>
      </c>
      <c r="C510" s="150" t="s">
        <v>670</v>
      </c>
      <c r="D510" s="156"/>
      <c r="E510" s="156"/>
      <c r="F510" s="156"/>
      <c r="G510" s="143"/>
      <c r="H510" s="141"/>
      <c r="I510" s="144" t="s">
        <v>18</v>
      </c>
      <c r="J510" s="153">
        <v>1</v>
      </c>
      <c r="K510" s="144" t="s">
        <v>730</v>
      </c>
      <c r="L510" s="142" t="s">
        <v>567</v>
      </c>
      <c r="M510" s="11" t="str">
        <f>VLOOKUP(N510,'Mã NV'!$A$3:$B$196,2,0)</f>
        <v>PU11</v>
      </c>
      <c r="N510" s="306" t="s">
        <v>646</v>
      </c>
      <c r="O510" s="380">
        <f>VLOOKUP(B510,'Tổng hợp (3)'!$C$4:$E$985,3,0)</f>
        <v>44665</v>
      </c>
      <c r="P510" s="378"/>
      <c r="Q510" s="145"/>
      <c r="R510" s="149" t="s">
        <v>272</v>
      </c>
    </row>
    <row r="511" spans="1:18" ht="35.25" hidden="1" customHeight="1">
      <c r="A511" s="15">
        <f t="shared" si="7"/>
        <v>501</v>
      </c>
      <c r="B511" s="142" t="s">
        <v>712</v>
      </c>
      <c r="C511" s="150" t="s">
        <v>713</v>
      </c>
      <c r="D511" s="156"/>
      <c r="E511" s="156"/>
      <c r="F511" s="156"/>
      <c r="G511" s="143"/>
      <c r="H511" s="141"/>
      <c r="I511" s="144" t="s">
        <v>18</v>
      </c>
      <c r="J511" s="153">
        <v>5</v>
      </c>
      <c r="K511" s="144" t="s">
        <v>730</v>
      </c>
      <c r="L511" s="142" t="s">
        <v>567</v>
      </c>
      <c r="M511" s="11" t="str">
        <f>VLOOKUP(N511,'Mã NV'!$A$3:$B$196,2,0)</f>
        <v>PU11</v>
      </c>
      <c r="N511" s="306" t="s">
        <v>646</v>
      </c>
      <c r="O511" s="381">
        <v>44197</v>
      </c>
      <c r="P511" s="371"/>
      <c r="Q511" s="145"/>
      <c r="R511" s="149" t="s">
        <v>272</v>
      </c>
    </row>
    <row r="512" spans="1:18" ht="35.25" hidden="1" customHeight="1">
      <c r="A512" s="15">
        <f t="shared" si="7"/>
        <v>502</v>
      </c>
      <c r="B512" s="142" t="s">
        <v>671</v>
      </c>
      <c r="C512" s="150" t="s">
        <v>672</v>
      </c>
      <c r="D512" s="156"/>
      <c r="E512" s="156"/>
      <c r="F512" s="156"/>
      <c r="G512" s="143"/>
      <c r="H512" s="141"/>
      <c r="I512" s="153" t="s">
        <v>673</v>
      </c>
      <c r="J512" s="153">
        <v>1</v>
      </c>
      <c r="K512" s="144" t="s">
        <v>730</v>
      </c>
      <c r="L512" s="142" t="s">
        <v>567</v>
      </c>
      <c r="M512" s="11" t="str">
        <f>VLOOKUP(N512,'Mã NV'!$A$3:$B$196,2,0)</f>
        <v>PU11</v>
      </c>
      <c r="N512" s="306" t="s">
        <v>646</v>
      </c>
      <c r="O512" s="381">
        <v>44197</v>
      </c>
      <c r="P512" s="371"/>
      <c r="Q512" s="145"/>
      <c r="R512" s="149" t="s">
        <v>272</v>
      </c>
    </row>
    <row r="513" spans="1:18" ht="35.25" hidden="1" customHeight="1">
      <c r="A513" s="15">
        <f t="shared" si="7"/>
        <v>503</v>
      </c>
      <c r="B513" s="142" t="s">
        <v>674</v>
      </c>
      <c r="C513" s="150" t="s">
        <v>675</v>
      </c>
      <c r="D513" s="156"/>
      <c r="E513" s="156"/>
      <c r="F513" s="156"/>
      <c r="G513" s="143"/>
      <c r="H513" s="141"/>
      <c r="I513" s="153" t="s">
        <v>624</v>
      </c>
      <c r="J513" s="153">
        <v>1</v>
      </c>
      <c r="K513" s="144" t="s">
        <v>730</v>
      </c>
      <c r="L513" s="142" t="s">
        <v>567</v>
      </c>
      <c r="M513" s="11" t="str">
        <f>VLOOKUP(N513,'Mã NV'!$A$3:$B$196,2,0)</f>
        <v>PU11</v>
      </c>
      <c r="N513" s="306" t="s">
        <v>646</v>
      </c>
      <c r="O513" s="380">
        <f>VLOOKUP(B513,'Tổng hợp (3)'!$C$4:$E$985,3,0)</f>
        <v>44719</v>
      </c>
      <c r="P513" s="378"/>
      <c r="Q513" s="145"/>
      <c r="R513" s="149" t="s">
        <v>272</v>
      </c>
    </row>
    <row r="514" spans="1:18" ht="35.25" hidden="1" customHeight="1">
      <c r="A514" s="15">
        <f t="shared" si="7"/>
        <v>504</v>
      </c>
      <c r="B514" s="142" t="s">
        <v>676</v>
      </c>
      <c r="C514" s="150" t="s">
        <v>675</v>
      </c>
      <c r="D514" s="156"/>
      <c r="E514" s="156"/>
      <c r="F514" s="156"/>
      <c r="G514" s="143"/>
      <c r="H514" s="141"/>
      <c r="I514" s="153" t="s">
        <v>624</v>
      </c>
      <c r="J514" s="153">
        <v>1</v>
      </c>
      <c r="K514" s="144" t="s">
        <v>730</v>
      </c>
      <c r="L514" s="142" t="s">
        <v>567</v>
      </c>
      <c r="M514" s="11" t="str">
        <f>VLOOKUP(N514,'Mã NV'!$A$3:$B$196,2,0)</f>
        <v>PU11</v>
      </c>
      <c r="N514" s="306" t="s">
        <v>646</v>
      </c>
      <c r="O514" s="381">
        <v>44197</v>
      </c>
      <c r="P514" s="371"/>
      <c r="Q514" s="145"/>
      <c r="R514" s="149" t="s">
        <v>272</v>
      </c>
    </row>
    <row r="515" spans="1:18" ht="35.25" hidden="1" customHeight="1">
      <c r="A515" s="15">
        <f t="shared" si="7"/>
        <v>505</v>
      </c>
      <c r="B515" s="142" t="s">
        <v>677</v>
      </c>
      <c r="C515" s="150" t="s">
        <v>675</v>
      </c>
      <c r="D515" s="156"/>
      <c r="E515" s="156"/>
      <c r="F515" s="156"/>
      <c r="G515" s="143"/>
      <c r="H515" s="141"/>
      <c r="I515" s="153" t="s">
        <v>624</v>
      </c>
      <c r="J515" s="153">
        <v>1</v>
      </c>
      <c r="K515" s="144" t="s">
        <v>730</v>
      </c>
      <c r="L515" s="142" t="s">
        <v>567</v>
      </c>
      <c r="M515" s="11" t="str">
        <f>VLOOKUP(N515,'Mã NV'!$A$3:$B$196,2,0)</f>
        <v>PU11</v>
      </c>
      <c r="N515" s="306" t="s">
        <v>646</v>
      </c>
      <c r="O515" s="381">
        <v>44197</v>
      </c>
      <c r="P515" s="371"/>
      <c r="Q515" s="145"/>
      <c r="R515" s="149" t="s">
        <v>272</v>
      </c>
    </row>
    <row r="516" spans="1:18" ht="35.25" hidden="1" customHeight="1">
      <c r="A516" s="15">
        <f t="shared" si="7"/>
        <v>506</v>
      </c>
      <c r="B516" s="142" t="s">
        <v>678</v>
      </c>
      <c r="C516" s="150" t="s">
        <v>679</v>
      </c>
      <c r="D516" s="156"/>
      <c r="E516" s="156"/>
      <c r="F516" s="156"/>
      <c r="G516" s="143"/>
      <c r="H516" s="141"/>
      <c r="I516" s="153" t="s">
        <v>624</v>
      </c>
      <c r="J516" s="153">
        <v>1</v>
      </c>
      <c r="K516" s="144" t="s">
        <v>730</v>
      </c>
      <c r="L516" s="142" t="s">
        <v>567</v>
      </c>
      <c r="M516" s="11" t="str">
        <f>VLOOKUP(N516,'Mã NV'!$A$3:$B$196,2,0)</f>
        <v>IN38</v>
      </c>
      <c r="N516" s="306" t="s">
        <v>680</v>
      </c>
      <c r="O516" s="381">
        <v>44197</v>
      </c>
      <c r="P516" s="371"/>
      <c r="Q516" s="145"/>
      <c r="R516" s="150"/>
    </row>
    <row r="517" spans="1:18" ht="35.25" hidden="1" customHeight="1">
      <c r="A517" s="15">
        <f t="shared" si="7"/>
        <v>507</v>
      </c>
      <c r="B517" s="142" t="s">
        <v>681</v>
      </c>
      <c r="C517" s="150" t="s">
        <v>582</v>
      </c>
      <c r="D517" s="156"/>
      <c r="E517" s="156"/>
      <c r="F517" s="156"/>
      <c r="G517" s="143"/>
      <c r="H517" s="141"/>
      <c r="I517" s="153" t="s">
        <v>624</v>
      </c>
      <c r="J517" s="153">
        <v>1</v>
      </c>
      <c r="K517" s="144" t="s">
        <v>730</v>
      </c>
      <c r="L517" s="142" t="s">
        <v>567</v>
      </c>
      <c r="M517" s="11" t="str">
        <f>VLOOKUP(N517,'Mã NV'!$A$3:$B$196,2,0)</f>
        <v>IN38</v>
      </c>
      <c r="N517" s="306" t="s">
        <v>680</v>
      </c>
      <c r="O517" s="381">
        <v>44197</v>
      </c>
      <c r="P517" s="371"/>
      <c r="Q517" s="145"/>
      <c r="R517" s="150"/>
    </row>
    <row r="518" spans="1:18" ht="35.25" hidden="1" customHeight="1">
      <c r="A518" s="15">
        <f t="shared" si="7"/>
        <v>508</v>
      </c>
      <c r="B518" s="142" t="s">
        <v>1000</v>
      </c>
      <c r="C518" s="150" t="s">
        <v>582</v>
      </c>
      <c r="D518" s="156"/>
      <c r="E518" s="156"/>
      <c r="F518" s="156"/>
      <c r="G518" s="143"/>
      <c r="H518" s="141"/>
      <c r="I518" s="153" t="s">
        <v>624</v>
      </c>
      <c r="J518" s="153">
        <v>1</v>
      </c>
      <c r="K518" s="144" t="s">
        <v>730</v>
      </c>
      <c r="L518" s="142" t="s">
        <v>567</v>
      </c>
      <c r="M518" s="11" t="str">
        <f>VLOOKUP(N518,'Mã NV'!$A$3:$B$196,2,0)</f>
        <v>NV0006</v>
      </c>
      <c r="N518" s="306" t="s">
        <v>2532</v>
      </c>
      <c r="O518" s="381">
        <v>44977</v>
      </c>
      <c r="P518" s="371"/>
      <c r="Q518" s="145"/>
      <c r="R518" s="150"/>
    </row>
    <row r="519" spans="1:18" ht="35.25" hidden="1" customHeight="1">
      <c r="A519" s="15">
        <f t="shared" si="7"/>
        <v>509</v>
      </c>
      <c r="B519" s="142" t="s">
        <v>1001</v>
      </c>
      <c r="C519" s="150" t="s">
        <v>1002</v>
      </c>
      <c r="D519" s="19"/>
      <c r="E519" s="19"/>
      <c r="F519" s="19"/>
      <c r="G519" s="143"/>
      <c r="H519" s="141"/>
      <c r="I519" s="153" t="s">
        <v>181</v>
      </c>
      <c r="J519" s="153">
        <v>1</v>
      </c>
      <c r="K519" s="144" t="s">
        <v>730</v>
      </c>
      <c r="L519" s="142" t="s">
        <v>567</v>
      </c>
      <c r="M519" s="11" t="str">
        <f>VLOOKUP(N519,'Mã NV'!$A$3:$B$196,2,0)</f>
        <v>NV0006</v>
      </c>
      <c r="N519" s="306" t="s">
        <v>2532</v>
      </c>
      <c r="O519" s="381">
        <v>44981</v>
      </c>
      <c r="P519" s="371"/>
      <c r="Q519" s="43"/>
      <c r="R519" s="150"/>
    </row>
    <row r="520" spans="1:18" ht="35.25" hidden="1" customHeight="1">
      <c r="A520" s="15">
        <f t="shared" si="7"/>
        <v>510</v>
      </c>
      <c r="B520" s="142" t="s">
        <v>1003</v>
      </c>
      <c r="C520" s="150" t="s">
        <v>564</v>
      </c>
      <c r="D520" s="19"/>
      <c r="E520" s="19"/>
      <c r="F520" s="19"/>
      <c r="G520" s="143"/>
      <c r="H520" s="141"/>
      <c r="I520" s="153" t="s">
        <v>18</v>
      </c>
      <c r="J520" s="153">
        <v>1</v>
      </c>
      <c r="K520" s="144" t="s">
        <v>730</v>
      </c>
      <c r="L520" s="142" t="s">
        <v>567</v>
      </c>
      <c r="M520" s="11" t="str">
        <f>VLOOKUP(N520,'Mã NV'!$A$3:$B$196,2,0)</f>
        <v>NV0006</v>
      </c>
      <c r="N520" s="306" t="s">
        <v>2532</v>
      </c>
      <c r="O520" s="381">
        <v>44981</v>
      </c>
      <c r="P520" s="371"/>
      <c r="Q520" s="43"/>
      <c r="R520" s="150"/>
    </row>
    <row r="521" spans="1:18" ht="35.25" hidden="1" customHeight="1">
      <c r="A521" s="15">
        <f t="shared" si="7"/>
        <v>511</v>
      </c>
      <c r="B521" s="142" t="s">
        <v>682</v>
      </c>
      <c r="C521" s="150" t="s">
        <v>679</v>
      </c>
      <c r="D521" s="19"/>
      <c r="E521" s="19"/>
      <c r="F521" s="19"/>
      <c r="G521" s="143"/>
      <c r="H521" s="141"/>
      <c r="I521" s="153" t="s">
        <v>624</v>
      </c>
      <c r="J521" s="153">
        <v>1</v>
      </c>
      <c r="K521" s="144" t="s">
        <v>730</v>
      </c>
      <c r="L521" s="142" t="s">
        <v>567</v>
      </c>
      <c r="M521" s="11" t="str">
        <f>VLOOKUP(N521,'Mã NV'!$A$3:$B$196,2,0)</f>
        <v>PU11</v>
      </c>
      <c r="N521" s="306" t="s">
        <v>646</v>
      </c>
      <c r="O521" s="381">
        <v>44197</v>
      </c>
      <c r="P521" s="371"/>
      <c r="Q521" s="43"/>
      <c r="R521" s="149" t="s">
        <v>272</v>
      </c>
    </row>
    <row r="522" spans="1:18" ht="35.25" hidden="1" customHeight="1">
      <c r="A522" s="15">
        <f t="shared" si="7"/>
        <v>512</v>
      </c>
      <c r="B522" s="142" t="s">
        <v>683</v>
      </c>
      <c r="C522" s="150" t="s">
        <v>679</v>
      </c>
      <c r="D522" s="156"/>
      <c r="E522" s="156"/>
      <c r="F522" s="156"/>
      <c r="G522" s="143"/>
      <c r="H522" s="141"/>
      <c r="I522" s="153" t="s">
        <v>624</v>
      </c>
      <c r="J522" s="153">
        <v>1</v>
      </c>
      <c r="K522" s="144" t="s">
        <v>730</v>
      </c>
      <c r="L522" s="142" t="s">
        <v>567</v>
      </c>
      <c r="M522" s="11" t="str">
        <f>VLOOKUP(N522,'Mã NV'!$A$3:$B$196,2,0)</f>
        <v>PU11</v>
      </c>
      <c r="N522" s="306" t="s">
        <v>646</v>
      </c>
      <c r="O522" s="381">
        <v>44197</v>
      </c>
      <c r="P522" s="371"/>
      <c r="Q522" s="145"/>
      <c r="R522" s="149" t="s">
        <v>272</v>
      </c>
    </row>
    <row r="523" spans="1:18" ht="35.25" hidden="1" customHeight="1">
      <c r="A523" s="15">
        <f t="shared" si="7"/>
        <v>513</v>
      </c>
      <c r="B523" s="142" t="s">
        <v>684</v>
      </c>
      <c r="C523" s="150" t="s">
        <v>32</v>
      </c>
      <c r="D523" s="156"/>
      <c r="E523" s="156"/>
      <c r="F523" s="156"/>
      <c r="G523" s="143"/>
      <c r="H523" s="141"/>
      <c r="I523" s="153" t="s">
        <v>624</v>
      </c>
      <c r="J523" s="153">
        <v>1</v>
      </c>
      <c r="K523" s="144" t="s">
        <v>730</v>
      </c>
      <c r="L523" s="142" t="s">
        <v>567</v>
      </c>
      <c r="M523" s="11" t="str">
        <f>VLOOKUP(N523,'Mã NV'!$A$3:$B$196,2,0)</f>
        <v>IN38</v>
      </c>
      <c r="N523" s="306" t="s">
        <v>680</v>
      </c>
      <c r="O523" s="381">
        <v>44197</v>
      </c>
      <c r="P523" s="371"/>
      <c r="Q523" s="145"/>
      <c r="R523" s="150"/>
    </row>
    <row r="524" spans="1:18" ht="35.25" hidden="1" customHeight="1">
      <c r="A524" s="15">
        <f t="shared" si="7"/>
        <v>514</v>
      </c>
      <c r="B524" s="142" t="s">
        <v>1004</v>
      </c>
      <c r="C524" s="150" t="s">
        <v>723</v>
      </c>
      <c r="D524" s="156"/>
      <c r="E524" s="156"/>
      <c r="F524" s="156"/>
      <c r="G524" s="143"/>
      <c r="H524" s="141"/>
      <c r="I524" s="153" t="s">
        <v>624</v>
      </c>
      <c r="J524" s="153">
        <v>1</v>
      </c>
      <c r="K524" s="144" t="s">
        <v>730</v>
      </c>
      <c r="L524" s="142" t="s">
        <v>567</v>
      </c>
      <c r="M524" s="11" t="str">
        <f>VLOOKUP(N524,'Mã NV'!$A$3:$B$196,2,0)</f>
        <v>PU11</v>
      </c>
      <c r="N524" s="306" t="s">
        <v>646</v>
      </c>
      <c r="O524" s="380">
        <f>VLOOKUP(B524,'Tổng hợp (3)'!$C$4:$E$985,3,0)</f>
        <v>44635</v>
      </c>
      <c r="P524" s="378"/>
      <c r="Q524" s="145"/>
      <c r="R524" s="150"/>
    </row>
    <row r="525" spans="1:18" ht="35.25" hidden="1" customHeight="1">
      <c r="A525" s="15">
        <f t="shared" si="7"/>
        <v>515</v>
      </c>
      <c r="B525" s="142" t="s">
        <v>1005</v>
      </c>
      <c r="C525" s="150" t="s">
        <v>723</v>
      </c>
      <c r="D525" s="156"/>
      <c r="E525" s="156"/>
      <c r="F525" s="156"/>
      <c r="G525" s="143"/>
      <c r="H525" s="141"/>
      <c r="I525" s="153" t="s">
        <v>624</v>
      </c>
      <c r="J525" s="153">
        <v>1</v>
      </c>
      <c r="K525" s="144" t="s">
        <v>730</v>
      </c>
      <c r="L525" s="142" t="s">
        <v>567</v>
      </c>
      <c r="M525" s="11" t="str">
        <f>VLOOKUP(N525,'Mã NV'!$A$3:$B$196,2,0)</f>
        <v>PU11</v>
      </c>
      <c r="N525" s="306" t="s">
        <v>646</v>
      </c>
      <c r="O525" s="380">
        <f>VLOOKUP(B525,'Tổng hợp (3)'!$C$4:$E$985,3,0)</f>
        <v>44635</v>
      </c>
      <c r="P525" s="378"/>
      <c r="Q525" s="145"/>
      <c r="R525" s="150"/>
    </row>
    <row r="526" spans="1:18" ht="35.25" hidden="1" customHeight="1">
      <c r="A526" s="15">
        <f t="shared" si="7"/>
        <v>516</v>
      </c>
      <c r="B526" s="142" t="s">
        <v>411</v>
      </c>
      <c r="C526" s="150" t="s">
        <v>723</v>
      </c>
      <c r="D526" s="156"/>
      <c r="E526" s="156"/>
      <c r="F526" s="156"/>
      <c r="G526" s="143"/>
      <c r="H526" s="141"/>
      <c r="I526" s="153" t="s">
        <v>624</v>
      </c>
      <c r="J526" s="153">
        <v>1</v>
      </c>
      <c r="K526" s="144" t="s">
        <v>730</v>
      </c>
      <c r="L526" s="142" t="s">
        <v>567</v>
      </c>
      <c r="M526" s="11" t="str">
        <f>VLOOKUP(N526,'Mã NV'!$A$3:$B$196,2,0)</f>
        <v>PU11</v>
      </c>
      <c r="N526" s="306" t="s">
        <v>646</v>
      </c>
      <c r="O526" s="380">
        <f>VLOOKUP(B526,'Tổng hợp (3)'!$C$4:$E$985,3,0)</f>
        <v>44635</v>
      </c>
      <c r="P526" s="378"/>
      <c r="Q526" s="145"/>
      <c r="R526" s="150"/>
    </row>
    <row r="527" spans="1:18" ht="35.25" hidden="1" customHeight="1">
      <c r="A527" s="15">
        <f t="shared" si="7"/>
        <v>517</v>
      </c>
      <c r="B527" s="142" t="s">
        <v>549</v>
      </c>
      <c r="C527" s="150" t="s">
        <v>723</v>
      </c>
      <c r="D527" s="156"/>
      <c r="E527" s="156"/>
      <c r="F527" s="156"/>
      <c r="G527" s="143"/>
      <c r="H527" s="141"/>
      <c r="I527" s="153" t="s">
        <v>624</v>
      </c>
      <c r="J527" s="153">
        <v>1</v>
      </c>
      <c r="K527" s="144" t="s">
        <v>730</v>
      </c>
      <c r="L527" s="142" t="s">
        <v>567</v>
      </c>
      <c r="M527" s="11" t="str">
        <f>VLOOKUP(N527,'Mã NV'!$A$3:$B$196,2,0)</f>
        <v>PU11</v>
      </c>
      <c r="N527" s="306" t="s">
        <v>646</v>
      </c>
      <c r="O527" s="380">
        <f>VLOOKUP(B527,'Tổng hợp (3)'!$C$4:$E$985,3,0)</f>
        <v>44635</v>
      </c>
      <c r="P527" s="378"/>
      <c r="Q527" s="145"/>
      <c r="R527" s="150"/>
    </row>
    <row r="528" spans="1:18" ht="35.25" hidden="1" customHeight="1">
      <c r="A528" s="15">
        <f t="shared" si="7"/>
        <v>518</v>
      </c>
      <c r="B528" s="142" t="s">
        <v>552</v>
      </c>
      <c r="C528" s="150" t="s">
        <v>723</v>
      </c>
      <c r="D528" s="156"/>
      <c r="E528" s="156"/>
      <c r="F528" s="156"/>
      <c r="G528" s="143"/>
      <c r="H528" s="141"/>
      <c r="I528" s="153" t="s">
        <v>624</v>
      </c>
      <c r="J528" s="153">
        <v>1</v>
      </c>
      <c r="K528" s="144" t="s">
        <v>730</v>
      </c>
      <c r="L528" s="142" t="s">
        <v>567</v>
      </c>
      <c r="M528" s="11" t="str">
        <f>VLOOKUP(N528,'Mã NV'!$A$3:$B$196,2,0)</f>
        <v>PU11</v>
      </c>
      <c r="N528" s="306" t="s">
        <v>646</v>
      </c>
      <c r="O528" s="380">
        <f>VLOOKUP(B528,'Tổng hợp (3)'!$C$4:$E$985,3,0)</f>
        <v>44635</v>
      </c>
      <c r="P528" s="378"/>
      <c r="Q528" s="145"/>
      <c r="R528" s="150"/>
    </row>
    <row r="529" spans="1:18" ht="35.25" hidden="1" customHeight="1">
      <c r="A529" s="15">
        <f t="shared" si="7"/>
        <v>519</v>
      </c>
      <c r="B529" s="142" t="s">
        <v>553</v>
      </c>
      <c r="C529" s="150" t="s">
        <v>723</v>
      </c>
      <c r="D529" s="156"/>
      <c r="E529" s="156"/>
      <c r="F529" s="156"/>
      <c r="G529" s="143"/>
      <c r="H529" s="141"/>
      <c r="I529" s="153" t="s">
        <v>624</v>
      </c>
      <c r="J529" s="153">
        <v>1</v>
      </c>
      <c r="K529" s="144" t="s">
        <v>730</v>
      </c>
      <c r="L529" s="142" t="s">
        <v>567</v>
      </c>
      <c r="M529" s="11" t="str">
        <f>VLOOKUP(N529,'Mã NV'!$A$3:$B$196,2,0)</f>
        <v>PU11</v>
      </c>
      <c r="N529" s="306" t="s">
        <v>646</v>
      </c>
      <c r="O529" s="380">
        <f>VLOOKUP(B529,'Tổng hợp (3)'!$C$4:$E$985,3,0)</f>
        <v>44635</v>
      </c>
      <c r="P529" s="378"/>
      <c r="Q529" s="145"/>
      <c r="R529" s="150"/>
    </row>
    <row r="530" spans="1:18" ht="35.25" hidden="1" customHeight="1">
      <c r="A530" s="15">
        <f t="shared" ref="A530:A593" si="8">A529+1</f>
        <v>520</v>
      </c>
      <c r="B530" s="142" t="s">
        <v>554</v>
      </c>
      <c r="C530" s="150" t="s">
        <v>723</v>
      </c>
      <c r="D530" s="156"/>
      <c r="E530" s="156"/>
      <c r="F530" s="156"/>
      <c r="G530" s="143"/>
      <c r="H530" s="141"/>
      <c r="I530" s="153" t="s">
        <v>624</v>
      </c>
      <c r="J530" s="153">
        <v>1</v>
      </c>
      <c r="K530" s="144" t="s">
        <v>730</v>
      </c>
      <c r="L530" s="142" t="s">
        <v>567</v>
      </c>
      <c r="M530" s="11" t="str">
        <f>VLOOKUP(N530,'Mã NV'!$A$3:$B$196,2,0)</f>
        <v>PU11</v>
      </c>
      <c r="N530" s="306" t="s">
        <v>646</v>
      </c>
      <c r="O530" s="380">
        <f>VLOOKUP(B530,'Tổng hợp (3)'!$C$4:$E$985,3,0)</f>
        <v>44635</v>
      </c>
      <c r="P530" s="378"/>
      <c r="Q530" s="145"/>
      <c r="R530" s="150"/>
    </row>
    <row r="531" spans="1:18" ht="35.25" hidden="1" customHeight="1">
      <c r="A531" s="15">
        <f t="shared" si="8"/>
        <v>521</v>
      </c>
      <c r="B531" s="142" t="s">
        <v>555</v>
      </c>
      <c r="C531" s="150" t="s">
        <v>723</v>
      </c>
      <c r="D531" s="156"/>
      <c r="E531" s="156"/>
      <c r="F531" s="156"/>
      <c r="G531" s="143"/>
      <c r="H531" s="141"/>
      <c r="I531" s="153" t="s">
        <v>624</v>
      </c>
      <c r="J531" s="153">
        <v>1</v>
      </c>
      <c r="K531" s="144" t="s">
        <v>730</v>
      </c>
      <c r="L531" s="142" t="s">
        <v>567</v>
      </c>
      <c r="M531" s="11" t="str">
        <f>VLOOKUP(N531,'Mã NV'!$A$3:$B$196,2,0)</f>
        <v>PU11</v>
      </c>
      <c r="N531" s="306" t="s">
        <v>646</v>
      </c>
      <c r="O531" s="380">
        <f>VLOOKUP(B531,'Tổng hợp (3)'!$C$4:$E$985,3,0)</f>
        <v>44635</v>
      </c>
      <c r="P531" s="378"/>
      <c r="Q531" s="145"/>
      <c r="R531" s="150"/>
    </row>
    <row r="532" spans="1:18" ht="35.25" hidden="1" customHeight="1">
      <c r="A532" s="15">
        <f t="shared" si="8"/>
        <v>522</v>
      </c>
      <c r="B532" s="142" t="s">
        <v>556</v>
      </c>
      <c r="C532" s="150" t="s">
        <v>723</v>
      </c>
      <c r="D532" s="156"/>
      <c r="E532" s="156"/>
      <c r="F532" s="156"/>
      <c r="G532" s="143"/>
      <c r="H532" s="141"/>
      <c r="I532" s="153" t="s">
        <v>624</v>
      </c>
      <c r="J532" s="153">
        <v>1</v>
      </c>
      <c r="K532" s="144" t="s">
        <v>730</v>
      </c>
      <c r="L532" s="142" t="s">
        <v>567</v>
      </c>
      <c r="M532" s="11" t="str">
        <f>VLOOKUP(N532,'Mã NV'!$A$3:$B$196,2,0)</f>
        <v>PU11</v>
      </c>
      <c r="N532" s="306" t="s">
        <v>646</v>
      </c>
      <c r="O532" s="380">
        <f>VLOOKUP(B532,'Tổng hợp (3)'!$C$4:$E$985,3,0)</f>
        <v>44635</v>
      </c>
      <c r="P532" s="378"/>
      <c r="Q532" s="145"/>
      <c r="R532" s="150"/>
    </row>
    <row r="533" spans="1:18" ht="35.25" hidden="1" customHeight="1">
      <c r="A533" s="15">
        <f t="shared" si="8"/>
        <v>523</v>
      </c>
      <c r="B533" s="142" t="s">
        <v>557</v>
      </c>
      <c r="C533" s="150" t="s">
        <v>723</v>
      </c>
      <c r="D533" s="156"/>
      <c r="E533" s="156"/>
      <c r="F533" s="156"/>
      <c r="G533" s="143"/>
      <c r="H533" s="141"/>
      <c r="I533" s="153" t="s">
        <v>624</v>
      </c>
      <c r="J533" s="153">
        <v>1</v>
      </c>
      <c r="K533" s="144" t="s">
        <v>730</v>
      </c>
      <c r="L533" s="142" t="s">
        <v>567</v>
      </c>
      <c r="M533" s="11" t="str">
        <f>VLOOKUP(N533,'Mã NV'!$A$3:$B$196,2,0)</f>
        <v>PU11</v>
      </c>
      <c r="N533" s="306" t="s">
        <v>646</v>
      </c>
      <c r="O533" s="380">
        <f>VLOOKUP(B533,'Tổng hợp (3)'!$C$4:$E$985,3,0)</f>
        <v>44635</v>
      </c>
      <c r="P533" s="378"/>
      <c r="Q533" s="145"/>
      <c r="R533" s="150"/>
    </row>
    <row r="534" spans="1:18" ht="35.25" hidden="1" customHeight="1">
      <c r="A534" s="15">
        <f t="shared" si="8"/>
        <v>524</v>
      </c>
      <c r="B534" s="142" t="s">
        <v>1006</v>
      </c>
      <c r="C534" s="150" t="s">
        <v>723</v>
      </c>
      <c r="D534" s="156"/>
      <c r="E534" s="156"/>
      <c r="F534" s="156"/>
      <c r="G534" s="143"/>
      <c r="H534" s="141"/>
      <c r="I534" s="153" t="s">
        <v>624</v>
      </c>
      <c r="J534" s="153">
        <v>1</v>
      </c>
      <c r="K534" s="144" t="s">
        <v>730</v>
      </c>
      <c r="L534" s="142" t="s">
        <v>567</v>
      </c>
      <c r="M534" s="11" t="str">
        <f>VLOOKUP(N534,'Mã NV'!$A$3:$B$196,2,0)</f>
        <v>PU11</v>
      </c>
      <c r="N534" s="306" t="s">
        <v>646</v>
      </c>
      <c r="O534" s="380">
        <f>VLOOKUP(B534,'Tổng hợp (3)'!$C$4:$E$985,3,0)</f>
        <v>44635</v>
      </c>
      <c r="P534" s="378"/>
      <c r="Q534" s="145"/>
      <c r="R534" s="150"/>
    </row>
    <row r="535" spans="1:18" ht="35.25" hidden="1" customHeight="1">
      <c r="A535" s="15">
        <f t="shared" si="8"/>
        <v>525</v>
      </c>
      <c r="B535" s="142" t="s">
        <v>1007</v>
      </c>
      <c r="C535" s="150" t="s">
        <v>723</v>
      </c>
      <c r="D535" s="156"/>
      <c r="E535" s="156"/>
      <c r="F535" s="156"/>
      <c r="G535" s="143"/>
      <c r="H535" s="141"/>
      <c r="I535" s="153" t="s">
        <v>624</v>
      </c>
      <c r="J535" s="153">
        <v>1</v>
      </c>
      <c r="K535" s="144" t="s">
        <v>730</v>
      </c>
      <c r="L535" s="142" t="s">
        <v>567</v>
      </c>
      <c r="M535" s="11" t="str">
        <f>VLOOKUP(N535,'Mã NV'!$A$3:$B$196,2,0)</f>
        <v>PU11</v>
      </c>
      <c r="N535" s="306" t="s">
        <v>646</v>
      </c>
      <c r="O535" s="380" t="str">
        <f>VLOOKUP(B535,'Tổng hợp (3)'!$C$4:$E$985,3,0)</f>
        <v>02/04/2022</v>
      </c>
      <c r="P535" s="378"/>
      <c r="Q535" s="145"/>
      <c r="R535" s="150"/>
    </row>
    <row r="536" spans="1:18" ht="35.25" hidden="1" customHeight="1">
      <c r="A536" s="15">
        <f t="shared" si="8"/>
        <v>526</v>
      </c>
      <c r="B536" s="142" t="s">
        <v>1008</v>
      </c>
      <c r="C536" s="150" t="s">
        <v>723</v>
      </c>
      <c r="D536" s="156"/>
      <c r="E536" s="156"/>
      <c r="F536" s="156"/>
      <c r="G536" s="143"/>
      <c r="H536" s="141"/>
      <c r="I536" s="153" t="s">
        <v>624</v>
      </c>
      <c r="J536" s="153">
        <v>1</v>
      </c>
      <c r="K536" s="144" t="s">
        <v>730</v>
      </c>
      <c r="L536" s="142" t="s">
        <v>567</v>
      </c>
      <c r="M536" s="11" t="str">
        <f>VLOOKUP(N536,'Mã NV'!$A$3:$B$196,2,0)</f>
        <v>PU11</v>
      </c>
      <c r="N536" s="306" t="s">
        <v>646</v>
      </c>
      <c r="O536" s="380" t="str">
        <f>VLOOKUP(B536,'Tổng hợp (3)'!$C$4:$E$985,3,0)</f>
        <v>02/04/2022</v>
      </c>
      <c r="P536" s="378"/>
      <c r="Q536" s="145"/>
      <c r="R536" s="150"/>
    </row>
    <row r="537" spans="1:18" ht="35.25" hidden="1" customHeight="1">
      <c r="A537" s="15">
        <f t="shared" si="8"/>
        <v>527</v>
      </c>
      <c r="B537" s="142" t="s">
        <v>1009</v>
      </c>
      <c r="C537" s="150" t="s">
        <v>723</v>
      </c>
      <c r="D537" s="156"/>
      <c r="E537" s="156"/>
      <c r="F537" s="156"/>
      <c r="G537" s="143"/>
      <c r="H537" s="141"/>
      <c r="I537" s="153" t="s">
        <v>624</v>
      </c>
      <c r="J537" s="153">
        <v>1</v>
      </c>
      <c r="K537" s="144" t="s">
        <v>730</v>
      </c>
      <c r="L537" s="142" t="s">
        <v>567</v>
      </c>
      <c r="M537" s="11" t="str">
        <f>VLOOKUP(N537,'Mã NV'!$A$3:$B$196,2,0)</f>
        <v>PU11</v>
      </c>
      <c r="N537" s="306" t="s">
        <v>646</v>
      </c>
      <c r="O537" s="380" t="str">
        <f>VLOOKUP(B537,'Tổng hợp (3)'!$C$4:$E$985,3,0)</f>
        <v>02/04/2022</v>
      </c>
      <c r="P537" s="378"/>
      <c r="Q537" s="145"/>
      <c r="R537" s="150"/>
    </row>
    <row r="538" spans="1:18" ht="35.25" hidden="1" customHeight="1">
      <c r="A538" s="15">
        <f t="shared" si="8"/>
        <v>528</v>
      </c>
      <c r="B538" s="142" t="s">
        <v>1010</v>
      </c>
      <c r="C538" s="150" t="s">
        <v>723</v>
      </c>
      <c r="D538" s="19"/>
      <c r="E538" s="19"/>
      <c r="F538" s="19"/>
      <c r="G538" s="143"/>
      <c r="H538" s="141"/>
      <c r="I538" s="153" t="s">
        <v>624</v>
      </c>
      <c r="J538" s="153">
        <v>1</v>
      </c>
      <c r="K538" s="144" t="s">
        <v>730</v>
      </c>
      <c r="L538" s="142" t="s">
        <v>567</v>
      </c>
      <c r="M538" s="11" t="str">
        <f>VLOOKUP(N538,'Mã NV'!$A$3:$B$196,2,0)</f>
        <v>PU11</v>
      </c>
      <c r="N538" s="306" t="s">
        <v>646</v>
      </c>
      <c r="O538" s="380" t="str">
        <f>VLOOKUP(B538,'Tổng hợp (3)'!$C$4:$E$985,3,0)</f>
        <v>02/04/2022</v>
      </c>
      <c r="P538" s="378"/>
      <c r="Q538" s="43"/>
      <c r="R538" s="150"/>
    </row>
    <row r="539" spans="1:18" ht="35.25" hidden="1" customHeight="1">
      <c r="A539" s="15">
        <f t="shared" si="8"/>
        <v>529</v>
      </c>
      <c r="B539" s="142" t="s">
        <v>1011</v>
      </c>
      <c r="C539" s="150" t="s">
        <v>723</v>
      </c>
      <c r="D539" s="19"/>
      <c r="E539" s="19"/>
      <c r="F539" s="19"/>
      <c r="G539" s="143"/>
      <c r="H539" s="141"/>
      <c r="I539" s="153" t="s">
        <v>624</v>
      </c>
      <c r="J539" s="153">
        <v>1</v>
      </c>
      <c r="K539" s="144" t="s">
        <v>730</v>
      </c>
      <c r="L539" s="142" t="s">
        <v>567</v>
      </c>
      <c r="M539" s="11" t="str">
        <f>VLOOKUP(N539,'Mã NV'!$A$3:$B$196,2,0)</f>
        <v>PU11</v>
      </c>
      <c r="N539" s="306" t="s">
        <v>646</v>
      </c>
      <c r="O539" s="380" t="str">
        <f>VLOOKUP(B539,'Tổng hợp (3)'!$C$4:$E$985,3,0)</f>
        <v>02/04/2022</v>
      </c>
      <c r="P539" s="378"/>
      <c r="Q539" s="43"/>
      <c r="R539" s="150"/>
    </row>
    <row r="540" spans="1:18" ht="35.25" hidden="1" customHeight="1">
      <c r="A540" s="15">
        <f t="shared" si="8"/>
        <v>530</v>
      </c>
      <c r="B540" s="142" t="s">
        <v>1012</v>
      </c>
      <c r="C540" s="150" t="s">
        <v>723</v>
      </c>
      <c r="D540" s="19"/>
      <c r="E540" s="19"/>
      <c r="F540" s="19"/>
      <c r="G540" s="143"/>
      <c r="H540" s="141"/>
      <c r="I540" s="153" t="s">
        <v>624</v>
      </c>
      <c r="J540" s="153">
        <v>1</v>
      </c>
      <c r="K540" s="144" t="s">
        <v>730</v>
      </c>
      <c r="L540" s="142" t="s">
        <v>567</v>
      </c>
      <c r="M540" s="11" t="str">
        <f>VLOOKUP(N540,'Mã NV'!$A$3:$B$196,2,0)</f>
        <v>PU11</v>
      </c>
      <c r="N540" s="306" t="s">
        <v>646</v>
      </c>
      <c r="O540" s="380" t="str">
        <f>VLOOKUP(B540,'Tổng hợp (3)'!$C$4:$E$985,3,0)</f>
        <v>02/04/2022</v>
      </c>
      <c r="P540" s="378"/>
      <c r="Q540" s="43"/>
      <c r="R540" s="150"/>
    </row>
    <row r="541" spans="1:18" ht="35.25" hidden="1" customHeight="1">
      <c r="A541" s="15">
        <f t="shared" si="8"/>
        <v>531</v>
      </c>
      <c r="B541" s="142" t="s">
        <v>1013</v>
      </c>
      <c r="C541" s="150" t="s">
        <v>723</v>
      </c>
      <c r="D541" s="156"/>
      <c r="E541" s="156"/>
      <c r="F541" s="156"/>
      <c r="G541" s="143"/>
      <c r="H541" s="141"/>
      <c r="I541" s="153" t="s">
        <v>624</v>
      </c>
      <c r="J541" s="153">
        <v>1</v>
      </c>
      <c r="K541" s="144" t="s">
        <v>730</v>
      </c>
      <c r="L541" s="142" t="s">
        <v>567</v>
      </c>
      <c r="M541" s="11" t="str">
        <f>VLOOKUP(N541,'Mã NV'!$A$3:$B$196,2,0)</f>
        <v>PU11</v>
      </c>
      <c r="N541" s="306" t="s">
        <v>646</v>
      </c>
      <c r="O541" s="380" t="str">
        <f>VLOOKUP(B541,'Tổng hợp (3)'!$C$4:$E$985,3,0)</f>
        <v>02/04/2022</v>
      </c>
      <c r="P541" s="378"/>
      <c r="Q541" s="145"/>
      <c r="R541" s="150"/>
    </row>
    <row r="542" spans="1:18" ht="35.25" hidden="1" customHeight="1">
      <c r="A542" s="15">
        <f t="shared" si="8"/>
        <v>532</v>
      </c>
      <c r="B542" s="142" t="s">
        <v>1014</v>
      </c>
      <c r="C542" s="150" t="s">
        <v>723</v>
      </c>
      <c r="D542" s="156"/>
      <c r="E542" s="156"/>
      <c r="F542" s="156"/>
      <c r="G542" s="143"/>
      <c r="H542" s="141"/>
      <c r="I542" s="153" t="s">
        <v>624</v>
      </c>
      <c r="J542" s="153">
        <v>1</v>
      </c>
      <c r="K542" s="144" t="s">
        <v>730</v>
      </c>
      <c r="L542" s="142" t="s">
        <v>567</v>
      </c>
      <c r="M542" s="11" t="str">
        <f>VLOOKUP(N542,'Mã NV'!$A$3:$B$196,2,0)</f>
        <v>PU11</v>
      </c>
      <c r="N542" s="306" t="s">
        <v>646</v>
      </c>
      <c r="O542" s="380" t="str">
        <f>VLOOKUP(B542,'Tổng hợp (3)'!$C$4:$E$985,3,0)</f>
        <v>02/04/2022</v>
      </c>
      <c r="P542" s="378"/>
      <c r="Q542" s="145"/>
      <c r="R542" s="150"/>
    </row>
    <row r="543" spans="1:18" ht="35.25" hidden="1" customHeight="1">
      <c r="A543" s="15">
        <f t="shared" si="8"/>
        <v>533</v>
      </c>
      <c r="B543" s="142" t="s">
        <v>1015</v>
      </c>
      <c r="C543" s="150" t="s">
        <v>723</v>
      </c>
      <c r="D543" s="156"/>
      <c r="E543" s="156"/>
      <c r="F543" s="156"/>
      <c r="G543" s="143"/>
      <c r="H543" s="141"/>
      <c r="I543" s="153" t="s">
        <v>624</v>
      </c>
      <c r="J543" s="153">
        <v>1</v>
      </c>
      <c r="K543" s="144" t="s">
        <v>730</v>
      </c>
      <c r="L543" s="142" t="s">
        <v>567</v>
      </c>
      <c r="M543" s="11" t="str">
        <f>VLOOKUP(N543,'Mã NV'!$A$3:$B$196,2,0)</f>
        <v>PU11</v>
      </c>
      <c r="N543" s="306" t="s">
        <v>646</v>
      </c>
      <c r="O543" s="380" t="str">
        <f>VLOOKUP(B543,'Tổng hợp (3)'!$C$4:$E$985,3,0)</f>
        <v>02/04/2022</v>
      </c>
      <c r="P543" s="378"/>
      <c r="Q543" s="145"/>
      <c r="R543" s="150"/>
    </row>
    <row r="544" spans="1:18" ht="35.25" hidden="1" customHeight="1">
      <c r="A544" s="15">
        <f t="shared" si="8"/>
        <v>534</v>
      </c>
      <c r="B544" s="142" t="s">
        <v>1016</v>
      </c>
      <c r="C544" s="150" t="s">
        <v>723</v>
      </c>
      <c r="D544" s="156"/>
      <c r="E544" s="156"/>
      <c r="F544" s="156"/>
      <c r="G544" s="143"/>
      <c r="H544" s="141"/>
      <c r="I544" s="153" t="s">
        <v>624</v>
      </c>
      <c r="J544" s="153">
        <v>1</v>
      </c>
      <c r="K544" s="144" t="s">
        <v>730</v>
      </c>
      <c r="L544" s="142" t="s">
        <v>567</v>
      </c>
      <c r="M544" s="11" t="str">
        <f>VLOOKUP(N544,'Mã NV'!$A$3:$B$196,2,0)</f>
        <v>PU11</v>
      </c>
      <c r="N544" s="306" t="s">
        <v>646</v>
      </c>
      <c r="O544" s="380" t="str">
        <f>VLOOKUP(B544,'Tổng hợp (3)'!$C$4:$E$985,3,0)</f>
        <v>02/04/2022</v>
      </c>
      <c r="P544" s="378"/>
      <c r="Q544" s="145"/>
      <c r="R544" s="150"/>
    </row>
    <row r="545" spans="1:39" ht="35.25" hidden="1" customHeight="1">
      <c r="A545" s="15">
        <f t="shared" si="8"/>
        <v>535</v>
      </c>
      <c r="B545" s="142" t="s">
        <v>1017</v>
      </c>
      <c r="C545" s="150" t="s">
        <v>723</v>
      </c>
      <c r="D545" s="156"/>
      <c r="E545" s="156"/>
      <c r="F545" s="156"/>
      <c r="G545" s="143"/>
      <c r="H545" s="141"/>
      <c r="I545" s="153" t="s">
        <v>624</v>
      </c>
      <c r="J545" s="153">
        <v>1</v>
      </c>
      <c r="K545" s="144" t="s">
        <v>730</v>
      </c>
      <c r="L545" s="142" t="s">
        <v>567</v>
      </c>
      <c r="M545" s="11" t="str">
        <f>VLOOKUP(N545,'Mã NV'!$A$3:$B$196,2,0)</f>
        <v>PU11</v>
      </c>
      <c r="N545" s="306" t="s">
        <v>646</v>
      </c>
      <c r="O545" s="380" t="str">
        <f>VLOOKUP(B545,'Tổng hợp (3)'!$C$4:$E$985,3,0)</f>
        <v>02/04/2022</v>
      </c>
      <c r="P545" s="378"/>
      <c r="Q545" s="145"/>
      <c r="R545" s="150"/>
    </row>
    <row r="546" spans="1:39" ht="35.25" hidden="1" customHeight="1">
      <c r="A546" s="15">
        <f t="shared" si="8"/>
        <v>536</v>
      </c>
      <c r="B546" s="142" t="s">
        <v>1018</v>
      </c>
      <c r="C546" s="150" t="s">
        <v>723</v>
      </c>
      <c r="D546" s="156"/>
      <c r="E546" s="156"/>
      <c r="F546" s="156"/>
      <c r="G546" s="143"/>
      <c r="H546" s="141"/>
      <c r="I546" s="153" t="s">
        <v>624</v>
      </c>
      <c r="J546" s="153">
        <v>1</v>
      </c>
      <c r="K546" s="144" t="s">
        <v>730</v>
      </c>
      <c r="L546" s="142" t="s">
        <v>567</v>
      </c>
      <c r="M546" s="11" t="str">
        <f>VLOOKUP(N546,'Mã NV'!$A$3:$B$196,2,0)</f>
        <v>PU11</v>
      </c>
      <c r="N546" s="306" t="s">
        <v>646</v>
      </c>
      <c r="O546" s="380" t="str">
        <f>VLOOKUP(B546,'Tổng hợp (3)'!$C$4:$E$985,3,0)</f>
        <v>02/04/2022</v>
      </c>
      <c r="P546" s="378"/>
      <c r="Q546" s="145"/>
      <c r="R546" s="150"/>
    </row>
    <row r="547" spans="1:39" ht="35.25" hidden="1" customHeight="1">
      <c r="A547" s="15">
        <f t="shared" si="8"/>
        <v>537</v>
      </c>
      <c r="B547" s="142" t="s">
        <v>1019</v>
      </c>
      <c r="C547" s="150" t="s">
        <v>723</v>
      </c>
      <c r="D547" s="156"/>
      <c r="E547" s="156"/>
      <c r="F547" s="156"/>
      <c r="G547" s="143"/>
      <c r="H547" s="141"/>
      <c r="I547" s="153" t="s">
        <v>624</v>
      </c>
      <c r="J547" s="153">
        <v>1</v>
      </c>
      <c r="K547" s="144" t="s">
        <v>730</v>
      </c>
      <c r="L547" s="142" t="s">
        <v>567</v>
      </c>
      <c r="M547" s="11" t="str">
        <f>VLOOKUP(N547,'Mã NV'!$A$3:$B$196,2,0)</f>
        <v>PU11</v>
      </c>
      <c r="N547" s="306" t="s">
        <v>646</v>
      </c>
      <c r="O547" s="380" t="str">
        <f>VLOOKUP(B547,'Tổng hợp (3)'!$C$4:$E$985,3,0)</f>
        <v>02/04/2022</v>
      </c>
      <c r="P547" s="378"/>
      <c r="Q547" s="145"/>
      <c r="R547" s="150"/>
    </row>
    <row r="548" spans="1:39" ht="35.25" hidden="1" customHeight="1">
      <c r="A548" s="15">
        <f t="shared" si="8"/>
        <v>538</v>
      </c>
      <c r="B548" s="142" t="s">
        <v>1020</v>
      </c>
      <c r="C548" s="150" t="s">
        <v>723</v>
      </c>
      <c r="D548" s="156"/>
      <c r="E548" s="156"/>
      <c r="F548" s="156"/>
      <c r="G548" s="143"/>
      <c r="H548" s="141"/>
      <c r="I548" s="153" t="s">
        <v>624</v>
      </c>
      <c r="J548" s="153">
        <v>1</v>
      </c>
      <c r="K548" s="144" t="s">
        <v>730</v>
      </c>
      <c r="L548" s="142" t="s">
        <v>567</v>
      </c>
      <c r="M548" s="11" t="str">
        <f>VLOOKUP(N548,'Mã NV'!$A$3:$B$196,2,0)</f>
        <v>PU11</v>
      </c>
      <c r="N548" s="306" t="s">
        <v>646</v>
      </c>
      <c r="O548" s="380" t="str">
        <f>VLOOKUP(B548,'Tổng hợp (3)'!$C$4:$E$985,3,0)</f>
        <v>02/04/2022</v>
      </c>
      <c r="P548" s="378"/>
      <c r="Q548" s="145"/>
      <c r="R548" s="150"/>
    </row>
    <row r="549" spans="1:39" ht="35.25" hidden="1" customHeight="1">
      <c r="A549" s="15">
        <f t="shared" si="8"/>
        <v>539</v>
      </c>
      <c r="B549" s="142" t="s">
        <v>1021</v>
      </c>
      <c r="C549" s="150" t="s">
        <v>723</v>
      </c>
      <c r="D549" s="169"/>
      <c r="E549" s="169"/>
      <c r="F549" s="169"/>
      <c r="G549" s="143"/>
      <c r="H549" s="141"/>
      <c r="I549" s="153" t="s">
        <v>624</v>
      </c>
      <c r="J549" s="153">
        <v>1</v>
      </c>
      <c r="K549" s="144" t="s">
        <v>730</v>
      </c>
      <c r="L549" s="142" t="s">
        <v>567</v>
      </c>
      <c r="M549" s="11" t="str">
        <f>VLOOKUP(N549,'Mã NV'!$A$3:$B$196,2,0)</f>
        <v>PU11</v>
      </c>
      <c r="N549" s="306" t="s">
        <v>646</v>
      </c>
      <c r="O549" s="380" t="str">
        <f>VLOOKUP(B549,'Tổng hợp (3)'!$C$4:$E$985,3,0)</f>
        <v>02/04/2022</v>
      </c>
      <c r="P549" s="378"/>
      <c r="Q549" s="145"/>
      <c r="R549" s="150"/>
    </row>
    <row r="550" spans="1:39" ht="35.25" hidden="1" customHeight="1">
      <c r="A550" s="15">
        <f t="shared" si="8"/>
        <v>540</v>
      </c>
      <c r="B550" s="142" t="s">
        <v>1022</v>
      </c>
      <c r="C550" s="150" t="s">
        <v>723</v>
      </c>
      <c r="D550" s="156"/>
      <c r="E550" s="156"/>
      <c r="F550" s="156"/>
      <c r="G550" s="143"/>
      <c r="H550" s="141"/>
      <c r="I550" s="153" t="s">
        <v>624</v>
      </c>
      <c r="J550" s="153">
        <v>1</v>
      </c>
      <c r="K550" s="144" t="s">
        <v>730</v>
      </c>
      <c r="L550" s="142" t="s">
        <v>567</v>
      </c>
      <c r="M550" s="11" t="str">
        <f>VLOOKUP(N550,'Mã NV'!$A$3:$B$196,2,0)</f>
        <v>PU11</v>
      </c>
      <c r="N550" s="306" t="s">
        <v>646</v>
      </c>
      <c r="O550" s="380" t="str">
        <f>VLOOKUP(B550,'Tổng hợp (3)'!$C$4:$E$985,3,0)</f>
        <v>02/04/2022</v>
      </c>
      <c r="P550" s="378"/>
      <c r="Q550" s="145"/>
      <c r="R550" s="150"/>
    </row>
    <row r="551" spans="1:39" ht="35.25" hidden="1" customHeight="1">
      <c r="A551" s="15">
        <f t="shared" si="8"/>
        <v>541</v>
      </c>
      <c r="B551" s="142" t="s">
        <v>1023</v>
      </c>
      <c r="C551" s="150" t="s">
        <v>723</v>
      </c>
      <c r="D551" s="156"/>
      <c r="E551" s="156"/>
      <c r="F551" s="156"/>
      <c r="G551" s="143"/>
      <c r="H551" s="141"/>
      <c r="I551" s="153" t="s">
        <v>624</v>
      </c>
      <c r="J551" s="153">
        <v>1</v>
      </c>
      <c r="K551" s="144" t="s">
        <v>730</v>
      </c>
      <c r="L551" s="142" t="s">
        <v>567</v>
      </c>
      <c r="M551" s="11" t="str">
        <f>VLOOKUP(N551,'Mã NV'!$A$3:$B$196,2,0)</f>
        <v>PU11</v>
      </c>
      <c r="N551" s="306" t="s">
        <v>646</v>
      </c>
      <c r="O551" s="380" t="str">
        <f>VLOOKUP(B551,'Tổng hợp (3)'!$C$4:$E$985,3,0)</f>
        <v>02/04/2022</v>
      </c>
      <c r="P551" s="378"/>
      <c r="Q551" s="145"/>
      <c r="R551" s="150"/>
    </row>
    <row r="552" spans="1:39" ht="35.25" hidden="1" customHeight="1">
      <c r="A552" s="15">
        <f t="shared" si="8"/>
        <v>542</v>
      </c>
      <c r="B552" s="142" t="s">
        <v>1024</v>
      </c>
      <c r="C552" s="150" t="s">
        <v>723</v>
      </c>
      <c r="D552" s="156"/>
      <c r="E552" s="156"/>
      <c r="F552" s="156"/>
      <c r="G552" s="143"/>
      <c r="H552" s="141"/>
      <c r="I552" s="153" t="s">
        <v>624</v>
      </c>
      <c r="J552" s="153">
        <v>1</v>
      </c>
      <c r="K552" s="144" t="s">
        <v>730</v>
      </c>
      <c r="L552" s="142" t="s">
        <v>567</v>
      </c>
      <c r="M552" s="11" t="str">
        <f>VLOOKUP(N552,'Mã NV'!$A$3:$B$196,2,0)</f>
        <v>PU11</v>
      </c>
      <c r="N552" s="306" t="s">
        <v>646</v>
      </c>
      <c r="O552" s="380" t="str">
        <f>VLOOKUP(B552,'Tổng hợp (3)'!$C$4:$E$985,3,0)</f>
        <v>02/04/2022</v>
      </c>
      <c r="P552" s="378"/>
      <c r="Q552" s="145"/>
      <c r="R552" s="150"/>
    </row>
    <row r="553" spans="1:39" ht="35.25" hidden="1" customHeight="1">
      <c r="A553" s="15">
        <f t="shared" si="8"/>
        <v>543</v>
      </c>
      <c r="B553" s="142" t="s">
        <v>1025</v>
      </c>
      <c r="C553" s="150" t="s">
        <v>723</v>
      </c>
      <c r="D553" s="156"/>
      <c r="E553" s="156"/>
      <c r="F553" s="156"/>
      <c r="G553" s="143"/>
      <c r="H553" s="141"/>
      <c r="I553" s="153" t="s">
        <v>624</v>
      </c>
      <c r="J553" s="153">
        <v>1</v>
      </c>
      <c r="K553" s="144" t="s">
        <v>730</v>
      </c>
      <c r="L553" s="142" t="s">
        <v>567</v>
      </c>
      <c r="M553" s="11" t="str">
        <f>VLOOKUP(N553,'Mã NV'!$A$3:$B$196,2,0)</f>
        <v>PU11</v>
      </c>
      <c r="N553" s="306" t="s">
        <v>646</v>
      </c>
      <c r="O553" s="380" t="str">
        <f>VLOOKUP(B553,'Tổng hợp (3)'!$C$4:$E$985,3,0)</f>
        <v>02/04/2022</v>
      </c>
      <c r="P553" s="378"/>
      <c r="Q553" s="145"/>
      <c r="R553" s="150"/>
    </row>
    <row r="554" spans="1:39" s="136" customFormat="1" ht="35.25" hidden="1" customHeight="1">
      <c r="A554" s="15">
        <f t="shared" si="8"/>
        <v>544</v>
      </c>
      <c r="B554" s="142" t="s">
        <v>1026</v>
      </c>
      <c r="C554" s="150" t="s">
        <v>723</v>
      </c>
      <c r="D554" s="156"/>
      <c r="E554" s="156"/>
      <c r="F554" s="156"/>
      <c r="G554" s="143"/>
      <c r="H554" s="141"/>
      <c r="I554" s="153" t="s">
        <v>624</v>
      </c>
      <c r="J554" s="153">
        <v>1</v>
      </c>
      <c r="K554" s="144" t="s">
        <v>730</v>
      </c>
      <c r="L554" s="142" t="s">
        <v>567</v>
      </c>
      <c r="M554" s="11" t="str">
        <f>VLOOKUP(N554,'Mã NV'!$A$3:$B$196,2,0)</f>
        <v>PU11</v>
      </c>
      <c r="N554" s="306" t="s">
        <v>646</v>
      </c>
      <c r="O554" s="380" t="str">
        <f>VLOOKUP(B554,'Tổng hợp (3)'!$C$4:$E$985,3,0)</f>
        <v>02/04/2022</v>
      </c>
      <c r="P554" s="156"/>
      <c r="Q554" s="145"/>
      <c r="R554" s="150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</row>
    <row r="555" spans="1:39" s="136" customFormat="1" ht="35.25" hidden="1" customHeight="1">
      <c r="A555" s="15">
        <f t="shared" si="8"/>
        <v>545</v>
      </c>
      <c r="B555" s="142" t="s">
        <v>1027</v>
      </c>
      <c r="C555" s="150" t="s">
        <v>723</v>
      </c>
      <c r="D555" s="156"/>
      <c r="E555" s="156"/>
      <c r="F555" s="156"/>
      <c r="G555" s="143"/>
      <c r="H555" s="141"/>
      <c r="I555" s="153" t="s">
        <v>624</v>
      </c>
      <c r="J555" s="153">
        <v>1</v>
      </c>
      <c r="K555" s="144" t="s">
        <v>730</v>
      </c>
      <c r="L555" s="142" t="s">
        <v>567</v>
      </c>
      <c r="M555" s="11" t="str">
        <f>VLOOKUP(N555,'Mã NV'!$A$3:$B$196,2,0)</f>
        <v>PU11</v>
      </c>
      <c r="N555" s="306" t="s">
        <v>646</v>
      </c>
      <c r="O555" s="380" t="str">
        <f>VLOOKUP(B555,'Tổng hợp (3)'!$C$4:$E$985,3,0)</f>
        <v>02/04/2022</v>
      </c>
      <c r="P555" s="156"/>
      <c r="Q555" s="145"/>
      <c r="R555" s="150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</row>
    <row r="556" spans="1:39" ht="35.25" hidden="1" customHeight="1">
      <c r="A556" s="15">
        <f t="shared" si="8"/>
        <v>546</v>
      </c>
      <c r="B556" s="142" t="s">
        <v>1028</v>
      </c>
      <c r="C556" s="150" t="s">
        <v>723</v>
      </c>
      <c r="D556" s="156"/>
      <c r="E556" s="156"/>
      <c r="F556" s="156"/>
      <c r="G556" s="143"/>
      <c r="H556" s="141"/>
      <c r="I556" s="153" t="s">
        <v>624</v>
      </c>
      <c r="J556" s="153">
        <v>1</v>
      </c>
      <c r="K556" s="144" t="s">
        <v>730</v>
      </c>
      <c r="L556" s="142" t="s">
        <v>567</v>
      </c>
      <c r="M556" s="11" t="str">
        <f>VLOOKUP(N556,'Mã NV'!$A$3:$B$196,2,0)</f>
        <v>PU11</v>
      </c>
      <c r="N556" s="306" t="s">
        <v>646</v>
      </c>
      <c r="O556" s="380" t="str">
        <f>VLOOKUP(B556,'Tổng hợp (3)'!$C$4:$E$985,3,0)</f>
        <v>02/04/2022</v>
      </c>
      <c r="P556" s="378"/>
      <c r="Q556" s="145"/>
      <c r="R556" s="150"/>
    </row>
    <row r="557" spans="1:39" s="136" customFormat="1" ht="35.25" hidden="1" customHeight="1">
      <c r="A557" s="15">
        <f t="shared" si="8"/>
        <v>547</v>
      </c>
      <c r="B557" s="142" t="s">
        <v>1029</v>
      </c>
      <c r="C557" s="150" t="s">
        <v>723</v>
      </c>
      <c r="D557" s="156"/>
      <c r="E557" s="156"/>
      <c r="F557" s="156"/>
      <c r="G557" s="143"/>
      <c r="H557" s="141"/>
      <c r="I557" s="153" t="s">
        <v>624</v>
      </c>
      <c r="J557" s="153">
        <v>1</v>
      </c>
      <c r="K557" s="144" t="s">
        <v>730</v>
      </c>
      <c r="L557" s="142" t="s">
        <v>567</v>
      </c>
      <c r="M557" s="11" t="str">
        <f>VLOOKUP(N557,'Mã NV'!$A$3:$B$196,2,0)</f>
        <v>PU11</v>
      </c>
      <c r="N557" s="306" t="s">
        <v>646</v>
      </c>
      <c r="O557" s="380" t="str">
        <f>VLOOKUP(B557,'Tổng hợp (3)'!$C$4:$E$985,3,0)</f>
        <v>02/04/2022</v>
      </c>
      <c r="P557" s="156"/>
      <c r="Q557" s="145"/>
      <c r="R557" s="150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</row>
    <row r="558" spans="1:39" s="136" customFormat="1" ht="35.25" hidden="1" customHeight="1">
      <c r="A558" s="15">
        <f t="shared" si="8"/>
        <v>548</v>
      </c>
      <c r="B558" s="142" t="s">
        <v>1030</v>
      </c>
      <c r="C558" s="150" t="s">
        <v>723</v>
      </c>
      <c r="D558" s="156"/>
      <c r="E558" s="156"/>
      <c r="F558" s="156"/>
      <c r="G558" s="143"/>
      <c r="H558" s="141"/>
      <c r="I558" s="153" t="s">
        <v>624</v>
      </c>
      <c r="J558" s="153">
        <v>1</v>
      </c>
      <c r="K558" s="144" t="s">
        <v>730</v>
      </c>
      <c r="L558" s="142" t="s">
        <v>567</v>
      </c>
      <c r="M558" s="11" t="str">
        <f>VLOOKUP(N558,'Mã NV'!$A$3:$B$196,2,0)</f>
        <v>PU11</v>
      </c>
      <c r="N558" s="306" t="s">
        <v>646</v>
      </c>
      <c r="O558" s="380" t="str">
        <f>VLOOKUP(B558,'Tổng hợp (3)'!$C$4:$E$985,3,0)</f>
        <v>02/04/2022</v>
      </c>
      <c r="P558" s="156"/>
      <c r="Q558" s="145"/>
      <c r="R558" s="150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</row>
    <row r="559" spans="1:39" s="136" customFormat="1" ht="35.25" hidden="1" customHeight="1">
      <c r="A559" s="15">
        <f t="shared" si="8"/>
        <v>549</v>
      </c>
      <c r="B559" s="142" t="s">
        <v>1031</v>
      </c>
      <c r="C559" s="150" t="s">
        <v>723</v>
      </c>
      <c r="D559" s="156"/>
      <c r="E559" s="156"/>
      <c r="F559" s="156"/>
      <c r="G559" s="143"/>
      <c r="H559" s="141"/>
      <c r="I559" s="153" t="s">
        <v>624</v>
      </c>
      <c r="J559" s="153">
        <v>1</v>
      </c>
      <c r="K559" s="144" t="s">
        <v>730</v>
      </c>
      <c r="L559" s="142" t="s">
        <v>567</v>
      </c>
      <c r="M559" s="11" t="str">
        <f>VLOOKUP(N559,'Mã NV'!$A$3:$B$196,2,0)</f>
        <v>PU11</v>
      </c>
      <c r="N559" s="306" t="s">
        <v>646</v>
      </c>
      <c r="O559" s="380" t="str">
        <f>VLOOKUP(B559,'Tổng hợp (3)'!$C$4:$E$985,3,0)</f>
        <v>02/04/2022</v>
      </c>
      <c r="P559" s="156"/>
      <c r="Q559" s="145"/>
      <c r="R559" s="150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</row>
    <row r="560" spans="1:39" s="136" customFormat="1" ht="35.25" hidden="1" customHeight="1">
      <c r="A560" s="15">
        <f t="shared" si="8"/>
        <v>550</v>
      </c>
      <c r="B560" s="142" t="s">
        <v>1032</v>
      </c>
      <c r="C560" s="150" t="s">
        <v>723</v>
      </c>
      <c r="D560" s="156"/>
      <c r="E560" s="156"/>
      <c r="F560" s="156"/>
      <c r="G560" s="143"/>
      <c r="H560" s="141"/>
      <c r="I560" s="153" t="s">
        <v>624</v>
      </c>
      <c r="J560" s="153">
        <v>1</v>
      </c>
      <c r="K560" s="144" t="s">
        <v>730</v>
      </c>
      <c r="L560" s="142" t="s">
        <v>567</v>
      </c>
      <c r="M560" s="11" t="str">
        <f>VLOOKUP(N560,'Mã NV'!$A$3:$B$196,2,0)</f>
        <v>PU11</v>
      </c>
      <c r="N560" s="306" t="s">
        <v>646</v>
      </c>
      <c r="O560" s="380" t="str">
        <f>VLOOKUP(B560,'Tổng hợp (3)'!$C$4:$E$985,3,0)</f>
        <v>02/04/2022</v>
      </c>
      <c r="P560" s="156"/>
      <c r="Q560" s="145"/>
      <c r="R560" s="15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</row>
    <row r="561" spans="1:39" s="136" customFormat="1" ht="35.25" hidden="1" customHeight="1">
      <c r="A561" s="15">
        <f t="shared" si="8"/>
        <v>551</v>
      </c>
      <c r="B561" s="142" t="s">
        <v>1033</v>
      </c>
      <c r="C561" s="150" t="s">
        <v>723</v>
      </c>
      <c r="D561" s="156"/>
      <c r="E561" s="156"/>
      <c r="F561" s="156"/>
      <c r="G561" s="143"/>
      <c r="H561" s="141"/>
      <c r="I561" s="153" t="s">
        <v>624</v>
      </c>
      <c r="J561" s="153">
        <v>1</v>
      </c>
      <c r="K561" s="144" t="s">
        <v>730</v>
      </c>
      <c r="L561" s="142" t="s">
        <v>567</v>
      </c>
      <c r="M561" s="11" t="str">
        <f>VLOOKUP(N561,'Mã NV'!$A$3:$B$196,2,0)</f>
        <v>PU11</v>
      </c>
      <c r="N561" s="306" t="s">
        <v>646</v>
      </c>
      <c r="O561" s="380" t="str">
        <f>VLOOKUP(B561,'Tổng hợp (3)'!$C$4:$E$985,3,0)</f>
        <v>02/04/2022</v>
      </c>
      <c r="P561" s="156"/>
      <c r="Q561" s="145"/>
      <c r="R561" s="150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</row>
    <row r="562" spans="1:39" s="136" customFormat="1" ht="35.25" hidden="1" customHeight="1">
      <c r="A562" s="15">
        <f t="shared" si="8"/>
        <v>552</v>
      </c>
      <c r="B562" s="142" t="s">
        <v>1034</v>
      </c>
      <c r="C562" s="150" t="s">
        <v>723</v>
      </c>
      <c r="D562" s="156"/>
      <c r="E562" s="156"/>
      <c r="F562" s="156"/>
      <c r="G562" s="143"/>
      <c r="H562" s="141"/>
      <c r="I562" s="153" t="s">
        <v>624</v>
      </c>
      <c r="J562" s="153">
        <v>1</v>
      </c>
      <c r="K562" s="144" t="s">
        <v>730</v>
      </c>
      <c r="L562" s="142" t="s">
        <v>567</v>
      </c>
      <c r="M562" s="11" t="str">
        <f>VLOOKUP(N562,'Mã NV'!$A$3:$B$196,2,0)</f>
        <v>PU11</v>
      </c>
      <c r="N562" s="306" t="s">
        <v>646</v>
      </c>
      <c r="O562" s="380" t="str">
        <f>VLOOKUP(B562,'Tổng hợp (3)'!$C$4:$E$985,3,0)</f>
        <v>02/04/2022</v>
      </c>
      <c r="P562" s="156"/>
      <c r="Q562" s="145"/>
      <c r="R562" s="150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</row>
    <row r="563" spans="1:39" ht="35.25" hidden="1" customHeight="1">
      <c r="A563" s="15">
        <f t="shared" si="8"/>
        <v>553</v>
      </c>
      <c r="B563" s="142" t="s">
        <v>1035</v>
      </c>
      <c r="C563" s="150" t="s">
        <v>723</v>
      </c>
      <c r="D563" s="156"/>
      <c r="E563" s="156"/>
      <c r="F563" s="156"/>
      <c r="G563" s="143"/>
      <c r="H563" s="141"/>
      <c r="I563" s="153" t="s">
        <v>624</v>
      </c>
      <c r="J563" s="153">
        <v>1</v>
      </c>
      <c r="K563" s="144" t="s">
        <v>730</v>
      </c>
      <c r="L563" s="142" t="s">
        <v>567</v>
      </c>
      <c r="M563" s="11" t="str">
        <f>VLOOKUP(N563,'Mã NV'!$A$3:$B$196,2,0)</f>
        <v>PU11</v>
      </c>
      <c r="N563" s="306" t="s">
        <v>646</v>
      </c>
      <c r="O563" s="380" t="str">
        <f>VLOOKUP(B563,'Tổng hợp (3)'!$C$4:$E$985,3,0)</f>
        <v>02/04/2022</v>
      </c>
      <c r="P563" s="378"/>
      <c r="Q563" s="145"/>
      <c r="R563" s="150"/>
    </row>
    <row r="564" spans="1:39" ht="35.25" hidden="1" customHeight="1">
      <c r="A564" s="15">
        <f t="shared" si="8"/>
        <v>554</v>
      </c>
      <c r="B564" s="142" t="s">
        <v>1036</v>
      </c>
      <c r="C564" s="150" t="s">
        <v>723</v>
      </c>
      <c r="D564" s="156"/>
      <c r="E564" s="156"/>
      <c r="F564" s="156"/>
      <c r="G564" s="143"/>
      <c r="H564" s="141"/>
      <c r="I564" s="153" t="s">
        <v>624</v>
      </c>
      <c r="J564" s="153">
        <v>1</v>
      </c>
      <c r="K564" s="144" t="s">
        <v>730</v>
      </c>
      <c r="L564" s="142" t="s">
        <v>567</v>
      </c>
      <c r="M564" s="11" t="str">
        <f>VLOOKUP(N564,'Mã NV'!$A$3:$B$196,2,0)</f>
        <v>PU11</v>
      </c>
      <c r="N564" s="306" t="s">
        <v>646</v>
      </c>
      <c r="O564" s="380" t="str">
        <f>VLOOKUP(B564,'Tổng hợp (3)'!$C$4:$E$985,3,0)</f>
        <v>02/04/2022</v>
      </c>
      <c r="P564" s="378"/>
      <c r="Q564" s="145"/>
      <c r="R564" s="150"/>
    </row>
    <row r="565" spans="1:39" ht="35.25" hidden="1" customHeight="1">
      <c r="A565" s="15">
        <f t="shared" si="8"/>
        <v>555</v>
      </c>
      <c r="B565" s="142" t="s">
        <v>1037</v>
      </c>
      <c r="C565" s="150" t="s">
        <v>723</v>
      </c>
      <c r="D565" s="156"/>
      <c r="E565" s="156"/>
      <c r="F565" s="156"/>
      <c r="G565" s="143"/>
      <c r="H565" s="141"/>
      <c r="I565" s="153" t="s">
        <v>624</v>
      </c>
      <c r="J565" s="153">
        <v>1</v>
      </c>
      <c r="K565" s="144" t="s">
        <v>730</v>
      </c>
      <c r="L565" s="142" t="s">
        <v>567</v>
      </c>
      <c r="M565" s="11" t="str">
        <f>VLOOKUP(N565,'Mã NV'!$A$3:$B$196,2,0)</f>
        <v>PU11</v>
      </c>
      <c r="N565" s="306" t="s">
        <v>646</v>
      </c>
      <c r="O565" s="380" t="str">
        <f>VLOOKUP(B565,'Tổng hợp (3)'!$C$4:$E$985,3,0)</f>
        <v>02/04/2022</v>
      </c>
      <c r="P565" s="378"/>
      <c r="Q565" s="145"/>
      <c r="R565" s="150"/>
    </row>
    <row r="566" spans="1:39" ht="35.25" hidden="1" customHeight="1">
      <c r="A566" s="15">
        <f t="shared" si="8"/>
        <v>556</v>
      </c>
      <c r="B566" s="142" t="s">
        <v>1038</v>
      </c>
      <c r="C566" s="150" t="s">
        <v>723</v>
      </c>
      <c r="D566" s="145"/>
      <c r="E566" s="145"/>
      <c r="F566" s="145"/>
      <c r="G566" s="143"/>
      <c r="H566" s="141"/>
      <c r="I566" s="153" t="s">
        <v>624</v>
      </c>
      <c r="J566" s="153">
        <v>1</v>
      </c>
      <c r="K566" s="144" t="s">
        <v>730</v>
      </c>
      <c r="L566" s="142" t="s">
        <v>567</v>
      </c>
      <c r="M566" s="11" t="str">
        <f>VLOOKUP(N566,'Mã NV'!$A$3:$B$196,2,0)</f>
        <v>PU11</v>
      </c>
      <c r="N566" s="306" t="s">
        <v>646</v>
      </c>
      <c r="O566" s="380" t="str">
        <f>VLOOKUP(B566,'Tổng hợp (3)'!$C$4:$E$985,3,0)</f>
        <v>02/04/2022</v>
      </c>
      <c r="P566" s="378"/>
      <c r="Q566" s="145"/>
      <c r="R566" s="150"/>
    </row>
    <row r="567" spans="1:39" ht="35.25" hidden="1" customHeight="1">
      <c r="A567" s="15">
        <f t="shared" si="8"/>
        <v>557</v>
      </c>
      <c r="B567" s="142" t="s">
        <v>1039</v>
      </c>
      <c r="C567" s="150" t="s">
        <v>723</v>
      </c>
      <c r="D567" s="156"/>
      <c r="E567" s="156"/>
      <c r="F567" s="156"/>
      <c r="G567" s="143"/>
      <c r="H567" s="141"/>
      <c r="I567" s="153" t="s">
        <v>624</v>
      </c>
      <c r="J567" s="153">
        <v>1</v>
      </c>
      <c r="K567" s="144" t="s">
        <v>730</v>
      </c>
      <c r="L567" s="142" t="s">
        <v>567</v>
      </c>
      <c r="M567" s="11" t="str">
        <f>VLOOKUP(N567,'Mã NV'!$A$3:$B$196,2,0)</f>
        <v>PU11</v>
      </c>
      <c r="N567" s="306" t="s">
        <v>646</v>
      </c>
      <c r="O567" s="380" t="str">
        <f>VLOOKUP(B567,'Tổng hợp (3)'!$C$4:$E$985,3,0)</f>
        <v>02/04/2022</v>
      </c>
      <c r="P567" s="378"/>
      <c r="Q567" s="145"/>
      <c r="R567" s="150"/>
    </row>
    <row r="568" spans="1:39" ht="35.25" hidden="1" customHeight="1">
      <c r="A568" s="15">
        <f t="shared" si="8"/>
        <v>558</v>
      </c>
      <c r="B568" s="142" t="s">
        <v>1040</v>
      </c>
      <c r="C568" s="150" t="s">
        <v>723</v>
      </c>
      <c r="D568" s="156"/>
      <c r="E568" s="156"/>
      <c r="F568" s="156"/>
      <c r="G568" s="143"/>
      <c r="H568" s="141"/>
      <c r="I568" s="153" t="s">
        <v>624</v>
      </c>
      <c r="J568" s="153">
        <v>1</v>
      </c>
      <c r="K568" s="144" t="s">
        <v>730</v>
      </c>
      <c r="L568" s="142" t="s">
        <v>567</v>
      </c>
      <c r="M568" s="11" t="str">
        <f>VLOOKUP(N568,'Mã NV'!$A$3:$B$196,2,0)</f>
        <v>PU11</v>
      </c>
      <c r="N568" s="306" t="s">
        <v>646</v>
      </c>
      <c r="O568" s="380" t="str">
        <f>VLOOKUP(B568,'Tổng hợp (3)'!$C$4:$E$985,3,0)</f>
        <v>02/04/2022</v>
      </c>
      <c r="P568" s="378"/>
      <c r="Q568" s="145"/>
      <c r="R568" s="150"/>
    </row>
    <row r="569" spans="1:39" ht="35.25" hidden="1" customHeight="1">
      <c r="A569" s="15">
        <f t="shared" si="8"/>
        <v>559</v>
      </c>
      <c r="B569" s="142" t="s">
        <v>1041</v>
      </c>
      <c r="C569" s="150" t="s">
        <v>723</v>
      </c>
      <c r="D569" s="156"/>
      <c r="E569" s="156"/>
      <c r="F569" s="156"/>
      <c r="G569" s="143"/>
      <c r="H569" s="141"/>
      <c r="I569" s="153" t="s">
        <v>624</v>
      </c>
      <c r="J569" s="153">
        <v>1</v>
      </c>
      <c r="K569" s="144" t="s">
        <v>730</v>
      </c>
      <c r="L569" s="142" t="s">
        <v>567</v>
      </c>
      <c r="M569" s="11" t="str">
        <f>VLOOKUP(N569,'Mã NV'!$A$3:$B$196,2,0)</f>
        <v>PU11</v>
      </c>
      <c r="N569" s="306" t="s">
        <v>646</v>
      </c>
      <c r="O569" s="380" t="str">
        <f>VLOOKUP(B569,'Tổng hợp (3)'!$C$4:$E$985,3,0)</f>
        <v>02/04/2022</v>
      </c>
      <c r="P569" s="378"/>
      <c r="Q569" s="145"/>
      <c r="R569" s="150"/>
    </row>
    <row r="570" spans="1:39" ht="35.25" hidden="1" customHeight="1">
      <c r="A570" s="15">
        <f t="shared" si="8"/>
        <v>560</v>
      </c>
      <c r="B570" s="142" t="s">
        <v>1042</v>
      </c>
      <c r="C570" s="150" t="s">
        <v>723</v>
      </c>
      <c r="D570" s="156"/>
      <c r="E570" s="156"/>
      <c r="F570" s="156"/>
      <c r="G570" s="143"/>
      <c r="H570" s="141"/>
      <c r="I570" s="153" t="s">
        <v>624</v>
      </c>
      <c r="J570" s="153">
        <v>1</v>
      </c>
      <c r="K570" s="144" t="s">
        <v>730</v>
      </c>
      <c r="L570" s="142" t="s">
        <v>567</v>
      </c>
      <c r="M570" s="11" t="str">
        <f>VLOOKUP(N570,'Mã NV'!$A$3:$B$196,2,0)</f>
        <v>PU11</v>
      </c>
      <c r="N570" s="306" t="s">
        <v>646</v>
      </c>
      <c r="O570" s="380" t="str">
        <f>VLOOKUP(B570,'Tổng hợp (3)'!$C$4:$E$985,3,0)</f>
        <v>02/04/2022</v>
      </c>
      <c r="P570" s="378"/>
      <c r="Q570" s="145"/>
      <c r="R570" s="150"/>
    </row>
    <row r="571" spans="1:39" ht="35.25" hidden="1" customHeight="1">
      <c r="A571" s="15">
        <f t="shared" si="8"/>
        <v>561</v>
      </c>
      <c r="B571" s="142" t="s">
        <v>1043</v>
      </c>
      <c r="C571" s="150" t="s">
        <v>723</v>
      </c>
      <c r="D571" s="156"/>
      <c r="E571" s="156"/>
      <c r="F571" s="156"/>
      <c r="G571" s="143"/>
      <c r="H571" s="141"/>
      <c r="I571" s="153" t="s">
        <v>624</v>
      </c>
      <c r="J571" s="153">
        <v>1</v>
      </c>
      <c r="K571" s="144" t="s">
        <v>730</v>
      </c>
      <c r="L571" s="142" t="s">
        <v>567</v>
      </c>
      <c r="M571" s="11" t="str">
        <f>VLOOKUP(N571,'Mã NV'!$A$3:$B$196,2,0)</f>
        <v>PU11</v>
      </c>
      <c r="N571" s="306" t="s">
        <v>646</v>
      </c>
      <c r="O571" s="380" t="str">
        <f>VLOOKUP(B571,'Tổng hợp (3)'!$C$4:$E$985,3,0)</f>
        <v>02/04/2022</v>
      </c>
      <c r="P571" s="378"/>
      <c r="Q571" s="145"/>
      <c r="R571" s="150"/>
    </row>
    <row r="572" spans="1:39" ht="35.25" hidden="1" customHeight="1">
      <c r="A572" s="15">
        <f t="shared" si="8"/>
        <v>562</v>
      </c>
      <c r="B572" s="142" t="s">
        <v>1044</v>
      </c>
      <c r="C572" s="150" t="s">
        <v>723</v>
      </c>
      <c r="D572" s="156"/>
      <c r="E572" s="156"/>
      <c r="F572" s="156"/>
      <c r="G572" s="143"/>
      <c r="H572" s="141"/>
      <c r="I572" s="153" t="s">
        <v>624</v>
      </c>
      <c r="J572" s="153">
        <v>1</v>
      </c>
      <c r="K572" s="144" t="s">
        <v>730</v>
      </c>
      <c r="L572" s="142" t="s">
        <v>567</v>
      </c>
      <c r="M572" s="11" t="str">
        <f>VLOOKUP(N572,'Mã NV'!$A$3:$B$196,2,0)</f>
        <v>PU11</v>
      </c>
      <c r="N572" s="306" t="s">
        <v>646</v>
      </c>
      <c r="O572" s="380">
        <v>44653</v>
      </c>
      <c r="P572" s="371"/>
      <c r="Q572" s="145"/>
      <c r="R572" s="150"/>
    </row>
    <row r="573" spans="1:39" ht="35.25" hidden="1" customHeight="1">
      <c r="A573" s="15">
        <f t="shared" si="8"/>
        <v>563</v>
      </c>
      <c r="B573" s="142" t="s">
        <v>1045</v>
      </c>
      <c r="C573" s="150" t="s">
        <v>723</v>
      </c>
      <c r="D573" s="156"/>
      <c r="E573" s="156"/>
      <c r="F573" s="156"/>
      <c r="G573" s="143"/>
      <c r="H573" s="141"/>
      <c r="I573" s="153" t="s">
        <v>624</v>
      </c>
      <c r="J573" s="153">
        <v>1</v>
      </c>
      <c r="K573" s="144" t="s">
        <v>730</v>
      </c>
      <c r="L573" s="142" t="s">
        <v>567</v>
      </c>
      <c r="M573" s="11" t="str">
        <f>VLOOKUP(N573,'Mã NV'!$A$3:$B$196,2,0)</f>
        <v>PU11</v>
      </c>
      <c r="N573" s="306" t="s">
        <v>646</v>
      </c>
      <c r="O573" s="380">
        <v>44653</v>
      </c>
      <c r="P573" s="371"/>
      <c r="Q573" s="145"/>
      <c r="R573" s="150"/>
    </row>
    <row r="574" spans="1:39" ht="35.25" hidden="1" customHeight="1">
      <c r="A574" s="15">
        <f t="shared" si="8"/>
        <v>564</v>
      </c>
      <c r="B574" s="142" t="s">
        <v>1046</v>
      </c>
      <c r="C574" s="150" t="s">
        <v>723</v>
      </c>
      <c r="D574" s="156"/>
      <c r="E574" s="156"/>
      <c r="F574" s="156"/>
      <c r="G574" s="143"/>
      <c r="H574" s="141"/>
      <c r="I574" s="153" t="s">
        <v>624</v>
      </c>
      <c r="J574" s="153">
        <v>1</v>
      </c>
      <c r="K574" s="144" t="s">
        <v>730</v>
      </c>
      <c r="L574" s="142" t="s">
        <v>567</v>
      </c>
      <c r="M574" s="11" t="str">
        <f>VLOOKUP(N574,'Mã NV'!$A$3:$B$196,2,0)</f>
        <v>PU11</v>
      </c>
      <c r="N574" s="306" t="s">
        <v>646</v>
      </c>
      <c r="O574" s="380">
        <v>44653</v>
      </c>
      <c r="P574" s="371"/>
      <c r="Q574" s="145"/>
      <c r="R574" s="150"/>
    </row>
    <row r="575" spans="1:39" ht="35.25" hidden="1" customHeight="1">
      <c r="A575" s="15">
        <f t="shared" si="8"/>
        <v>565</v>
      </c>
      <c r="B575" s="142" t="s">
        <v>1047</v>
      </c>
      <c r="C575" s="150" t="s">
        <v>723</v>
      </c>
      <c r="D575" s="156"/>
      <c r="E575" s="156"/>
      <c r="F575" s="156"/>
      <c r="G575" s="143"/>
      <c r="H575" s="141"/>
      <c r="I575" s="153" t="s">
        <v>624</v>
      </c>
      <c r="J575" s="153">
        <v>1</v>
      </c>
      <c r="K575" s="144" t="s">
        <v>730</v>
      </c>
      <c r="L575" s="142" t="s">
        <v>567</v>
      </c>
      <c r="M575" s="11" t="str">
        <f>VLOOKUP(N575,'Mã NV'!$A$3:$B$196,2,0)</f>
        <v>PU11</v>
      </c>
      <c r="N575" s="306" t="s">
        <v>646</v>
      </c>
      <c r="O575" s="380">
        <v>44653</v>
      </c>
      <c r="P575" s="371"/>
      <c r="Q575" s="145"/>
      <c r="R575" s="150"/>
    </row>
    <row r="576" spans="1:39" ht="35.25" hidden="1" customHeight="1">
      <c r="A576" s="15">
        <f t="shared" si="8"/>
        <v>566</v>
      </c>
      <c r="B576" s="142" t="s">
        <v>1048</v>
      </c>
      <c r="C576" s="150" t="s">
        <v>723</v>
      </c>
      <c r="D576" s="156"/>
      <c r="E576" s="156"/>
      <c r="F576" s="156"/>
      <c r="G576" s="143"/>
      <c r="H576" s="141"/>
      <c r="I576" s="153" t="s">
        <v>624</v>
      </c>
      <c r="J576" s="153">
        <v>1</v>
      </c>
      <c r="K576" s="144" t="s">
        <v>730</v>
      </c>
      <c r="L576" s="142" t="s">
        <v>567</v>
      </c>
      <c r="M576" s="11" t="str">
        <f>VLOOKUP(N576,'Mã NV'!$A$3:$B$196,2,0)</f>
        <v>PU11</v>
      </c>
      <c r="N576" s="306" t="s">
        <v>646</v>
      </c>
      <c r="O576" s="380">
        <v>44653</v>
      </c>
      <c r="P576" s="371"/>
      <c r="Q576" s="145"/>
      <c r="R576" s="150"/>
    </row>
    <row r="577" spans="1:18" ht="35.25" hidden="1" customHeight="1">
      <c r="A577" s="15">
        <f t="shared" si="8"/>
        <v>567</v>
      </c>
      <c r="B577" s="142" t="s">
        <v>1049</v>
      </c>
      <c r="C577" s="150" t="s">
        <v>723</v>
      </c>
      <c r="D577" s="156"/>
      <c r="E577" s="156"/>
      <c r="F577" s="156"/>
      <c r="G577" s="143"/>
      <c r="H577" s="141"/>
      <c r="I577" s="153" t="s">
        <v>624</v>
      </c>
      <c r="J577" s="153">
        <v>1</v>
      </c>
      <c r="K577" s="144" t="s">
        <v>730</v>
      </c>
      <c r="L577" s="142" t="s">
        <v>567</v>
      </c>
      <c r="M577" s="11" t="str">
        <f>VLOOKUP(N577,'Mã NV'!$A$3:$B$196,2,0)</f>
        <v>PU11</v>
      </c>
      <c r="N577" s="306" t="s">
        <v>646</v>
      </c>
      <c r="O577" s="380">
        <v>44653</v>
      </c>
      <c r="P577" s="371"/>
      <c r="Q577" s="145"/>
      <c r="R577" s="150"/>
    </row>
    <row r="578" spans="1:18" ht="35.25" hidden="1" customHeight="1">
      <c r="A578" s="15">
        <f t="shared" si="8"/>
        <v>568</v>
      </c>
      <c r="B578" s="142" t="s">
        <v>1050</v>
      </c>
      <c r="C578" s="150" t="s">
        <v>723</v>
      </c>
      <c r="D578" s="156"/>
      <c r="E578" s="156"/>
      <c r="F578" s="156"/>
      <c r="G578" s="143"/>
      <c r="H578" s="141"/>
      <c r="I578" s="153" t="s">
        <v>624</v>
      </c>
      <c r="J578" s="153">
        <v>1</v>
      </c>
      <c r="K578" s="144" t="s">
        <v>730</v>
      </c>
      <c r="L578" s="142" t="s">
        <v>567</v>
      </c>
      <c r="M578" s="11" t="str">
        <f>VLOOKUP(N578,'Mã NV'!$A$3:$B$196,2,0)</f>
        <v>PU11</v>
      </c>
      <c r="N578" s="306" t="s">
        <v>646</v>
      </c>
      <c r="O578" s="380">
        <v>44653</v>
      </c>
      <c r="P578" s="371"/>
      <c r="Q578" s="145"/>
      <c r="R578" s="150"/>
    </row>
    <row r="579" spans="1:18" ht="35.25" hidden="1" customHeight="1">
      <c r="A579" s="15">
        <f t="shared" si="8"/>
        <v>569</v>
      </c>
      <c r="B579" s="142" t="s">
        <v>1051</v>
      </c>
      <c r="C579" s="150" t="s">
        <v>723</v>
      </c>
      <c r="D579" s="156"/>
      <c r="E579" s="156"/>
      <c r="F579" s="156"/>
      <c r="G579" s="143"/>
      <c r="H579" s="141"/>
      <c r="I579" s="153" t="s">
        <v>624</v>
      </c>
      <c r="J579" s="153">
        <v>1</v>
      </c>
      <c r="K579" s="144" t="s">
        <v>730</v>
      </c>
      <c r="L579" s="142" t="s">
        <v>567</v>
      </c>
      <c r="M579" s="11" t="str">
        <f>VLOOKUP(N579,'Mã NV'!$A$3:$B$196,2,0)</f>
        <v>PU11</v>
      </c>
      <c r="N579" s="306" t="s">
        <v>646</v>
      </c>
      <c r="O579" s="380">
        <v>44653</v>
      </c>
      <c r="P579" s="371"/>
      <c r="Q579" s="145"/>
      <c r="R579" s="150"/>
    </row>
    <row r="580" spans="1:18" ht="35.25" hidden="1" customHeight="1">
      <c r="A580" s="15">
        <f t="shared" si="8"/>
        <v>570</v>
      </c>
      <c r="B580" s="142" t="s">
        <v>1052</v>
      </c>
      <c r="C580" s="150" t="s">
        <v>723</v>
      </c>
      <c r="D580" s="156"/>
      <c r="E580" s="156"/>
      <c r="F580" s="156"/>
      <c r="G580" s="143"/>
      <c r="H580" s="141"/>
      <c r="I580" s="153" t="s">
        <v>624</v>
      </c>
      <c r="J580" s="153">
        <v>1</v>
      </c>
      <c r="K580" s="144" t="s">
        <v>730</v>
      </c>
      <c r="L580" s="142" t="s">
        <v>567</v>
      </c>
      <c r="M580" s="11" t="str">
        <f>VLOOKUP(N580,'Mã NV'!$A$3:$B$196,2,0)</f>
        <v>PU11</v>
      </c>
      <c r="N580" s="306" t="s">
        <v>646</v>
      </c>
      <c r="O580" s="380">
        <v>44653</v>
      </c>
      <c r="P580" s="371"/>
      <c r="Q580" s="145"/>
      <c r="R580" s="150"/>
    </row>
    <row r="581" spans="1:18" ht="35.25" hidden="1" customHeight="1">
      <c r="A581" s="15">
        <f t="shared" si="8"/>
        <v>571</v>
      </c>
      <c r="B581" s="142" t="s">
        <v>1053</v>
      </c>
      <c r="C581" s="150" t="s">
        <v>723</v>
      </c>
      <c r="D581" s="156"/>
      <c r="E581" s="156"/>
      <c r="F581" s="156"/>
      <c r="G581" s="143"/>
      <c r="H581" s="141"/>
      <c r="I581" s="153" t="s">
        <v>624</v>
      </c>
      <c r="J581" s="153">
        <v>1</v>
      </c>
      <c r="K581" s="144" t="s">
        <v>730</v>
      </c>
      <c r="L581" s="142" t="s">
        <v>567</v>
      </c>
      <c r="M581" s="11" t="str">
        <f>VLOOKUP(N581,'Mã NV'!$A$3:$B$196,2,0)</f>
        <v>PU11</v>
      </c>
      <c r="N581" s="306" t="s">
        <v>646</v>
      </c>
      <c r="O581" s="380">
        <v>44653</v>
      </c>
      <c r="P581" s="371"/>
      <c r="Q581" s="145"/>
      <c r="R581" s="150"/>
    </row>
    <row r="582" spans="1:18" ht="35.25" hidden="1" customHeight="1">
      <c r="A582" s="15">
        <f t="shared" si="8"/>
        <v>572</v>
      </c>
      <c r="B582" s="142" t="s">
        <v>1054</v>
      </c>
      <c r="C582" s="150" t="s">
        <v>723</v>
      </c>
      <c r="D582" s="156"/>
      <c r="E582" s="156"/>
      <c r="F582" s="156"/>
      <c r="G582" s="143"/>
      <c r="H582" s="141"/>
      <c r="I582" s="153" t="s">
        <v>624</v>
      </c>
      <c r="J582" s="153">
        <v>1</v>
      </c>
      <c r="K582" s="144" t="s">
        <v>730</v>
      </c>
      <c r="L582" s="142" t="s">
        <v>567</v>
      </c>
      <c r="M582" s="11" t="str">
        <f>VLOOKUP(N582,'Mã NV'!$A$3:$B$196,2,0)</f>
        <v>PU11</v>
      </c>
      <c r="N582" s="306" t="s">
        <v>646</v>
      </c>
      <c r="O582" s="380">
        <v>44653</v>
      </c>
      <c r="P582" s="371"/>
      <c r="Q582" s="145"/>
      <c r="R582" s="150"/>
    </row>
    <row r="583" spans="1:18" ht="35.25" hidden="1" customHeight="1">
      <c r="A583" s="15">
        <f t="shared" si="8"/>
        <v>573</v>
      </c>
      <c r="B583" s="142" t="s">
        <v>1055</v>
      </c>
      <c r="C583" s="150" t="s">
        <v>723</v>
      </c>
      <c r="D583" s="156"/>
      <c r="E583" s="156"/>
      <c r="F583" s="156"/>
      <c r="G583" s="143"/>
      <c r="H583" s="141"/>
      <c r="I583" s="153" t="s">
        <v>624</v>
      </c>
      <c r="J583" s="153">
        <v>1</v>
      </c>
      <c r="K583" s="144" t="s">
        <v>730</v>
      </c>
      <c r="L583" s="142" t="s">
        <v>567</v>
      </c>
      <c r="M583" s="11" t="str">
        <f>VLOOKUP(N583,'Mã NV'!$A$3:$B$196,2,0)</f>
        <v>PU11</v>
      </c>
      <c r="N583" s="306" t="s">
        <v>646</v>
      </c>
      <c r="O583" s="380">
        <v>44653</v>
      </c>
      <c r="P583" s="371"/>
      <c r="Q583" s="145"/>
      <c r="R583" s="150"/>
    </row>
    <row r="584" spans="1:18" ht="35.25" hidden="1" customHeight="1">
      <c r="A584" s="15">
        <f t="shared" si="8"/>
        <v>574</v>
      </c>
      <c r="B584" s="142" t="s">
        <v>1056</v>
      </c>
      <c r="C584" s="150" t="s">
        <v>723</v>
      </c>
      <c r="D584" s="156"/>
      <c r="E584" s="156"/>
      <c r="F584" s="156"/>
      <c r="G584" s="143"/>
      <c r="H584" s="141"/>
      <c r="I584" s="153" t="s">
        <v>624</v>
      </c>
      <c r="J584" s="153">
        <v>1</v>
      </c>
      <c r="K584" s="144" t="s">
        <v>730</v>
      </c>
      <c r="L584" s="142" t="s">
        <v>567</v>
      </c>
      <c r="M584" s="11" t="str">
        <f>VLOOKUP(N584,'Mã NV'!$A$3:$B$196,2,0)</f>
        <v>PU11</v>
      </c>
      <c r="N584" s="306" t="s">
        <v>646</v>
      </c>
      <c r="O584" s="380">
        <v>44653</v>
      </c>
      <c r="P584" s="371"/>
      <c r="Q584" s="145"/>
      <c r="R584" s="150"/>
    </row>
    <row r="585" spans="1:18" ht="35.25" hidden="1" customHeight="1">
      <c r="A585" s="15">
        <f t="shared" si="8"/>
        <v>575</v>
      </c>
      <c r="B585" s="142" t="s">
        <v>1057</v>
      </c>
      <c r="C585" s="150" t="s">
        <v>723</v>
      </c>
      <c r="D585" s="156"/>
      <c r="E585" s="156"/>
      <c r="F585" s="156"/>
      <c r="G585" s="143"/>
      <c r="H585" s="141"/>
      <c r="I585" s="153" t="s">
        <v>624</v>
      </c>
      <c r="J585" s="153">
        <v>1</v>
      </c>
      <c r="K585" s="144" t="s">
        <v>730</v>
      </c>
      <c r="L585" s="142" t="s">
        <v>567</v>
      </c>
      <c r="M585" s="11" t="str">
        <f>VLOOKUP(N585,'Mã NV'!$A$3:$B$196,2,0)</f>
        <v>PU11</v>
      </c>
      <c r="N585" s="306" t="s">
        <v>646</v>
      </c>
      <c r="O585" s="380">
        <v>44653</v>
      </c>
      <c r="P585" s="371"/>
      <c r="Q585" s="145"/>
      <c r="R585" s="150"/>
    </row>
    <row r="586" spans="1:18" ht="35.25" hidden="1" customHeight="1">
      <c r="A586" s="15">
        <f t="shared" si="8"/>
        <v>576</v>
      </c>
      <c r="B586" s="142" t="s">
        <v>1058</v>
      </c>
      <c r="C586" s="150" t="s">
        <v>723</v>
      </c>
      <c r="D586" s="156"/>
      <c r="E586" s="156"/>
      <c r="F586" s="156"/>
      <c r="G586" s="143"/>
      <c r="H586" s="141"/>
      <c r="I586" s="153" t="s">
        <v>624</v>
      </c>
      <c r="J586" s="153">
        <v>1</v>
      </c>
      <c r="K586" s="144" t="s">
        <v>730</v>
      </c>
      <c r="L586" s="142" t="s">
        <v>567</v>
      </c>
      <c r="M586" s="11" t="str">
        <f>VLOOKUP(N586,'Mã NV'!$A$3:$B$196,2,0)</f>
        <v>PU11</v>
      </c>
      <c r="N586" s="306" t="s">
        <v>646</v>
      </c>
      <c r="O586" s="380">
        <v>44653</v>
      </c>
      <c r="P586" s="371"/>
      <c r="Q586" s="145"/>
      <c r="R586" s="150"/>
    </row>
    <row r="587" spans="1:18" ht="35.25" hidden="1" customHeight="1">
      <c r="A587" s="15">
        <f t="shared" si="8"/>
        <v>577</v>
      </c>
      <c r="B587" s="142" t="s">
        <v>1059</v>
      </c>
      <c r="C587" s="150" t="s">
        <v>723</v>
      </c>
      <c r="D587" s="156"/>
      <c r="E587" s="156"/>
      <c r="F587" s="156"/>
      <c r="G587" s="143"/>
      <c r="H587" s="141"/>
      <c r="I587" s="153" t="s">
        <v>624</v>
      </c>
      <c r="J587" s="153">
        <v>1</v>
      </c>
      <c r="K587" s="144" t="s">
        <v>730</v>
      </c>
      <c r="L587" s="142" t="s">
        <v>567</v>
      </c>
      <c r="M587" s="11" t="str">
        <f>VLOOKUP(N587,'Mã NV'!$A$3:$B$196,2,0)</f>
        <v>PU11</v>
      </c>
      <c r="N587" s="306" t="s">
        <v>646</v>
      </c>
      <c r="O587" s="380">
        <v>44653</v>
      </c>
      <c r="P587" s="371"/>
      <c r="Q587" s="145"/>
      <c r="R587" s="150"/>
    </row>
    <row r="588" spans="1:18" ht="35.25" hidden="1" customHeight="1">
      <c r="A588" s="15">
        <f t="shared" si="8"/>
        <v>578</v>
      </c>
      <c r="B588" s="142" t="s">
        <v>1060</v>
      </c>
      <c r="C588" s="150" t="s">
        <v>723</v>
      </c>
      <c r="D588" s="156"/>
      <c r="E588" s="156"/>
      <c r="F588" s="156"/>
      <c r="G588" s="143"/>
      <c r="H588" s="141"/>
      <c r="I588" s="153" t="s">
        <v>624</v>
      </c>
      <c r="J588" s="153">
        <v>1</v>
      </c>
      <c r="K588" s="144" t="s">
        <v>730</v>
      </c>
      <c r="L588" s="142" t="s">
        <v>567</v>
      </c>
      <c r="M588" s="11" t="str">
        <f>VLOOKUP(N588,'Mã NV'!$A$3:$B$196,2,0)</f>
        <v>PU11</v>
      </c>
      <c r="N588" s="306" t="s">
        <v>646</v>
      </c>
      <c r="O588" s="380">
        <v>44653</v>
      </c>
      <c r="P588" s="371"/>
      <c r="Q588" s="145"/>
      <c r="R588" s="150"/>
    </row>
    <row r="589" spans="1:18" ht="35.25" hidden="1" customHeight="1">
      <c r="A589" s="15">
        <f t="shared" si="8"/>
        <v>579</v>
      </c>
      <c r="B589" s="142" t="s">
        <v>1061</v>
      </c>
      <c r="C589" s="150" t="s">
        <v>723</v>
      </c>
      <c r="D589" s="156"/>
      <c r="E589" s="156"/>
      <c r="F589" s="156"/>
      <c r="G589" s="143"/>
      <c r="H589" s="141"/>
      <c r="I589" s="153" t="s">
        <v>624</v>
      </c>
      <c r="J589" s="153">
        <v>1</v>
      </c>
      <c r="K589" s="144" t="s">
        <v>730</v>
      </c>
      <c r="L589" s="142" t="s">
        <v>567</v>
      </c>
      <c r="M589" s="11" t="str">
        <f>VLOOKUP(N589,'Mã NV'!$A$3:$B$196,2,0)</f>
        <v>PU11</v>
      </c>
      <c r="N589" s="306" t="s">
        <v>646</v>
      </c>
      <c r="O589" s="380">
        <v>44653</v>
      </c>
      <c r="P589" s="371"/>
      <c r="Q589" s="145"/>
      <c r="R589" s="150"/>
    </row>
    <row r="590" spans="1:18" ht="35.25" hidden="1" customHeight="1">
      <c r="A590" s="15">
        <f t="shared" si="8"/>
        <v>580</v>
      </c>
      <c r="B590" s="142" t="s">
        <v>1062</v>
      </c>
      <c r="C590" s="150" t="s">
        <v>723</v>
      </c>
      <c r="D590" s="156"/>
      <c r="E590" s="156"/>
      <c r="F590" s="156"/>
      <c r="G590" s="143"/>
      <c r="H590" s="141"/>
      <c r="I590" s="153" t="s">
        <v>624</v>
      </c>
      <c r="J590" s="153">
        <v>1</v>
      </c>
      <c r="K590" s="144" t="s">
        <v>730</v>
      </c>
      <c r="L590" s="142" t="s">
        <v>567</v>
      </c>
      <c r="M590" s="11" t="str">
        <f>VLOOKUP(N590,'Mã NV'!$A$3:$B$196,2,0)</f>
        <v>PU11</v>
      </c>
      <c r="N590" s="306" t="s">
        <v>646</v>
      </c>
      <c r="O590" s="380">
        <v>44653</v>
      </c>
      <c r="P590" s="371"/>
      <c r="Q590" s="145"/>
      <c r="R590" s="150"/>
    </row>
    <row r="591" spans="1:18" ht="35.25" hidden="1" customHeight="1">
      <c r="A591" s="15">
        <f t="shared" si="8"/>
        <v>581</v>
      </c>
      <c r="B591" s="142" t="s">
        <v>1063</v>
      </c>
      <c r="C591" s="150" t="s">
        <v>723</v>
      </c>
      <c r="D591" s="156"/>
      <c r="E591" s="156"/>
      <c r="F591" s="156"/>
      <c r="G591" s="143"/>
      <c r="H591" s="141"/>
      <c r="I591" s="153" t="s">
        <v>624</v>
      </c>
      <c r="J591" s="153">
        <v>1</v>
      </c>
      <c r="K591" s="144" t="s">
        <v>730</v>
      </c>
      <c r="L591" s="142" t="s">
        <v>567</v>
      </c>
      <c r="M591" s="11" t="str">
        <f>VLOOKUP(N591,'Mã NV'!$A$3:$B$196,2,0)</f>
        <v>PU11</v>
      </c>
      <c r="N591" s="306" t="s">
        <v>646</v>
      </c>
      <c r="O591" s="380">
        <f>VLOOKUP(B591,'Tổng hợp (3)'!$C$4:$E$985,3,0)</f>
        <v>44770</v>
      </c>
      <c r="P591" s="378"/>
      <c r="Q591" s="145"/>
      <c r="R591" s="150"/>
    </row>
    <row r="592" spans="1:18" ht="35.25" hidden="1" customHeight="1">
      <c r="A592" s="15">
        <f t="shared" si="8"/>
        <v>582</v>
      </c>
      <c r="B592" s="142" t="s">
        <v>1064</v>
      </c>
      <c r="C592" s="150" t="s">
        <v>723</v>
      </c>
      <c r="D592" s="156"/>
      <c r="E592" s="156"/>
      <c r="F592" s="156"/>
      <c r="G592" s="143"/>
      <c r="H592" s="141"/>
      <c r="I592" s="153" t="s">
        <v>624</v>
      </c>
      <c r="J592" s="153">
        <v>1</v>
      </c>
      <c r="K592" s="144" t="s">
        <v>730</v>
      </c>
      <c r="L592" s="142" t="s">
        <v>567</v>
      </c>
      <c r="M592" s="11" t="str">
        <f>VLOOKUP(N592,'Mã NV'!$A$3:$B$196,2,0)</f>
        <v>PU11</v>
      </c>
      <c r="N592" s="306" t="s">
        <v>646</v>
      </c>
      <c r="O592" s="380">
        <f>VLOOKUP(B592,'Tổng hợp (3)'!$C$4:$E$985,3,0)</f>
        <v>44690</v>
      </c>
      <c r="P592" s="378"/>
      <c r="Q592" s="145"/>
      <c r="R592" s="150"/>
    </row>
    <row r="593" spans="1:39" ht="35.25" hidden="1" customHeight="1">
      <c r="A593" s="15">
        <f t="shared" si="8"/>
        <v>583</v>
      </c>
      <c r="B593" s="142" t="s">
        <v>558</v>
      </c>
      <c r="C593" s="150" t="s">
        <v>723</v>
      </c>
      <c r="D593" s="156"/>
      <c r="E593" s="156"/>
      <c r="F593" s="156"/>
      <c r="G593" s="143"/>
      <c r="H593" s="141"/>
      <c r="I593" s="153" t="s">
        <v>624</v>
      </c>
      <c r="J593" s="153">
        <v>1</v>
      </c>
      <c r="K593" s="144" t="s">
        <v>730</v>
      </c>
      <c r="L593" s="142" t="s">
        <v>567</v>
      </c>
      <c r="M593" s="11" t="str">
        <f>VLOOKUP(N593,'Mã NV'!$A$3:$B$196,2,0)</f>
        <v>PU11</v>
      </c>
      <c r="N593" s="306" t="s">
        <v>646</v>
      </c>
      <c r="O593" s="380">
        <f>VLOOKUP(B593,'Tổng hợp (3)'!$C$4:$E$985,3,0)</f>
        <v>44802</v>
      </c>
      <c r="P593" s="378"/>
      <c r="Q593" s="145"/>
      <c r="R593" s="150"/>
    </row>
    <row r="594" spans="1:39" ht="35.25" hidden="1" customHeight="1">
      <c r="A594" s="15">
        <f t="shared" ref="A594:A657" si="9">A593+1</f>
        <v>584</v>
      </c>
      <c r="B594" s="142" t="s">
        <v>1065</v>
      </c>
      <c r="C594" s="150" t="s">
        <v>723</v>
      </c>
      <c r="D594" s="156"/>
      <c r="E594" s="156"/>
      <c r="F594" s="156"/>
      <c r="G594" s="143"/>
      <c r="H594" s="141"/>
      <c r="I594" s="153" t="s">
        <v>624</v>
      </c>
      <c r="J594" s="153">
        <v>1</v>
      </c>
      <c r="K594" s="144" t="s">
        <v>730</v>
      </c>
      <c r="L594" s="142" t="s">
        <v>567</v>
      </c>
      <c r="M594" s="11" t="str">
        <f>VLOOKUP(N594,'Mã NV'!$A$3:$B$196,2,0)</f>
        <v>PU11</v>
      </c>
      <c r="N594" s="306" t="s">
        <v>646</v>
      </c>
      <c r="O594" s="380" t="str">
        <f>VLOOKUP(B594,'Tổng hợp (3)'!$C$4:$E$985,3,0)</f>
        <v>18/10/2022</v>
      </c>
      <c r="P594" s="378"/>
      <c r="Q594" s="145"/>
      <c r="R594" s="150"/>
    </row>
    <row r="595" spans="1:39" s="136" customFormat="1" ht="35.25" hidden="1" customHeight="1">
      <c r="A595" s="15">
        <f t="shared" si="9"/>
        <v>585</v>
      </c>
      <c r="B595" s="142" t="s">
        <v>561</v>
      </c>
      <c r="C595" s="150" t="s">
        <v>723</v>
      </c>
      <c r="D595" s="156"/>
      <c r="E595" s="156"/>
      <c r="F595" s="156"/>
      <c r="G595" s="143"/>
      <c r="H595" s="141"/>
      <c r="I595" s="153" t="s">
        <v>624</v>
      </c>
      <c r="J595" s="153">
        <v>1</v>
      </c>
      <c r="K595" s="144" t="s">
        <v>730</v>
      </c>
      <c r="L595" s="142" t="s">
        <v>567</v>
      </c>
      <c r="M595" s="11" t="str">
        <f>VLOOKUP(N595,'Mã NV'!$A$3:$B$196,2,0)</f>
        <v>PU11</v>
      </c>
      <c r="N595" s="306" t="s">
        <v>646</v>
      </c>
      <c r="O595" s="380" t="str">
        <f>VLOOKUP(B595,'Tổng hợp (3)'!$C$4:$E$985,3,0)</f>
        <v>24/10/2022</v>
      </c>
      <c r="P595" s="156"/>
      <c r="Q595" s="145"/>
      <c r="R595" s="150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  <c r="AJ595"/>
      <c r="AK595"/>
      <c r="AL595"/>
      <c r="AM595"/>
    </row>
    <row r="596" spans="1:39" s="136" customFormat="1" ht="35.25" hidden="1" customHeight="1">
      <c r="A596" s="15">
        <f t="shared" si="9"/>
        <v>586</v>
      </c>
      <c r="B596" s="141" t="s">
        <v>1066</v>
      </c>
      <c r="C596" s="64" t="s">
        <v>1067</v>
      </c>
      <c r="D596" s="156"/>
      <c r="E596" s="156"/>
      <c r="F596" s="156"/>
      <c r="G596" s="46"/>
      <c r="H596" s="141"/>
      <c r="I596" s="153" t="s">
        <v>624</v>
      </c>
      <c r="J596" s="153">
        <v>1</v>
      </c>
      <c r="K596" s="144" t="s">
        <v>730</v>
      </c>
      <c r="L596" s="142" t="s">
        <v>567</v>
      </c>
      <c r="M596" s="11" t="str">
        <f>VLOOKUP(N596,'Mã NV'!$A$3:$B$196,2,0)</f>
        <v>PU11</v>
      </c>
      <c r="N596" s="306" t="s">
        <v>646</v>
      </c>
      <c r="O596" s="382" t="s">
        <v>4267</v>
      </c>
      <c r="P596" s="371"/>
      <c r="Q596" s="145"/>
      <c r="R596" s="44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  <c r="AJ596"/>
      <c r="AK596"/>
      <c r="AL596"/>
      <c r="AM596"/>
    </row>
    <row r="597" spans="1:39" s="136" customFormat="1" ht="35.25" hidden="1" customHeight="1">
      <c r="A597" s="15">
        <f t="shared" si="9"/>
        <v>587</v>
      </c>
      <c r="B597" s="141" t="s">
        <v>1068</v>
      </c>
      <c r="C597" s="64" t="s">
        <v>1067</v>
      </c>
      <c r="D597" s="156"/>
      <c r="E597" s="156"/>
      <c r="F597" s="156"/>
      <c r="G597" s="46"/>
      <c r="H597" s="141"/>
      <c r="I597" s="153" t="s">
        <v>624</v>
      </c>
      <c r="J597" s="153">
        <v>1</v>
      </c>
      <c r="K597" s="144" t="s">
        <v>730</v>
      </c>
      <c r="L597" s="142" t="s">
        <v>567</v>
      </c>
      <c r="M597" s="11" t="str">
        <f>VLOOKUP(N597,'Mã NV'!$A$3:$B$196,2,0)</f>
        <v>PU11</v>
      </c>
      <c r="N597" s="306" t="s">
        <v>646</v>
      </c>
      <c r="O597" s="382" t="s">
        <v>4267</v>
      </c>
      <c r="P597" s="371"/>
      <c r="Q597" s="145"/>
      <c r="R597" s="44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  <c r="AJ597"/>
      <c r="AK597"/>
      <c r="AL597"/>
      <c r="AM597"/>
    </row>
    <row r="598" spans="1:39" ht="35.25" hidden="1" customHeight="1">
      <c r="A598" s="15">
        <f t="shared" si="9"/>
        <v>588</v>
      </c>
      <c r="B598" s="141" t="s">
        <v>1069</v>
      </c>
      <c r="C598" s="64" t="s">
        <v>1067</v>
      </c>
      <c r="D598" s="156"/>
      <c r="E598" s="156"/>
      <c r="F598" s="156"/>
      <c r="G598" s="46"/>
      <c r="H598" s="141"/>
      <c r="I598" s="153" t="s">
        <v>624</v>
      </c>
      <c r="J598" s="153">
        <v>1</v>
      </c>
      <c r="K598" s="144" t="s">
        <v>730</v>
      </c>
      <c r="L598" s="142" t="s">
        <v>567</v>
      </c>
      <c r="M598" s="11" t="str">
        <f>VLOOKUP(N598,'Mã NV'!$A$3:$B$196,2,0)</f>
        <v>PU11</v>
      </c>
      <c r="N598" s="306" t="s">
        <v>646</v>
      </c>
      <c r="O598" s="382" t="s">
        <v>4267</v>
      </c>
      <c r="P598" s="371"/>
      <c r="Q598" s="145"/>
      <c r="R598" s="44"/>
    </row>
    <row r="599" spans="1:39" ht="35.25" hidden="1" customHeight="1">
      <c r="A599" s="15">
        <f t="shared" si="9"/>
        <v>589</v>
      </c>
      <c r="B599" s="144" t="s">
        <v>1070</v>
      </c>
      <c r="C599" s="150" t="s">
        <v>1071</v>
      </c>
      <c r="D599" s="156"/>
      <c r="E599" s="156"/>
      <c r="F599" s="156"/>
      <c r="G599" s="154"/>
      <c r="H599" s="141"/>
      <c r="I599" s="144" t="s">
        <v>18</v>
      </c>
      <c r="J599" s="153">
        <v>1</v>
      </c>
      <c r="K599" s="144" t="s">
        <v>730</v>
      </c>
      <c r="L599" s="142" t="s">
        <v>567</v>
      </c>
      <c r="M599" s="11" t="str">
        <f>VLOOKUP(N599,'Mã NV'!$A$3:$B$196,2,0)</f>
        <v>PU11</v>
      </c>
      <c r="N599" s="297" t="s">
        <v>646</v>
      </c>
      <c r="O599" s="382" t="s">
        <v>4267</v>
      </c>
      <c r="P599" s="371"/>
      <c r="Q599" s="145"/>
      <c r="R599" s="142" t="s">
        <v>272</v>
      </c>
    </row>
    <row r="600" spans="1:39" ht="35.25" hidden="1" customHeight="1">
      <c r="A600" s="15">
        <f t="shared" si="9"/>
        <v>590</v>
      </c>
      <c r="B600" s="144" t="s">
        <v>1072</v>
      </c>
      <c r="C600" s="150" t="s">
        <v>1073</v>
      </c>
      <c r="D600" s="156"/>
      <c r="E600" s="156"/>
      <c r="F600" s="156"/>
      <c r="G600" s="154"/>
      <c r="H600" s="141"/>
      <c r="I600" s="144" t="s">
        <v>18</v>
      </c>
      <c r="J600" s="153">
        <v>1</v>
      </c>
      <c r="K600" s="144" t="s">
        <v>730</v>
      </c>
      <c r="L600" s="142" t="s">
        <v>567</v>
      </c>
      <c r="M600" s="11" t="str">
        <f>VLOOKUP(N600,'Mã NV'!$A$3:$B$196,2,0)</f>
        <v>PU11</v>
      </c>
      <c r="N600" s="297" t="s">
        <v>646</v>
      </c>
      <c r="O600" s="380">
        <f>VLOOKUP(B600,'Tổng hợp (3)'!$C$4:$E$985,3,0)</f>
        <v>44781</v>
      </c>
      <c r="P600" s="378"/>
      <c r="Q600" s="145"/>
      <c r="R600" s="142" t="s">
        <v>272</v>
      </c>
    </row>
    <row r="601" spans="1:39" ht="35.25" hidden="1" customHeight="1">
      <c r="A601" s="15">
        <f t="shared" si="9"/>
        <v>591</v>
      </c>
      <c r="B601" s="144" t="s">
        <v>1074</v>
      </c>
      <c r="C601" s="150" t="s">
        <v>1073</v>
      </c>
      <c r="D601" s="156"/>
      <c r="E601" s="156"/>
      <c r="F601" s="156"/>
      <c r="G601" s="154"/>
      <c r="H601" s="141"/>
      <c r="I601" s="144" t="s">
        <v>18</v>
      </c>
      <c r="J601" s="153">
        <v>1</v>
      </c>
      <c r="K601" s="144" t="s">
        <v>730</v>
      </c>
      <c r="L601" s="142" t="s">
        <v>567</v>
      </c>
      <c r="M601" s="11" t="str">
        <f>VLOOKUP(N601,'Mã NV'!$A$3:$B$196,2,0)</f>
        <v>PU11</v>
      </c>
      <c r="N601" s="297" t="s">
        <v>646</v>
      </c>
      <c r="O601" s="380">
        <f>VLOOKUP(B601,'Tổng hợp (3)'!$C$4:$E$985,3,0)</f>
        <v>44781</v>
      </c>
      <c r="P601" s="378"/>
      <c r="Q601" s="145"/>
      <c r="R601" s="142" t="s">
        <v>272</v>
      </c>
    </row>
    <row r="602" spans="1:39" ht="35.25" hidden="1" customHeight="1">
      <c r="A602" s="15">
        <f t="shared" si="9"/>
        <v>592</v>
      </c>
      <c r="B602" s="144" t="s">
        <v>1075</v>
      </c>
      <c r="C602" s="150" t="s">
        <v>723</v>
      </c>
      <c r="D602" s="156"/>
      <c r="E602" s="156"/>
      <c r="F602" s="156"/>
      <c r="G602" s="154" t="s">
        <v>2342</v>
      </c>
      <c r="H602" s="141"/>
      <c r="I602" s="153" t="s">
        <v>624</v>
      </c>
      <c r="J602" s="153">
        <v>1</v>
      </c>
      <c r="K602" s="144" t="s">
        <v>730</v>
      </c>
      <c r="L602" s="142" t="s">
        <v>567</v>
      </c>
      <c r="M602" s="11" t="str">
        <f>VLOOKUP(N602,'Mã NV'!$A$3:$B$196,2,0)</f>
        <v>PU11</v>
      </c>
      <c r="N602" s="306" t="s">
        <v>646</v>
      </c>
      <c r="O602" s="381">
        <v>44996</v>
      </c>
      <c r="P602" s="371"/>
      <c r="Q602" s="145"/>
      <c r="R602" s="150"/>
    </row>
    <row r="603" spans="1:39" ht="35.25" hidden="1" customHeight="1">
      <c r="A603" s="15">
        <f t="shared" si="9"/>
        <v>593</v>
      </c>
      <c r="B603" s="144" t="s">
        <v>1076</v>
      </c>
      <c r="C603" s="150" t="s">
        <v>723</v>
      </c>
      <c r="D603" s="156"/>
      <c r="E603" s="156"/>
      <c r="F603" s="156"/>
      <c r="G603" s="154" t="s">
        <v>2342</v>
      </c>
      <c r="H603" s="141"/>
      <c r="I603" s="153" t="s">
        <v>624</v>
      </c>
      <c r="J603" s="153">
        <v>1</v>
      </c>
      <c r="K603" s="144" t="s">
        <v>730</v>
      </c>
      <c r="L603" s="142" t="s">
        <v>567</v>
      </c>
      <c r="M603" s="11" t="str">
        <f>VLOOKUP(N603,'Mã NV'!$A$3:$B$196,2,0)</f>
        <v>PU11</v>
      </c>
      <c r="N603" s="306" t="s">
        <v>646</v>
      </c>
      <c r="O603" s="381">
        <v>44996</v>
      </c>
      <c r="P603" s="371"/>
      <c r="Q603" s="145"/>
      <c r="R603" s="150"/>
    </row>
    <row r="604" spans="1:39" ht="35.25" hidden="1" customHeight="1">
      <c r="A604" s="15">
        <f t="shared" si="9"/>
        <v>594</v>
      </c>
      <c r="B604" s="144" t="s">
        <v>1077</v>
      </c>
      <c r="C604" s="150" t="s">
        <v>723</v>
      </c>
      <c r="D604" s="156"/>
      <c r="E604" s="156"/>
      <c r="F604" s="156"/>
      <c r="G604" s="154" t="s">
        <v>2342</v>
      </c>
      <c r="H604" s="141"/>
      <c r="I604" s="153" t="s">
        <v>624</v>
      </c>
      <c r="J604" s="153">
        <v>1</v>
      </c>
      <c r="K604" s="144" t="s">
        <v>730</v>
      </c>
      <c r="L604" s="142" t="s">
        <v>567</v>
      </c>
      <c r="M604" s="11" t="str">
        <f>VLOOKUP(N604,'Mã NV'!$A$3:$B$196,2,0)</f>
        <v>PU11</v>
      </c>
      <c r="N604" s="306" t="s">
        <v>646</v>
      </c>
      <c r="O604" s="381">
        <v>44996</v>
      </c>
      <c r="P604" s="371"/>
      <c r="Q604" s="145"/>
      <c r="R604" s="150"/>
    </row>
    <row r="605" spans="1:39" ht="35.25" hidden="1" customHeight="1">
      <c r="A605" s="15">
        <f t="shared" si="9"/>
        <v>595</v>
      </c>
      <c r="B605" s="144" t="s">
        <v>1078</v>
      </c>
      <c r="C605" s="150" t="s">
        <v>723</v>
      </c>
      <c r="D605" s="156"/>
      <c r="E605" s="156"/>
      <c r="F605" s="156"/>
      <c r="G605" s="154" t="s">
        <v>2342</v>
      </c>
      <c r="H605" s="141"/>
      <c r="I605" s="153" t="s">
        <v>624</v>
      </c>
      <c r="J605" s="153">
        <v>1</v>
      </c>
      <c r="K605" s="144" t="s">
        <v>730</v>
      </c>
      <c r="L605" s="142" t="s">
        <v>567</v>
      </c>
      <c r="M605" s="11" t="str">
        <f>VLOOKUP(N605,'Mã NV'!$A$3:$B$196,2,0)</f>
        <v>PU11</v>
      </c>
      <c r="N605" s="306" t="s">
        <v>646</v>
      </c>
      <c r="O605" s="381">
        <v>44996</v>
      </c>
      <c r="P605" s="371"/>
      <c r="Q605" s="145"/>
      <c r="R605" s="150"/>
    </row>
    <row r="606" spans="1:39" ht="35.25" hidden="1" customHeight="1">
      <c r="A606" s="15">
        <f t="shared" si="9"/>
        <v>596</v>
      </c>
      <c r="B606" s="144" t="s">
        <v>1079</v>
      </c>
      <c r="C606" s="150" t="s">
        <v>723</v>
      </c>
      <c r="D606" s="156"/>
      <c r="E606" s="156"/>
      <c r="F606" s="156"/>
      <c r="G606" s="154" t="s">
        <v>2342</v>
      </c>
      <c r="H606" s="141"/>
      <c r="I606" s="153" t="s">
        <v>624</v>
      </c>
      <c r="J606" s="153">
        <v>1</v>
      </c>
      <c r="K606" s="144" t="s">
        <v>730</v>
      </c>
      <c r="L606" s="142" t="s">
        <v>567</v>
      </c>
      <c r="M606" s="11" t="str">
        <f>VLOOKUP(N606,'Mã NV'!$A$3:$B$196,2,0)</f>
        <v>PU11</v>
      </c>
      <c r="N606" s="306" t="s">
        <v>646</v>
      </c>
      <c r="O606" s="381">
        <v>44996</v>
      </c>
      <c r="P606" s="371"/>
      <c r="Q606" s="145"/>
      <c r="R606" s="150"/>
    </row>
    <row r="607" spans="1:39" ht="35.25" hidden="1" customHeight="1">
      <c r="A607" s="15">
        <f t="shared" si="9"/>
        <v>597</v>
      </c>
      <c r="B607" s="144" t="s">
        <v>1080</v>
      </c>
      <c r="C607" s="150" t="s">
        <v>723</v>
      </c>
      <c r="D607" s="156"/>
      <c r="E607" s="156"/>
      <c r="F607" s="156"/>
      <c r="G607" s="154" t="s">
        <v>2342</v>
      </c>
      <c r="H607" s="141"/>
      <c r="I607" s="153" t="s">
        <v>624</v>
      </c>
      <c r="J607" s="153">
        <v>1</v>
      </c>
      <c r="K607" s="144" t="s">
        <v>730</v>
      </c>
      <c r="L607" s="142" t="s">
        <v>567</v>
      </c>
      <c r="M607" s="11" t="str">
        <f>VLOOKUP(N607,'Mã NV'!$A$3:$B$196,2,0)</f>
        <v>PU11</v>
      </c>
      <c r="N607" s="306" t="s">
        <v>646</v>
      </c>
      <c r="O607" s="381">
        <v>44996</v>
      </c>
      <c r="P607" s="371"/>
      <c r="Q607" s="145"/>
      <c r="R607" s="150"/>
    </row>
    <row r="608" spans="1:39" ht="35.25" hidden="1" customHeight="1">
      <c r="A608" s="15">
        <f t="shared" si="9"/>
        <v>598</v>
      </c>
      <c r="B608" s="144" t="s">
        <v>1081</v>
      </c>
      <c r="C608" s="150" t="s">
        <v>723</v>
      </c>
      <c r="D608" s="156"/>
      <c r="E608" s="156"/>
      <c r="F608" s="156"/>
      <c r="G608" s="154" t="s">
        <v>2342</v>
      </c>
      <c r="H608" s="141"/>
      <c r="I608" s="153" t="s">
        <v>624</v>
      </c>
      <c r="J608" s="153">
        <v>1</v>
      </c>
      <c r="K608" s="144" t="s">
        <v>730</v>
      </c>
      <c r="L608" s="142" t="s">
        <v>567</v>
      </c>
      <c r="M608" s="11" t="str">
        <f>VLOOKUP(N608,'Mã NV'!$A$3:$B$196,2,0)</f>
        <v>PU11</v>
      </c>
      <c r="N608" s="306" t="s">
        <v>646</v>
      </c>
      <c r="O608" s="381">
        <v>44996</v>
      </c>
      <c r="P608" s="371"/>
      <c r="Q608" s="145"/>
      <c r="R608" s="150"/>
    </row>
    <row r="609" spans="1:18" ht="35.25" hidden="1" customHeight="1">
      <c r="A609" s="15">
        <f t="shared" si="9"/>
        <v>599</v>
      </c>
      <c r="B609" s="144" t="s">
        <v>1082</v>
      </c>
      <c r="C609" s="150" t="s">
        <v>723</v>
      </c>
      <c r="D609" s="156"/>
      <c r="E609" s="156"/>
      <c r="F609" s="156"/>
      <c r="G609" s="154" t="s">
        <v>2342</v>
      </c>
      <c r="H609" s="141"/>
      <c r="I609" s="153" t="s">
        <v>624</v>
      </c>
      <c r="J609" s="153">
        <v>1</v>
      </c>
      <c r="K609" s="144" t="s">
        <v>730</v>
      </c>
      <c r="L609" s="142" t="s">
        <v>567</v>
      </c>
      <c r="M609" s="11" t="str">
        <f>VLOOKUP(N609,'Mã NV'!$A$3:$B$196,2,0)</f>
        <v>PU11</v>
      </c>
      <c r="N609" s="306" t="s">
        <v>646</v>
      </c>
      <c r="O609" s="381">
        <v>44996</v>
      </c>
      <c r="P609" s="371"/>
      <c r="Q609" s="240"/>
      <c r="R609" s="150"/>
    </row>
    <row r="610" spans="1:18" ht="35.25" hidden="1" customHeight="1">
      <c r="A610" s="15">
        <f t="shared" si="9"/>
        <v>600</v>
      </c>
      <c r="B610" s="144" t="s">
        <v>1083</v>
      </c>
      <c r="C610" s="150" t="s">
        <v>723</v>
      </c>
      <c r="D610" s="156"/>
      <c r="E610" s="156"/>
      <c r="F610" s="156"/>
      <c r="G610" s="154" t="s">
        <v>2343</v>
      </c>
      <c r="H610" s="141"/>
      <c r="I610" s="153" t="s">
        <v>624</v>
      </c>
      <c r="J610" s="153">
        <v>1</v>
      </c>
      <c r="K610" s="144" t="s">
        <v>730</v>
      </c>
      <c r="L610" s="142" t="s">
        <v>567</v>
      </c>
      <c r="M610" s="11" t="str">
        <f>VLOOKUP(N610,'Mã NV'!$A$3:$B$196,2,0)</f>
        <v>PU11</v>
      </c>
      <c r="N610" s="306" t="s">
        <v>646</v>
      </c>
      <c r="O610" s="381">
        <v>44996</v>
      </c>
      <c r="P610" s="371"/>
      <c r="Q610" s="145"/>
      <c r="R610" s="150"/>
    </row>
    <row r="611" spans="1:18" ht="35.25" hidden="1" customHeight="1">
      <c r="A611" s="15">
        <f t="shared" si="9"/>
        <v>601</v>
      </c>
      <c r="B611" s="144" t="s">
        <v>1084</v>
      </c>
      <c r="C611" s="150" t="s">
        <v>723</v>
      </c>
      <c r="D611" s="156"/>
      <c r="E611" s="156"/>
      <c r="F611" s="156"/>
      <c r="G611" s="154" t="s">
        <v>2343</v>
      </c>
      <c r="H611" s="141"/>
      <c r="I611" s="153" t="s">
        <v>624</v>
      </c>
      <c r="J611" s="153">
        <v>1</v>
      </c>
      <c r="K611" s="144" t="s">
        <v>730</v>
      </c>
      <c r="L611" s="142" t="s">
        <v>567</v>
      </c>
      <c r="M611" s="11" t="str">
        <f>VLOOKUP(N611,'Mã NV'!$A$3:$B$196,2,0)</f>
        <v>PU11</v>
      </c>
      <c r="N611" s="306" t="s">
        <v>646</v>
      </c>
      <c r="O611" s="381">
        <v>44996</v>
      </c>
      <c r="P611" s="371"/>
      <c r="Q611" s="145"/>
      <c r="R611" s="150"/>
    </row>
    <row r="612" spans="1:18" ht="35.25" hidden="1" customHeight="1">
      <c r="A612" s="15">
        <f t="shared" si="9"/>
        <v>602</v>
      </c>
      <c r="B612" s="144" t="s">
        <v>1085</v>
      </c>
      <c r="C612" s="150" t="s">
        <v>723</v>
      </c>
      <c r="D612" s="156"/>
      <c r="E612" s="156"/>
      <c r="F612" s="156"/>
      <c r="G612" s="154" t="s">
        <v>2343</v>
      </c>
      <c r="H612" s="141"/>
      <c r="I612" s="153" t="s">
        <v>624</v>
      </c>
      <c r="J612" s="153">
        <v>1</v>
      </c>
      <c r="K612" s="144" t="s">
        <v>730</v>
      </c>
      <c r="L612" s="142" t="s">
        <v>567</v>
      </c>
      <c r="M612" s="11" t="str">
        <f>VLOOKUP(N612,'Mã NV'!$A$3:$B$196,2,0)</f>
        <v>PU11</v>
      </c>
      <c r="N612" s="306" t="s">
        <v>646</v>
      </c>
      <c r="O612" s="381">
        <v>44996</v>
      </c>
      <c r="P612" s="371"/>
      <c r="Q612" s="145"/>
      <c r="R612" s="150"/>
    </row>
    <row r="613" spans="1:18" ht="35.25" hidden="1" customHeight="1">
      <c r="A613" s="15">
        <f t="shared" si="9"/>
        <v>603</v>
      </c>
      <c r="B613" s="144" t="s">
        <v>1086</v>
      </c>
      <c r="C613" s="150" t="s">
        <v>723</v>
      </c>
      <c r="D613" s="156"/>
      <c r="E613" s="156"/>
      <c r="F613" s="156"/>
      <c r="G613" s="154" t="s">
        <v>2343</v>
      </c>
      <c r="H613" s="141"/>
      <c r="I613" s="153" t="s">
        <v>624</v>
      </c>
      <c r="J613" s="153">
        <v>1</v>
      </c>
      <c r="K613" s="144" t="s">
        <v>730</v>
      </c>
      <c r="L613" s="142" t="s">
        <v>567</v>
      </c>
      <c r="M613" s="11" t="str">
        <f>VLOOKUP(N613,'Mã NV'!$A$3:$B$196,2,0)</f>
        <v>PU11</v>
      </c>
      <c r="N613" s="306" t="s">
        <v>646</v>
      </c>
      <c r="O613" s="381">
        <v>44996</v>
      </c>
      <c r="P613" s="371"/>
      <c r="Q613" s="145"/>
      <c r="R613" s="150"/>
    </row>
    <row r="614" spans="1:18" ht="35.25" hidden="1" customHeight="1">
      <c r="A614" s="15">
        <f t="shared" si="9"/>
        <v>604</v>
      </c>
      <c r="B614" s="144" t="s">
        <v>1087</v>
      </c>
      <c r="C614" s="150" t="s">
        <v>723</v>
      </c>
      <c r="D614" s="156"/>
      <c r="E614" s="156"/>
      <c r="F614" s="156"/>
      <c r="G614" s="154" t="s">
        <v>2343</v>
      </c>
      <c r="H614" s="141"/>
      <c r="I614" s="153" t="s">
        <v>624</v>
      </c>
      <c r="J614" s="153">
        <v>1</v>
      </c>
      <c r="K614" s="144" t="s">
        <v>730</v>
      </c>
      <c r="L614" s="142" t="s">
        <v>567</v>
      </c>
      <c r="M614" s="11" t="str">
        <f>VLOOKUP(N614,'Mã NV'!$A$3:$B$196,2,0)</f>
        <v>PU11</v>
      </c>
      <c r="N614" s="306" t="s">
        <v>646</v>
      </c>
      <c r="O614" s="381">
        <v>44996</v>
      </c>
      <c r="P614" s="371"/>
      <c r="Q614" s="145"/>
      <c r="R614" s="150"/>
    </row>
    <row r="615" spans="1:18" ht="35.25" hidden="1" customHeight="1">
      <c r="A615" s="15">
        <f t="shared" si="9"/>
        <v>605</v>
      </c>
      <c r="B615" s="144" t="s">
        <v>1088</v>
      </c>
      <c r="C615" s="150" t="s">
        <v>723</v>
      </c>
      <c r="D615" s="156"/>
      <c r="E615" s="156"/>
      <c r="F615" s="156"/>
      <c r="G615" s="154" t="s">
        <v>2343</v>
      </c>
      <c r="H615" s="141"/>
      <c r="I615" s="153" t="s">
        <v>624</v>
      </c>
      <c r="J615" s="153">
        <v>1</v>
      </c>
      <c r="K615" s="144" t="s">
        <v>730</v>
      </c>
      <c r="L615" s="142" t="s">
        <v>567</v>
      </c>
      <c r="M615" s="11" t="str">
        <f>VLOOKUP(N615,'Mã NV'!$A$3:$B$196,2,0)</f>
        <v>PU11</v>
      </c>
      <c r="N615" s="306" t="s">
        <v>646</v>
      </c>
      <c r="O615" s="381">
        <v>44996</v>
      </c>
      <c r="P615" s="371"/>
      <c r="Q615" s="145"/>
      <c r="R615" s="150"/>
    </row>
    <row r="616" spans="1:18" ht="35.25" hidden="1" customHeight="1">
      <c r="A616" s="15">
        <f t="shared" si="9"/>
        <v>606</v>
      </c>
      <c r="B616" s="144" t="s">
        <v>1089</v>
      </c>
      <c r="C616" s="150" t="s">
        <v>723</v>
      </c>
      <c r="D616" s="156"/>
      <c r="E616" s="156"/>
      <c r="F616" s="156"/>
      <c r="G616" s="154" t="s">
        <v>2343</v>
      </c>
      <c r="H616" s="141"/>
      <c r="I616" s="153" t="s">
        <v>624</v>
      </c>
      <c r="J616" s="153">
        <v>1</v>
      </c>
      <c r="K616" s="144" t="s">
        <v>730</v>
      </c>
      <c r="L616" s="142" t="s">
        <v>567</v>
      </c>
      <c r="M616" s="11" t="str">
        <f>VLOOKUP(N616,'Mã NV'!$A$3:$B$196,2,0)</f>
        <v>PU11</v>
      </c>
      <c r="N616" s="306" t="s">
        <v>646</v>
      </c>
      <c r="O616" s="381">
        <v>44996</v>
      </c>
      <c r="P616" s="371"/>
      <c r="Q616" s="145"/>
      <c r="R616" s="150"/>
    </row>
    <row r="617" spans="1:18" ht="35.25" hidden="1" customHeight="1">
      <c r="A617" s="15">
        <f t="shared" si="9"/>
        <v>607</v>
      </c>
      <c r="B617" s="144" t="s">
        <v>1090</v>
      </c>
      <c r="C617" s="150" t="s">
        <v>723</v>
      </c>
      <c r="D617" s="156"/>
      <c r="E617" s="156"/>
      <c r="F617" s="156"/>
      <c r="G617" s="154" t="s">
        <v>2343</v>
      </c>
      <c r="H617" s="141"/>
      <c r="I617" s="153" t="s">
        <v>624</v>
      </c>
      <c r="J617" s="153">
        <v>1</v>
      </c>
      <c r="K617" s="144" t="s">
        <v>730</v>
      </c>
      <c r="L617" s="142" t="s">
        <v>567</v>
      </c>
      <c r="M617" s="11" t="str">
        <f>VLOOKUP(N617,'Mã NV'!$A$3:$B$196,2,0)</f>
        <v>PU11</v>
      </c>
      <c r="N617" s="306" t="s">
        <v>646</v>
      </c>
      <c r="O617" s="381">
        <v>44996</v>
      </c>
      <c r="P617" s="371"/>
      <c r="Q617" s="145"/>
      <c r="R617" s="150"/>
    </row>
    <row r="618" spans="1:18" ht="35.25" hidden="1" customHeight="1">
      <c r="A618" s="15">
        <f t="shared" si="9"/>
        <v>608</v>
      </c>
      <c r="B618" s="144" t="s">
        <v>1091</v>
      </c>
      <c r="C618" s="150" t="s">
        <v>723</v>
      </c>
      <c r="D618" s="156"/>
      <c r="E618" s="156"/>
      <c r="F618" s="156"/>
      <c r="G618" s="154" t="s">
        <v>2343</v>
      </c>
      <c r="H618" s="141"/>
      <c r="I618" s="153" t="s">
        <v>624</v>
      </c>
      <c r="J618" s="153">
        <v>1</v>
      </c>
      <c r="K618" s="144" t="s">
        <v>730</v>
      </c>
      <c r="L618" s="142" t="s">
        <v>567</v>
      </c>
      <c r="M618" s="11" t="str">
        <f>VLOOKUP(N618,'Mã NV'!$A$3:$B$196,2,0)</f>
        <v>PU11</v>
      </c>
      <c r="N618" s="306" t="s">
        <v>646</v>
      </c>
      <c r="O618" s="381">
        <v>44996</v>
      </c>
      <c r="P618" s="371"/>
      <c r="Q618" s="145"/>
      <c r="R618" s="150"/>
    </row>
    <row r="619" spans="1:18" ht="35.25" hidden="1" customHeight="1">
      <c r="A619" s="15">
        <f t="shared" si="9"/>
        <v>609</v>
      </c>
      <c r="B619" s="144" t="s">
        <v>1092</v>
      </c>
      <c r="C619" s="150" t="s">
        <v>723</v>
      </c>
      <c r="D619" s="156"/>
      <c r="E619" s="156"/>
      <c r="F619" s="156"/>
      <c r="G619" s="154" t="s">
        <v>2343</v>
      </c>
      <c r="H619" s="141"/>
      <c r="I619" s="153" t="s">
        <v>624</v>
      </c>
      <c r="J619" s="153">
        <v>1</v>
      </c>
      <c r="K619" s="144" t="s">
        <v>730</v>
      </c>
      <c r="L619" s="142" t="s">
        <v>567</v>
      </c>
      <c r="M619" s="11" t="str">
        <f>VLOOKUP(N619,'Mã NV'!$A$3:$B$196,2,0)</f>
        <v>PU11</v>
      </c>
      <c r="N619" s="306" t="s">
        <v>646</v>
      </c>
      <c r="O619" s="381">
        <v>44996</v>
      </c>
      <c r="P619" s="371"/>
      <c r="Q619" s="145"/>
      <c r="R619" s="150"/>
    </row>
    <row r="620" spans="1:18" ht="35.25" hidden="1" customHeight="1">
      <c r="A620" s="15">
        <f t="shared" si="9"/>
        <v>610</v>
      </c>
      <c r="B620" s="144" t="s">
        <v>1093</v>
      </c>
      <c r="C620" s="150" t="s">
        <v>723</v>
      </c>
      <c r="D620" s="156"/>
      <c r="E620" s="156"/>
      <c r="F620" s="156"/>
      <c r="G620" s="154" t="s">
        <v>2343</v>
      </c>
      <c r="H620" s="141"/>
      <c r="I620" s="153" t="s">
        <v>624</v>
      </c>
      <c r="J620" s="153">
        <v>1</v>
      </c>
      <c r="K620" s="144" t="s">
        <v>730</v>
      </c>
      <c r="L620" s="142" t="s">
        <v>567</v>
      </c>
      <c r="M620" s="11" t="str">
        <f>VLOOKUP(N620,'Mã NV'!$A$3:$B$196,2,0)</f>
        <v>PU11</v>
      </c>
      <c r="N620" s="306" t="s">
        <v>646</v>
      </c>
      <c r="O620" s="381">
        <v>44996</v>
      </c>
      <c r="P620" s="371"/>
      <c r="Q620" s="145"/>
      <c r="R620" s="150"/>
    </row>
    <row r="621" spans="1:18" ht="35.25" hidden="1" customHeight="1">
      <c r="A621" s="15">
        <f t="shared" si="9"/>
        <v>611</v>
      </c>
      <c r="B621" s="144" t="s">
        <v>1094</v>
      </c>
      <c r="C621" s="150" t="s">
        <v>723</v>
      </c>
      <c r="D621" s="156"/>
      <c r="E621" s="156"/>
      <c r="F621" s="156"/>
      <c r="G621" s="154" t="s">
        <v>2343</v>
      </c>
      <c r="H621" s="141"/>
      <c r="I621" s="153" t="s">
        <v>624</v>
      </c>
      <c r="J621" s="153">
        <v>1</v>
      </c>
      <c r="K621" s="144" t="s">
        <v>730</v>
      </c>
      <c r="L621" s="142" t="s">
        <v>567</v>
      </c>
      <c r="M621" s="11" t="str">
        <f>VLOOKUP(N621,'Mã NV'!$A$3:$B$196,2,0)</f>
        <v>PU11</v>
      </c>
      <c r="N621" s="306" t="s">
        <v>646</v>
      </c>
      <c r="O621" s="381">
        <v>44996</v>
      </c>
      <c r="P621" s="371"/>
      <c r="Q621" s="145"/>
      <c r="R621" s="150"/>
    </row>
    <row r="622" spans="1:18" ht="35.25" hidden="1" customHeight="1">
      <c r="A622" s="15">
        <f t="shared" si="9"/>
        <v>612</v>
      </c>
      <c r="B622" s="144" t="s">
        <v>1095</v>
      </c>
      <c r="C622" s="150" t="s">
        <v>723</v>
      </c>
      <c r="D622" s="156"/>
      <c r="E622" s="156"/>
      <c r="F622" s="156"/>
      <c r="G622" s="154" t="s">
        <v>2343</v>
      </c>
      <c r="H622" s="141"/>
      <c r="I622" s="153" t="s">
        <v>624</v>
      </c>
      <c r="J622" s="153">
        <v>1</v>
      </c>
      <c r="K622" s="144" t="s">
        <v>730</v>
      </c>
      <c r="L622" s="142" t="s">
        <v>567</v>
      </c>
      <c r="M622" s="11" t="str">
        <f>VLOOKUP(N622,'Mã NV'!$A$3:$B$196,2,0)</f>
        <v>PU11</v>
      </c>
      <c r="N622" s="306" t="s">
        <v>646</v>
      </c>
      <c r="O622" s="381">
        <v>44996</v>
      </c>
      <c r="P622" s="371"/>
      <c r="Q622" s="145"/>
      <c r="R622" s="150"/>
    </row>
    <row r="623" spans="1:18" ht="35.25" hidden="1" customHeight="1">
      <c r="A623" s="15">
        <f t="shared" si="9"/>
        <v>613</v>
      </c>
      <c r="B623" s="144" t="s">
        <v>1096</v>
      </c>
      <c r="C623" s="150" t="s">
        <v>723</v>
      </c>
      <c r="D623" s="156"/>
      <c r="E623" s="156"/>
      <c r="F623" s="156"/>
      <c r="G623" s="154" t="s">
        <v>2343</v>
      </c>
      <c r="H623" s="141"/>
      <c r="I623" s="153" t="s">
        <v>624</v>
      </c>
      <c r="J623" s="153">
        <v>1</v>
      </c>
      <c r="K623" s="144" t="s">
        <v>730</v>
      </c>
      <c r="L623" s="142" t="s">
        <v>567</v>
      </c>
      <c r="M623" s="11" t="str">
        <f>VLOOKUP(N623,'Mã NV'!$A$3:$B$196,2,0)</f>
        <v>PU11</v>
      </c>
      <c r="N623" s="306" t="s">
        <v>646</v>
      </c>
      <c r="O623" s="381">
        <v>44996</v>
      </c>
      <c r="P623" s="371"/>
      <c r="Q623" s="145"/>
      <c r="R623" s="150"/>
    </row>
    <row r="624" spans="1:18" ht="35.25" hidden="1" customHeight="1">
      <c r="A624" s="15">
        <f t="shared" si="9"/>
        <v>614</v>
      </c>
      <c r="B624" s="144" t="s">
        <v>1097</v>
      </c>
      <c r="C624" s="150" t="s">
        <v>723</v>
      </c>
      <c r="D624" s="156"/>
      <c r="E624" s="156"/>
      <c r="F624" s="156"/>
      <c r="G624" s="154" t="s">
        <v>2343</v>
      </c>
      <c r="H624" s="141"/>
      <c r="I624" s="153" t="s">
        <v>624</v>
      </c>
      <c r="J624" s="153">
        <v>1</v>
      </c>
      <c r="K624" s="144" t="s">
        <v>730</v>
      </c>
      <c r="L624" s="142" t="s">
        <v>567</v>
      </c>
      <c r="M624" s="11" t="str">
        <f>VLOOKUP(N624,'Mã NV'!$A$3:$B$196,2,0)</f>
        <v>PU11</v>
      </c>
      <c r="N624" s="306" t="s">
        <v>646</v>
      </c>
      <c r="O624" s="381">
        <v>44996</v>
      </c>
      <c r="P624" s="371"/>
      <c r="Q624" s="145"/>
      <c r="R624" s="150"/>
    </row>
    <row r="625" spans="1:18" ht="35.25" hidden="1" customHeight="1">
      <c r="A625" s="15">
        <f t="shared" si="9"/>
        <v>615</v>
      </c>
      <c r="B625" s="144" t="s">
        <v>1098</v>
      </c>
      <c r="C625" s="150" t="s">
        <v>723</v>
      </c>
      <c r="D625" s="156"/>
      <c r="E625" s="156"/>
      <c r="F625" s="156"/>
      <c r="G625" s="154" t="s">
        <v>2343</v>
      </c>
      <c r="H625" s="141"/>
      <c r="I625" s="153" t="s">
        <v>624</v>
      </c>
      <c r="J625" s="153">
        <v>1</v>
      </c>
      <c r="K625" s="144" t="s">
        <v>730</v>
      </c>
      <c r="L625" s="142" t="s">
        <v>567</v>
      </c>
      <c r="M625" s="11" t="str">
        <f>VLOOKUP(N625,'Mã NV'!$A$3:$B$196,2,0)</f>
        <v>PU11</v>
      </c>
      <c r="N625" s="306" t="s">
        <v>646</v>
      </c>
      <c r="O625" s="381">
        <v>44996</v>
      </c>
      <c r="P625" s="371"/>
      <c r="Q625" s="145"/>
      <c r="R625" s="150"/>
    </row>
    <row r="626" spans="1:18" ht="35.25" hidden="1" customHeight="1">
      <c r="A626" s="15">
        <f t="shared" si="9"/>
        <v>616</v>
      </c>
      <c r="B626" s="144" t="s">
        <v>1099</v>
      </c>
      <c r="C626" s="150" t="s">
        <v>723</v>
      </c>
      <c r="D626" s="156"/>
      <c r="E626" s="156"/>
      <c r="F626" s="156"/>
      <c r="G626" s="154" t="s">
        <v>2343</v>
      </c>
      <c r="H626" s="141"/>
      <c r="I626" s="153" t="s">
        <v>624</v>
      </c>
      <c r="J626" s="153">
        <v>1</v>
      </c>
      <c r="K626" s="144" t="s">
        <v>730</v>
      </c>
      <c r="L626" s="142" t="s">
        <v>567</v>
      </c>
      <c r="M626" s="11" t="str">
        <f>VLOOKUP(N626,'Mã NV'!$A$3:$B$196,2,0)</f>
        <v>PU11</v>
      </c>
      <c r="N626" s="306" t="s">
        <v>646</v>
      </c>
      <c r="O626" s="381">
        <v>44996</v>
      </c>
      <c r="P626" s="371"/>
      <c r="Q626" s="145"/>
      <c r="R626" s="150"/>
    </row>
    <row r="627" spans="1:18" ht="35.25" hidden="1" customHeight="1">
      <c r="A627" s="15">
        <f t="shared" si="9"/>
        <v>617</v>
      </c>
      <c r="B627" s="144" t="s">
        <v>1100</v>
      </c>
      <c r="C627" s="150" t="s">
        <v>723</v>
      </c>
      <c r="D627" s="156"/>
      <c r="E627" s="156"/>
      <c r="F627" s="156"/>
      <c r="G627" s="154" t="s">
        <v>2343</v>
      </c>
      <c r="H627" s="141"/>
      <c r="I627" s="153" t="s">
        <v>624</v>
      </c>
      <c r="J627" s="153">
        <v>1</v>
      </c>
      <c r="K627" s="144" t="s">
        <v>730</v>
      </c>
      <c r="L627" s="142" t="s">
        <v>567</v>
      </c>
      <c r="M627" s="11" t="str">
        <f>VLOOKUP(N627,'Mã NV'!$A$3:$B$196,2,0)</f>
        <v>PU11</v>
      </c>
      <c r="N627" s="306" t="s">
        <v>646</v>
      </c>
      <c r="O627" s="381">
        <v>44996</v>
      </c>
      <c r="P627" s="371"/>
      <c r="Q627" s="145"/>
      <c r="R627" s="150"/>
    </row>
    <row r="628" spans="1:18" ht="35.25" hidden="1" customHeight="1">
      <c r="A628" s="15">
        <f t="shared" si="9"/>
        <v>618</v>
      </c>
      <c r="B628" s="144" t="s">
        <v>1101</v>
      </c>
      <c r="C628" s="150" t="s">
        <v>723</v>
      </c>
      <c r="D628" s="156"/>
      <c r="E628" s="156"/>
      <c r="F628" s="156"/>
      <c r="G628" s="154" t="s">
        <v>2343</v>
      </c>
      <c r="H628" s="141"/>
      <c r="I628" s="153" t="s">
        <v>624</v>
      </c>
      <c r="J628" s="153">
        <v>1</v>
      </c>
      <c r="K628" s="144" t="s">
        <v>730</v>
      </c>
      <c r="L628" s="142" t="s">
        <v>567</v>
      </c>
      <c r="M628" s="11" t="str">
        <f>VLOOKUP(N628,'Mã NV'!$A$3:$B$196,2,0)</f>
        <v>PU11</v>
      </c>
      <c r="N628" s="306" t="s">
        <v>646</v>
      </c>
      <c r="O628" s="381">
        <v>44996</v>
      </c>
      <c r="P628" s="371"/>
      <c r="Q628" s="145"/>
      <c r="R628" s="150"/>
    </row>
    <row r="629" spans="1:18" ht="35.25" hidden="1" customHeight="1">
      <c r="A629" s="15">
        <f t="shared" si="9"/>
        <v>619</v>
      </c>
      <c r="B629" s="144" t="s">
        <v>1102</v>
      </c>
      <c r="C629" s="150" t="s">
        <v>723</v>
      </c>
      <c r="D629" s="156"/>
      <c r="E629" s="156"/>
      <c r="F629" s="156"/>
      <c r="G629" s="154" t="s">
        <v>2343</v>
      </c>
      <c r="H629" s="141"/>
      <c r="I629" s="153" t="s">
        <v>624</v>
      </c>
      <c r="J629" s="153">
        <v>1</v>
      </c>
      <c r="K629" s="144" t="s">
        <v>730</v>
      </c>
      <c r="L629" s="142" t="s">
        <v>567</v>
      </c>
      <c r="M629" s="11" t="str">
        <f>VLOOKUP(N629,'Mã NV'!$A$3:$B$196,2,0)</f>
        <v>PU11</v>
      </c>
      <c r="N629" s="306" t="s">
        <v>646</v>
      </c>
      <c r="O629" s="381">
        <v>44996</v>
      </c>
      <c r="P629" s="371"/>
      <c r="Q629" s="145"/>
      <c r="R629" s="150"/>
    </row>
    <row r="630" spans="1:18" ht="35.25" hidden="1" customHeight="1">
      <c r="A630" s="15">
        <f t="shared" si="9"/>
        <v>620</v>
      </c>
      <c r="B630" s="144" t="s">
        <v>1103</v>
      </c>
      <c r="C630" s="150" t="s">
        <v>723</v>
      </c>
      <c r="D630" s="156"/>
      <c r="E630" s="156"/>
      <c r="F630" s="156"/>
      <c r="G630" s="154" t="s">
        <v>2343</v>
      </c>
      <c r="H630" s="141"/>
      <c r="I630" s="153" t="s">
        <v>624</v>
      </c>
      <c r="J630" s="153">
        <v>1</v>
      </c>
      <c r="K630" s="144" t="s">
        <v>730</v>
      </c>
      <c r="L630" s="142" t="s">
        <v>567</v>
      </c>
      <c r="M630" s="11" t="str">
        <f>VLOOKUP(N630,'Mã NV'!$A$3:$B$196,2,0)</f>
        <v>PU11</v>
      </c>
      <c r="N630" s="306" t="s">
        <v>646</v>
      </c>
      <c r="O630" s="381">
        <v>44996</v>
      </c>
      <c r="P630" s="371"/>
      <c r="Q630" s="145"/>
      <c r="R630" s="150"/>
    </row>
    <row r="631" spans="1:18" ht="35.25" hidden="1" customHeight="1">
      <c r="A631" s="15">
        <f t="shared" si="9"/>
        <v>621</v>
      </c>
      <c r="B631" s="144" t="s">
        <v>1104</v>
      </c>
      <c r="C631" s="150" t="s">
        <v>723</v>
      </c>
      <c r="D631" s="156"/>
      <c r="E631" s="156"/>
      <c r="F631" s="156"/>
      <c r="G631" s="154" t="s">
        <v>2343</v>
      </c>
      <c r="H631" s="141"/>
      <c r="I631" s="153" t="s">
        <v>624</v>
      </c>
      <c r="J631" s="153">
        <v>1</v>
      </c>
      <c r="K631" s="144" t="s">
        <v>730</v>
      </c>
      <c r="L631" s="142" t="s">
        <v>567</v>
      </c>
      <c r="M631" s="11" t="str">
        <f>VLOOKUP(N631,'Mã NV'!$A$3:$B$196,2,0)</f>
        <v>PU11</v>
      </c>
      <c r="N631" s="306" t="s">
        <v>646</v>
      </c>
      <c r="O631" s="381">
        <v>44996</v>
      </c>
      <c r="P631" s="371"/>
      <c r="Q631" s="145"/>
      <c r="R631" s="150"/>
    </row>
    <row r="632" spans="1:18" ht="35.25" hidden="1" customHeight="1">
      <c r="A632" s="15">
        <f t="shared" si="9"/>
        <v>622</v>
      </c>
      <c r="B632" s="144" t="s">
        <v>1105</v>
      </c>
      <c r="C632" s="150" t="s">
        <v>723</v>
      </c>
      <c r="D632" s="156"/>
      <c r="E632" s="156"/>
      <c r="F632" s="156"/>
      <c r="G632" s="154" t="s">
        <v>2343</v>
      </c>
      <c r="H632" s="141"/>
      <c r="I632" s="153" t="s">
        <v>624</v>
      </c>
      <c r="J632" s="153">
        <v>1</v>
      </c>
      <c r="K632" s="144" t="s">
        <v>730</v>
      </c>
      <c r="L632" s="142" t="s">
        <v>567</v>
      </c>
      <c r="M632" s="11" t="str">
        <f>VLOOKUP(N632,'Mã NV'!$A$3:$B$196,2,0)</f>
        <v>PU11</v>
      </c>
      <c r="N632" s="306" t="s">
        <v>646</v>
      </c>
      <c r="O632" s="381">
        <v>44996</v>
      </c>
      <c r="P632" s="371"/>
      <c r="Q632" s="145"/>
      <c r="R632" s="150"/>
    </row>
    <row r="633" spans="1:18" ht="35.25" hidden="1" customHeight="1">
      <c r="A633" s="15">
        <f t="shared" si="9"/>
        <v>623</v>
      </c>
      <c r="B633" s="144" t="s">
        <v>1106</v>
      </c>
      <c r="C633" s="150" t="s">
        <v>723</v>
      </c>
      <c r="D633" s="156"/>
      <c r="E633" s="156"/>
      <c r="F633" s="156"/>
      <c r="G633" s="154" t="s">
        <v>2343</v>
      </c>
      <c r="H633" s="141"/>
      <c r="I633" s="153" t="s">
        <v>624</v>
      </c>
      <c r="J633" s="153">
        <v>1</v>
      </c>
      <c r="K633" s="144" t="s">
        <v>730</v>
      </c>
      <c r="L633" s="142" t="s">
        <v>567</v>
      </c>
      <c r="M633" s="11" t="str">
        <f>VLOOKUP(N633,'Mã NV'!$A$3:$B$196,2,0)</f>
        <v>PU11</v>
      </c>
      <c r="N633" s="306" t="s">
        <v>646</v>
      </c>
      <c r="O633" s="381">
        <v>44996</v>
      </c>
      <c r="P633" s="371"/>
      <c r="Q633" s="145"/>
      <c r="R633" s="150"/>
    </row>
    <row r="634" spans="1:18" ht="35.25" hidden="1" customHeight="1">
      <c r="A634" s="15">
        <f t="shared" si="9"/>
        <v>624</v>
      </c>
      <c r="B634" s="144" t="s">
        <v>1107</v>
      </c>
      <c r="C634" s="150" t="s">
        <v>723</v>
      </c>
      <c r="D634" s="156"/>
      <c r="E634" s="156"/>
      <c r="F634" s="156"/>
      <c r="G634" s="154" t="s">
        <v>2343</v>
      </c>
      <c r="H634" s="141"/>
      <c r="I634" s="153" t="s">
        <v>624</v>
      </c>
      <c r="J634" s="153">
        <v>1</v>
      </c>
      <c r="K634" s="144" t="s">
        <v>730</v>
      </c>
      <c r="L634" s="142" t="s">
        <v>567</v>
      </c>
      <c r="M634" s="11" t="str">
        <f>VLOOKUP(N634,'Mã NV'!$A$3:$B$196,2,0)</f>
        <v>PU11</v>
      </c>
      <c r="N634" s="306" t="s">
        <v>646</v>
      </c>
      <c r="O634" s="381">
        <v>44996</v>
      </c>
      <c r="P634" s="371"/>
      <c r="Q634" s="145"/>
      <c r="R634" s="150"/>
    </row>
    <row r="635" spans="1:18" ht="35.25" hidden="1" customHeight="1">
      <c r="A635" s="15">
        <f t="shared" si="9"/>
        <v>625</v>
      </c>
      <c r="B635" s="144" t="s">
        <v>1108</v>
      </c>
      <c r="C635" s="150" t="s">
        <v>723</v>
      </c>
      <c r="D635" s="156"/>
      <c r="E635" s="156"/>
      <c r="F635" s="156"/>
      <c r="G635" s="154" t="s">
        <v>2343</v>
      </c>
      <c r="H635" s="141"/>
      <c r="I635" s="153" t="s">
        <v>624</v>
      </c>
      <c r="J635" s="153">
        <v>1</v>
      </c>
      <c r="K635" s="144" t="s">
        <v>730</v>
      </c>
      <c r="L635" s="142" t="s">
        <v>567</v>
      </c>
      <c r="M635" s="11" t="str">
        <f>VLOOKUP(N635,'Mã NV'!$A$3:$B$196,2,0)</f>
        <v>PU11</v>
      </c>
      <c r="N635" s="306" t="s">
        <v>646</v>
      </c>
      <c r="O635" s="381">
        <v>44996</v>
      </c>
      <c r="P635" s="371"/>
      <c r="Q635" s="145"/>
      <c r="R635" s="150"/>
    </row>
    <row r="636" spans="1:18" ht="35.25" hidden="1" customHeight="1">
      <c r="A636" s="15">
        <f t="shared" si="9"/>
        <v>626</v>
      </c>
      <c r="B636" s="142" t="s">
        <v>1109</v>
      </c>
      <c r="C636" s="150" t="s">
        <v>1110</v>
      </c>
      <c r="D636" s="156"/>
      <c r="E636" s="156"/>
      <c r="F636" s="156"/>
      <c r="G636" s="144"/>
      <c r="H636" s="141"/>
      <c r="I636" s="144" t="s">
        <v>2496</v>
      </c>
      <c r="J636" s="153">
        <v>1</v>
      </c>
      <c r="K636" s="144" t="s">
        <v>730</v>
      </c>
      <c r="L636" s="142" t="s">
        <v>2516</v>
      </c>
      <c r="M636" s="11" t="str">
        <f>VLOOKUP(N636,'Mã NV'!$A$3:$B$196,2,0)</f>
        <v>HR06</v>
      </c>
      <c r="N636" s="297" t="s">
        <v>2533</v>
      </c>
      <c r="O636" s="381">
        <v>44197</v>
      </c>
      <c r="P636" s="371"/>
      <c r="Q636" s="145"/>
      <c r="R636" s="150"/>
    </row>
    <row r="637" spans="1:18" ht="35.25" hidden="1" customHeight="1">
      <c r="A637" s="15">
        <f t="shared" si="9"/>
        <v>627</v>
      </c>
      <c r="B637" s="142" t="s">
        <v>1111</v>
      </c>
      <c r="C637" s="150" t="s">
        <v>1110</v>
      </c>
      <c r="D637" s="156"/>
      <c r="E637" s="156"/>
      <c r="F637" s="156"/>
      <c r="G637" s="144"/>
      <c r="H637" s="141"/>
      <c r="I637" s="144" t="s">
        <v>2496</v>
      </c>
      <c r="J637" s="153">
        <v>1</v>
      </c>
      <c r="K637" s="144" t="s">
        <v>730</v>
      </c>
      <c r="L637" s="142" t="s">
        <v>2516</v>
      </c>
      <c r="M637" s="11" t="str">
        <f>VLOOKUP(N637,'Mã NV'!$A$3:$B$196,2,0)</f>
        <v>HR08</v>
      </c>
      <c r="N637" s="297" t="s">
        <v>2534</v>
      </c>
      <c r="O637" s="381">
        <v>44197</v>
      </c>
      <c r="P637" s="371"/>
      <c r="Q637" s="145"/>
      <c r="R637" s="150"/>
    </row>
    <row r="638" spans="1:18" ht="35.25" hidden="1" customHeight="1">
      <c r="A638" s="15">
        <f t="shared" si="9"/>
        <v>628</v>
      </c>
      <c r="B638" s="142" t="s">
        <v>1112</v>
      </c>
      <c r="C638" s="150" t="s">
        <v>1110</v>
      </c>
      <c r="D638" s="156"/>
      <c r="E638" s="156"/>
      <c r="F638" s="156"/>
      <c r="G638" s="144"/>
      <c r="H638" s="141"/>
      <c r="I638" s="144" t="s">
        <v>2496</v>
      </c>
      <c r="J638" s="153">
        <v>1</v>
      </c>
      <c r="K638" s="144" t="s">
        <v>730</v>
      </c>
      <c r="L638" s="142" t="s">
        <v>2516</v>
      </c>
      <c r="M638" s="11" t="str">
        <f>VLOOKUP(N638,'Mã NV'!$A$3:$B$196,2,0)</f>
        <v>HR07</v>
      </c>
      <c r="N638" s="297" t="s">
        <v>2535</v>
      </c>
      <c r="O638" s="381">
        <v>44197</v>
      </c>
      <c r="P638" s="371"/>
      <c r="Q638" s="145"/>
      <c r="R638" s="150"/>
    </row>
    <row r="639" spans="1:18" ht="35.25" hidden="1" customHeight="1">
      <c r="A639" s="15">
        <f t="shared" si="9"/>
        <v>629</v>
      </c>
      <c r="B639" s="142" t="s">
        <v>1113</v>
      </c>
      <c r="C639" s="150" t="s">
        <v>1110</v>
      </c>
      <c r="D639" s="156"/>
      <c r="E639" s="156"/>
      <c r="F639" s="156"/>
      <c r="G639" s="144"/>
      <c r="H639" s="141"/>
      <c r="I639" s="144" t="s">
        <v>2496</v>
      </c>
      <c r="J639" s="153">
        <v>1</v>
      </c>
      <c r="K639" s="144" t="s">
        <v>730</v>
      </c>
      <c r="L639" s="142" t="s">
        <v>2516</v>
      </c>
      <c r="M639" s="11" t="str">
        <f>VLOOKUP(N639,'Mã NV'!$A$3:$B$196,2,0)</f>
        <v>HR08</v>
      </c>
      <c r="N639" s="297" t="s">
        <v>2534</v>
      </c>
      <c r="O639" s="381">
        <v>44197</v>
      </c>
      <c r="P639" s="371"/>
      <c r="Q639" s="145"/>
      <c r="R639" s="142" t="s">
        <v>272</v>
      </c>
    </row>
    <row r="640" spans="1:18" ht="35.25" hidden="1" customHeight="1">
      <c r="A640" s="15">
        <f t="shared" si="9"/>
        <v>630</v>
      </c>
      <c r="B640" s="142" t="s">
        <v>1114</v>
      </c>
      <c r="C640" s="150" t="s">
        <v>1110</v>
      </c>
      <c r="D640" s="156"/>
      <c r="E640" s="156"/>
      <c r="F640" s="156"/>
      <c r="G640" s="144"/>
      <c r="H640" s="141"/>
      <c r="I640" s="144" t="s">
        <v>2496</v>
      </c>
      <c r="J640" s="153">
        <v>1</v>
      </c>
      <c r="K640" s="144" t="s">
        <v>730</v>
      </c>
      <c r="L640" s="142" t="s">
        <v>2516</v>
      </c>
      <c r="M640" s="11" t="str">
        <f>VLOOKUP(N640,'Mã NV'!$A$3:$B$196,2,0)</f>
        <v>HR08</v>
      </c>
      <c r="N640" s="297" t="s">
        <v>2534</v>
      </c>
      <c r="O640" s="381">
        <v>44197</v>
      </c>
      <c r="P640" s="371"/>
      <c r="Q640" s="145"/>
      <c r="R640" s="142" t="s">
        <v>272</v>
      </c>
    </row>
    <row r="641" spans="1:18" ht="35.25" hidden="1" customHeight="1">
      <c r="A641" s="15">
        <f t="shared" si="9"/>
        <v>631</v>
      </c>
      <c r="B641" s="142" t="s">
        <v>1115</v>
      </c>
      <c r="C641" s="150" t="s">
        <v>1110</v>
      </c>
      <c r="D641" s="156"/>
      <c r="E641" s="156"/>
      <c r="F641" s="156"/>
      <c r="G641" s="144"/>
      <c r="H641" s="141"/>
      <c r="I641" s="144" t="s">
        <v>2496</v>
      </c>
      <c r="J641" s="153">
        <v>1</v>
      </c>
      <c r="K641" s="144" t="s">
        <v>730</v>
      </c>
      <c r="L641" s="142" t="s">
        <v>2516</v>
      </c>
      <c r="M641" s="11" t="str">
        <f>VLOOKUP(N641,'Mã NV'!$A$3:$B$196,2,0)</f>
        <v>HR08</v>
      </c>
      <c r="N641" s="297" t="s">
        <v>2534</v>
      </c>
      <c r="O641" s="381">
        <v>44197</v>
      </c>
      <c r="P641" s="371"/>
      <c r="Q641" s="145"/>
      <c r="R641" s="142" t="s">
        <v>272</v>
      </c>
    </row>
    <row r="642" spans="1:18" ht="35.25" hidden="1" customHeight="1">
      <c r="A642" s="15">
        <f t="shared" si="9"/>
        <v>632</v>
      </c>
      <c r="B642" s="142" t="s">
        <v>1116</v>
      </c>
      <c r="C642" s="150" t="s">
        <v>582</v>
      </c>
      <c r="D642" s="156"/>
      <c r="E642" s="156"/>
      <c r="F642" s="156"/>
      <c r="G642" s="144"/>
      <c r="H642" s="141"/>
      <c r="I642" s="144" t="s">
        <v>2496</v>
      </c>
      <c r="J642" s="153">
        <v>1</v>
      </c>
      <c r="K642" s="144" t="s">
        <v>730</v>
      </c>
      <c r="L642" s="142" t="s">
        <v>2516</v>
      </c>
      <c r="M642" s="11" t="str">
        <f>VLOOKUP(N642,'Mã NV'!$A$3:$B$196,2,0)</f>
        <v>HR06</v>
      </c>
      <c r="N642" s="297" t="s">
        <v>2533</v>
      </c>
      <c r="O642" s="381">
        <v>44197</v>
      </c>
      <c r="P642" s="371"/>
      <c r="Q642" s="145"/>
      <c r="R642" s="150"/>
    </row>
    <row r="643" spans="1:18" ht="35.25" hidden="1" customHeight="1">
      <c r="A643" s="15">
        <f t="shared" si="9"/>
        <v>633</v>
      </c>
      <c r="B643" s="142" t="s">
        <v>1117</v>
      </c>
      <c r="C643" s="150" t="s">
        <v>582</v>
      </c>
      <c r="D643" s="156"/>
      <c r="E643" s="156"/>
      <c r="F643" s="156"/>
      <c r="G643" s="144"/>
      <c r="H643" s="141"/>
      <c r="I643" s="144" t="s">
        <v>2496</v>
      </c>
      <c r="J643" s="153">
        <v>1</v>
      </c>
      <c r="K643" s="144" t="s">
        <v>730</v>
      </c>
      <c r="L643" s="142" t="s">
        <v>2516</v>
      </c>
      <c r="M643" s="11" t="str">
        <f>VLOOKUP(N643,'Mã NV'!$A$3:$B$196,2,0)</f>
        <v>HR08</v>
      </c>
      <c r="N643" s="297" t="s">
        <v>2534</v>
      </c>
      <c r="O643" s="381">
        <v>44197</v>
      </c>
      <c r="P643" s="371"/>
      <c r="Q643" s="145"/>
      <c r="R643" s="150"/>
    </row>
    <row r="644" spans="1:18" ht="35.25" hidden="1" customHeight="1">
      <c r="A644" s="15">
        <f t="shared" si="9"/>
        <v>634</v>
      </c>
      <c r="B644" s="142" t="s">
        <v>1118</v>
      </c>
      <c r="C644" s="150" t="s">
        <v>582</v>
      </c>
      <c r="D644" s="156"/>
      <c r="E644" s="156"/>
      <c r="F644" s="156"/>
      <c r="G644" s="144"/>
      <c r="H644" s="141"/>
      <c r="I644" s="144" t="s">
        <v>2496</v>
      </c>
      <c r="J644" s="153">
        <v>1</v>
      </c>
      <c r="K644" s="144" t="s">
        <v>730</v>
      </c>
      <c r="L644" s="142" t="s">
        <v>2516</v>
      </c>
      <c r="M644" s="11" t="str">
        <f>VLOOKUP(N644,'Mã NV'!$A$3:$B$196,2,0)</f>
        <v>HR07</v>
      </c>
      <c r="N644" s="297" t="s">
        <v>2535</v>
      </c>
      <c r="O644" s="381">
        <v>44197</v>
      </c>
      <c r="P644" s="371"/>
      <c r="Q644" s="145"/>
      <c r="R644" s="150"/>
    </row>
    <row r="645" spans="1:18" ht="35.25" hidden="1" customHeight="1">
      <c r="A645" s="15">
        <f t="shared" si="9"/>
        <v>635</v>
      </c>
      <c r="B645" s="142" t="s">
        <v>1119</v>
      </c>
      <c r="C645" s="150" t="s">
        <v>582</v>
      </c>
      <c r="D645" s="156"/>
      <c r="E645" s="156"/>
      <c r="F645" s="156"/>
      <c r="G645" s="144"/>
      <c r="H645" s="141"/>
      <c r="I645" s="144" t="s">
        <v>2496</v>
      </c>
      <c r="J645" s="153">
        <v>1</v>
      </c>
      <c r="K645" s="144" t="s">
        <v>730</v>
      </c>
      <c r="L645" s="142" t="s">
        <v>2516</v>
      </c>
      <c r="M645" s="11" t="str">
        <f>VLOOKUP(N645,'Mã NV'!$A$3:$B$196,2,0)</f>
        <v>HR08</v>
      </c>
      <c r="N645" s="297" t="s">
        <v>2534</v>
      </c>
      <c r="O645" s="381">
        <v>44197</v>
      </c>
      <c r="P645" s="371"/>
      <c r="Q645" s="145"/>
      <c r="R645" s="142" t="s">
        <v>272</v>
      </c>
    </row>
    <row r="646" spans="1:18" ht="35.25" hidden="1" customHeight="1">
      <c r="A646" s="15">
        <f t="shared" si="9"/>
        <v>636</v>
      </c>
      <c r="B646" s="142" t="s">
        <v>1120</v>
      </c>
      <c r="C646" s="150" t="s">
        <v>582</v>
      </c>
      <c r="D646" s="156"/>
      <c r="E646" s="156"/>
      <c r="F646" s="156"/>
      <c r="G646" s="144"/>
      <c r="H646" s="141"/>
      <c r="I646" s="144" t="s">
        <v>2496</v>
      </c>
      <c r="J646" s="153">
        <v>1</v>
      </c>
      <c r="K646" s="144" t="s">
        <v>730</v>
      </c>
      <c r="L646" s="142" t="s">
        <v>2516</v>
      </c>
      <c r="M646" s="11" t="str">
        <f>VLOOKUP(N646,'Mã NV'!$A$3:$B$196,2,0)</f>
        <v>HR08</v>
      </c>
      <c r="N646" s="297" t="s">
        <v>2534</v>
      </c>
      <c r="O646" s="381">
        <v>44197</v>
      </c>
      <c r="P646" s="371"/>
      <c r="Q646" s="145"/>
      <c r="R646" s="142" t="s">
        <v>272</v>
      </c>
    </row>
    <row r="647" spans="1:18" ht="35.25" hidden="1" customHeight="1">
      <c r="A647" s="15">
        <f t="shared" si="9"/>
        <v>637</v>
      </c>
      <c r="B647" s="142" t="s">
        <v>1121</v>
      </c>
      <c r="C647" s="150" t="s">
        <v>1122</v>
      </c>
      <c r="D647" s="156"/>
      <c r="E647" s="156"/>
      <c r="F647" s="156"/>
      <c r="G647" s="144"/>
      <c r="H647" s="141"/>
      <c r="I647" s="144" t="s">
        <v>18</v>
      </c>
      <c r="J647" s="153">
        <v>4</v>
      </c>
      <c r="K647" s="144" t="s">
        <v>730</v>
      </c>
      <c r="L647" s="142" t="s">
        <v>2516</v>
      </c>
      <c r="M647" s="11" t="str">
        <f>VLOOKUP(N647,'Mã NV'!$A$3:$B$196,2,0)</f>
        <v>HR08</v>
      </c>
      <c r="N647" s="297" t="s">
        <v>2534</v>
      </c>
      <c r="O647" s="381">
        <v>44197</v>
      </c>
      <c r="P647" s="371"/>
      <c r="Q647" s="145"/>
      <c r="R647" s="142" t="s">
        <v>272</v>
      </c>
    </row>
    <row r="648" spans="1:18" ht="35.25" hidden="1" customHeight="1">
      <c r="A648" s="15">
        <f t="shared" si="9"/>
        <v>638</v>
      </c>
      <c r="B648" s="142" t="s">
        <v>1123</v>
      </c>
      <c r="C648" s="150" t="s">
        <v>1124</v>
      </c>
      <c r="D648" s="156"/>
      <c r="E648" s="156"/>
      <c r="F648" s="156"/>
      <c r="G648" s="154"/>
      <c r="H648" s="141"/>
      <c r="I648" s="144" t="s">
        <v>18</v>
      </c>
      <c r="J648" s="153">
        <v>4</v>
      </c>
      <c r="K648" s="144" t="s">
        <v>730</v>
      </c>
      <c r="L648" s="142" t="s">
        <v>2516</v>
      </c>
      <c r="M648" s="11" t="str">
        <f>VLOOKUP(N648,'Mã NV'!$A$3:$B$196,2,0)</f>
        <v>HR08</v>
      </c>
      <c r="N648" s="297" t="s">
        <v>2534</v>
      </c>
      <c r="O648" s="381">
        <v>44197</v>
      </c>
      <c r="P648" s="371"/>
      <c r="Q648" s="145"/>
      <c r="R648" s="150" t="s">
        <v>3243</v>
      </c>
    </row>
    <row r="649" spans="1:18" ht="35.25" hidden="1" customHeight="1">
      <c r="A649" s="15">
        <f t="shared" si="9"/>
        <v>639</v>
      </c>
      <c r="B649" s="142" t="s">
        <v>1125</v>
      </c>
      <c r="C649" s="150" t="s">
        <v>139</v>
      </c>
      <c r="D649" s="156"/>
      <c r="E649" s="156"/>
      <c r="F649" s="156"/>
      <c r="G649" s="154"/>
      <c r="H649" s="141"/>
      <c r="I649" s="144" t="s">
        <v>2496</v>
      </c>
      <c r="J649" s="153">
        <v>1</v>
      </c>
      <c r="K649" s="144" t="s">
        <v>730</v>
      </c>
      <c r="L649" s="142" t="s">
        <v>2516</v>
      </c>
      <c r="M649" s="11" t="str">
        <f>VLOOKUP(N649,'Mã NV'!$A$3:$B$196,2,0)</f>
        <v>HR08</v>
      </c>
      <c r="N649" s="297" t="s">
        <v>2534</v>
      </c>
      <c r="O649" s="380">
        <f>VLOOKUP(B649,'Tổng hợp (3)'!$C$4:$E$985,3,0)</f>
        <v>44691</v>
      </c>
      <c r="P649" s="378"/>
      <c r="Q649" s="145"/>
      <c r="R649" s="142" t="s">
        <v>272</v>
      </c>
    </row>
    <row r="650" spans="1:18" ht="35.25" hidden="1" customHeight="1">
      <c r="A650" s="15">
        <f t="shared" si="9"/>
        <v>640</v>
      </c>
      <c r="B650" s="142" t="s">
        <v>1126</v>
      </c>
      <c r="C650" s="150" t="s">
        <v>1127</v>
      </c>
      <c r="D650" s="156"/>
      <c r="E650" s="156"/>
      <c r="F650" s="156"/>
      <c r="G650" s="154"/>
      <c r="H650" s="141"/>
      <c r="I650" s="144" t="s">
        <v>2496</v>
      </c>
      <c r="J650" s="153">
        <v>1</v>
      </c>
      <c r="K650" s="144" t="s">
        <v>730</v>
      </c>
      <c r="L650" s="142" t="s">
        <v>2516</v>
      </c>
      <c r="M650" s="11" t="str">
        <f>VLOOKUP(N650,'Mã NV'!$A$3:$B$196,2,0)</f>
        <v>HR08</v>
      </c>
      <c r="N650" s="297" t="s">
        <v>2534</v>
      </c>
      <c r="O650" s="380">
        <f>VLOOKUP(B650,'Tổng hợp (3)'!$C$4:$E$985,3,0)</f>
        <v>44398</v>
      </c>
      <c r="P650" s="378"/>
      <c r="Q650" s="145"/>
      <c r="R650" s="142" t="s">
        <v>272</v>
      </c>
    </row>
    <row r="651" spans="1:18" ht="35.25" hidden="1" customHeight="1">
      <c r="A651" s="15">
        <f t="shared" si="9"/>
        <v>641</v>
      </c>
      <c r="B651" s="142" t="s">
        <v>1128</v>
      </c>
      <c r="C651" s="150" t="s">
        <v>620</v>
      </c>
      <c r="D651" s="156"/>
      <c r="E651" s="156"/>
      <c r="F651" s="156"/>
      <c r="G651" s="144"/>
      <c r="H651" s="141"/>
      <c r="I651" s="144" t="s">
        <v>2496</v>
      </c>
      <c r="J651" s="153">
        <v>1</v>
      </c>
      <c r="K651" s="144" t="s">
        <v>730</v>
      </c>
      <c r="L651" s="142" t="s">
        <v>2516</v>
      </c>
      <c r="M651" s="11" t="str">
        <f>VLOOKUP(N651,'Mã NV'!$A$3:$B$196,2,0)</f>
        <v>HR08</v>
      </c>
      <c r="N651" s="297" t="s">
        <v>2534</v>
      </c>
      <c r="O651" s="381">
        <v>44197</v>
      </c>
      <c r="P651" s="371"/>
      <c r="Q651" s="145"/>
      <c r="R651" s="150"/>
    </row>
    <row r="652" spans="1:18" ht="35.25" hidden="1" customHeight="1">
      <c r="A652" s="15">
        <f t="shared" si="9"/>
        <v>642</v>
      </c>
      <c r="B652" s="142" t="s">
        <v>1129</v>
      </c>
      <c r="C652" s="150" t="s">
        <v>120</v>
      </c>
      <c r="D652" s="156"/>
      <c r="E652" s="156"/>
      <c r="F652" s="156"/>
      <c r="G652" s="144"/>
      <c r="H652" s="141"/>
      <c r="I652" s="144" t="s">
        <v>2496</v>
      </c>
      <c r="J652" s="153">
        <v>1</v>
      </c>
      <c r="K652" s="144" t="s">
        <v>730</v>
      </c>
      <c r="L652" s="142" t="s">
        <v>2516</v>
      </c>
      <c r="M652" s="11" t="str">
        <f>VLOOKUP(N652,'Mã NV'!$A$3:$B$196,2,0)</f>
        <v>HR08</v>
      </c>
      <c r="N652" s="297" t="s">
        <v>2534</v>
      </c>
      <c r="O652" s="381">
        <v>44197</v>
      </c>
      <c r="P652" s="371"/>
      <c r="Q652" s="145"/>
      <c r="R652" s="150"/>
    </row>
    <row r="653" spans="1:18" ht="35.25" hidden="1" customHeight="1">
      <c r="A653" s="15">
        <f t="shared" si="9"/>
        <v>643</v>
      </c>
      <c r="B653" s="142" t="s">
        <v>1130</v>
      </c>
      <c r="C653" s="150" t="s">
        <v>1131</v>
      </c>
      <c r="D653" s="156"/>
      <c r="E653" s="156"/>
      <c r="F653" s="156"/>
      <c r="G653" s="144"/>
      <c r="H653" s="141"/>
      <c r="I653" s="144" t="s">
        <v>2496</v>
      </c>
      <c r="J653" s="153">
        <v>1</v>
      </c>
      <c r="K653" s="144" t="s">
        <v>730</v>
      </c>
      <c r="L653" s="142" t="s">
        <v>2516</v>
      </c>
      <c r="M653" s="11" t="str">
        <f>VLOOKUP(N653,'Mã NV'!$A$3:$B$196,2,0)</f>
        <v>HR08</v>
      </c>
      <c r="N653" s="297" t="s">
        <v>2534</v>
      </c>
      <c r="O653" s="381">
        <v>44197</v>
      </c>
      <c r="P653" s="371"/>
      <c r="Q653" s="145"/>
      <c r="R653" s="142" t="s">
        <v>272</v>
      </c>
    </row>
    <row r="654" spans="1:18" ht="35.25" hidden="1" customHeight="1">
      <c r="A654" s="15">
        <f t="shared" si="9"/>
        <v>644</v>
      </c>
      <c r="B654" s="142" t="s">
        <v>1132</v>
      </c>
      <c r="C654" s="150" t="s">
        <v>1133</v>
      </c>
      <c r="D654" s="156"/>
      <c r="E654" s="156"/>
      <c r="F654" s="156"/>
      <c r="G654" s="144"/>
      <c r="H654" s="141"/>
      <c r="I654" s="144" t="s">
        <v>2496</v>
      </c>
      <c r="J654" s="153">
        <v>1</v>
      </c>
      <c r="K654" s="144" t="s">
        <v>730</v>
      </c>
      <c r="L654" s="142" t="s">
        <v>2516</v>
      </c>
      <c r="M654" s="11" t="str">
        <f>VLOOKUP(N654,'Mã NV'!$A$3:$B$196,2,0)</f>
        <v>HR08</v>
      </c>
      <c r="N654" s="297" t="s">
        <v>2534</v>
      </c>
      <c r="O654" s="381">
        <v>44197</v>
      </c>
      <c r="P654" s="371"/>
      <c r="Q654" s="145"/>
      <c r="R654" s="142" t="s">
        <v>272</v>
      </c>
    </row>
    <row r="655" spans="1:18" ht="35.25" hidden="1" customHeight="1">
      <c r="A655" s="15">
        <f t="shared" si="9"/>
        <v>645</v>
      </c>
      <c r="B655" s="142" t="s">
        <v>1134</v>
      </c>
      <c r="C655" s="150" t="s">
        <v>1135</v>
      </c>
      <c r="D655" s="156"/>
      <c r="E655" s="156"/>
      <c r="F655" s="156"/>
      <c r="G655" s="144"/>
      <c r="H655" s="141"/>
      <c r="I655" s="144" t="s">
        <v>2496</v>
      </c>
      <c r="J655" s="153">
        <v>1</v>
      </c>
      <c r="K655" s="144" t="s">
        <v>730</v>
      </c>
      <c r="L655" s="142" t="s">
        <v>2516</v>
      </c>
      <c r="M655" s="11" t="str">
        <f>VLOOKUP(N655,'Mã NV'!$A$3:$B$196,2,0)</f>
        <v>HR08</v>
      </c>
      <c r="N655" s="297" t="s">
        <v>2534</v>
      </c>
      <c r="O655" s="381">
        <v>44197</v>
      </c>
      <c r="P655" s="371"/>
      <c r="Q655" s="145"/>
      <c r="R655" s="142" t="s">
        <v>272</v>
      </c>
    </row>
    <row r="656" spans="1:18" ht="35.25" hidden="1" customHeight="1">
      <c r="A656" s="15">
        <f t="shared" si="9"/>
        <v>646</v>
      </c>
      <c r="B656" s="142" t="s">
        <v>1136</v>
      </c>
      <c r="C656" s="150" t="s">
        <v>1137</v>
      </c>
      <c r="D656" s="156"/>
      <c r="E656" s="156"/>
      <c r="F656" s="156"/>
      <c r="G656" s="154"/>
      <c r="H656" s="141"/>
      <c r="I656" s="144" t="s">
        <v>2496</v>
      </c>
      <c r="J656" s="153">
        <v>1</v>
      </c>
      <c r="K656" s="144" t="s">
        <v>730</v>
      </c>
      <c r="L656" s="142" t="s">
        <v>2516</v>
      </c>
      <c r="M656" s="11" t="str">
        <f>VLOOKUP(N656,'Mã NV'!$A$3:$B$196,2,0)</f>
        <v>HR08</v>
      </c>
      <c r="N656" s="297" t="s">
        <v>2534</v>
      </c>
      <c r="O656" s="381">
        <v>44197</v>
      </c>
      <c r="P656" s="371"/>
      <c r="Q656" s="145"/>
      <c r="R656" s="142" t="s">
        <v>272</v>
      </c>
    </row>
    <row r="657" spans="1:18" ht="35.25" hidden="1" customHeight="1">
      <c r="A657" s="15">
        <f t="shared" si="9"/>
        <v>647</v>
      </c>
      <c r="B657" s="142" t="s">
        <v>1138</v>
      </c>
      <c r="C657" s="150" t="s">
        <v>1139</v>
      </c>
      <c r="D657" s="156"/>
      <c r="E657" s="156"/>
      <c r="F657" s="156"/>
      <c r="G657" s="154"/>
      <c r="H657" s="141"/>
      <c r="I657" s="144" t="s">
        <v>2496</v>
      </c>
      <c r="J657" s="153">
        <v>2</v>
      </c>
      <c r="K657" s="144" t="s">
        <v>730</v>
      </c>
      <c r="L657" s="142" t="s">
        <v>2516</v>
      </c>
      <c r="M657" s="11" t="str">
        <f>VLOOKUP(N657,'Mã NV'!$A$3:$B$196,2,0)</f>
        <v>HR08</v>
      </c>
      <c r="N657" s="297" t="s">
        <v>2534</v>
      </c>
      <c r="O657" s="381">
        <v>44197</v>
      </c>
      <c r="P657" s="371"/>
      <c r="Q657" s="145"/>
      <c r="R657" s="142" t="s">
        <v>272</v>
      </c>
    </row>
    <row r="658" spans="1:18" ht="35.25" hidden="1" customHeight="1">
      <c r="A658" s="15">
        <f t="shared" ref="A658:A721" si="10">A657+1</f>
        <v>648</v>
      </c>
      <c r="B658" s="142" t="s">
        <v>1140</v>
      </c>
      <c r="C658" s="150" t="s">
        <v>1141</v>
      </c>
      <c r="D658" s="156"/>
      <c r="E658" s="156"/>
      <c r="F658" s="156"/>
      <c r="G658" s="154"/>
      <c r="H658" s="141"/>
      <c r="I658" s="144" t="s">
        <v>2496</v>
      </c>
      <c r="J658" s="153">
        <v>3</v>
      </c>
      <c r="K658" s="144" t="s">
        <v>730</v>
      </c>
      <c r="L658" s="142" t="s">
        <v>2516</v>
      </c>
      <c r="M658" s="11" t="str">
        <f>VLOOKUP(N658,'Mã NV'!$A$3:$B$196,2,0)</f>
        <v>HR08</v>
      </c>
      <c r="N658" s="297" t="s">
        <v>2534</v>
      </c>
      <c r="O658" s="380">
        <f>VLOOKUP(B658,'Tổng hợp (3)'!$C$4:$E$985,3,0)</f>
        <v>44746</v>
      </c>
      <c r="P658" s="378"/>
      <c r="Q658" s="145"/>
      <c r="R658" s="142" t="s">
        <v>272</v>
      </c>
    </row>
    <row r="659" spans="1:18" ht="35.25" hidden="1" customHeight="1">
      <c r="A659" s="15">
        <f t="shared" si="10"/>
        <v>649</v>
      </c>
      <c r="B659" s="142" t="s">
        <v>1142</v>
      </c>
      <c r="C659" s="150" t="s">
        <v>1143</v>
      </c>
      <c r="D659" s="156"/>
      <c r="E659" s="156"/>
      <c r="F659" s="156"/>
      <c r="G659" s="154"/>
      <c r="H659" s="141"/>
      <c r="I659" s="144" t="s">
        <v>2496</v>
      </c>
      <c r="J659" s="153">
        <v>8</v>
      </c>
      <c r="K659" s="144" t="s">
        <v>730</v>
      </c>
      <c r="L659" s="142" t="s">
        <v>2516</v>
      </c>
      <c r="M659" s="11" t="str">
        <f>VLOOKUP(N659,'Mã NV'!$A$3:$B$196,2,0)</f>
        <v>HR08</v>
      </c>
      <c r="N659" s="297" t="s">
        <v>2534</v>
      </c>
      <c r="O659" s="380">
        <f>VLOOKUP(B659,'Tổng hợp (3)'!$C$4:$E$985,3,0)</f>
        <v>44660</v>
      </c>
      <c r="P659" s="378"/>
      <c r="Q659" s="145"/>
      <c r="R659" s="142" t="s">
        <v>272</v>
      </c>
    </row>
    <row r="660" spans="1:18" ht="35.25" hidden="1" customHeight="1">
      <c r="A660" s="15">
        <f t="shared" si="10"/>
        <v>650</v>
      </c>
      <c r="B660" s="142" t="s">
        <v>1144</v>
      </c>
      <c r="C660" s="150" t="s">
        <v>1145</v>
      </c>
      <c r="D660" s="156"/>
      <c r="E660" s="156"/>
      <c r="F660" s="156"/>
      <c r="G660" s="154"/>
      <c r="H660" s="141"/>
      <c r="I660" s="144" t="s">
        <v>2496</v>
      </c>
      <c r="J660" s="153">
        <v>1</v>
      </c>
      <c r="K660" s="144" t="s">
        <v>730</v>
      </c>
      <c r="L660" s="142" t="s">
        <v>2516</v>
      </c>
      <c r="M660" s="11" t="str">
        <f>VLOOKUP(N660,'Mã NV'!$A$3:$B$196,2,0)</f>
        <v>HR06</v>
      </c>
      <c r="N660" s="297" t="s">
        <v>2533</v>
      </c>
      <c r="O660" s="381">
        <v>44197</v>
      </c>
      <c r="P660" s="371"/>
      <c r="Q660" s="145"/>
      <c r="R660" s="150"/>
    </row>
    <row r="661" spans="1:18" ht="35.25" hidden="1" customHeight="1">
      <c r="A661" s="15">
        <f t="shared" si="10"/>
        <v>651</v>
      </c>
      <c r="B661" s="142" t="s">
        <v>1146</v>
      </c>
      <c r="C661" s="150" t="s">
        <v>1147</v>
      </c>
      <c r="D661" s="156"/>
      <c r="E661" s="156"/>
      <c r="F661" s="156"/>
      <c r="G661" s="154" t="s">
        <v>2344</v>
      </c>
      <c r="H661" s="141"/>
      <c r="I661" s="144" t="s">
        <v>2496</v>
      </c>
      <c r="J661" s="153">
        <v>1</v>
      </c>
      <c r="K661" s="144" t="s">
        <v>730</v>
      </c>
      <c r="L661" s="142" t="s">
        <v>2516</v>
      </c>
      <c r="M661" s="11" t="str">
        <f>VLOOKUP(N661,'Mã NV'!$A$3:$B$196,2,0)</f>
        <v>HR08</v>
      </c>
      <c r="N661" s="297" t="s">
        <v>2534</v>
      </c>
      <c r="O661" s="381">
        <v>44197</v>
      </c>
      <c r="P661" s="378"/>
      <c r="Q661" s="145"/>
      <c r="R661" s="142" t="s">
        <v>272</v>
      </c>
    </row>
    <row r="662" spans="1:18" ht="35.25" hidden="1" customHeight="1">
      <c r="A662" s="15">
        <f t="shared" si="10"/>
        <v>652</v>
      </c>
      <c r="B662" s="142" t="s">
        <v>1148</v>
      </c>
      <c r="C662" s="150" t="s">
        <v>1147</v>
      </c>
      <c r="D662" s="156"/>
      <c r="E662" s="156"/>
      <c r="F662" s="156"/>
      <c r="G662" s="154" t="s">
        <v>2345</v>
      </c>
      <c r="H662" s="141"/>
      <c r="I662" s="144" t="s">
        <v>2496</v>
      </c>
      <c r="J662" s="153">
        <v>1</v>
      </c>
      <c r="K662" s="144" t="s">
        <v>730</v>
      </c>
      <c r="L662" s="142" t="s">
        <v>2516</v>
      </c>
      <c r="M662" s="11" t="str">
        <f>VLOOKUP(N662,'Mã NV'!$A$3:$B$196,2,0)</f>
        <v>HR08</v>
      </c>
      <c r="N662" s="297" t="s">
        <v>2534</v>
      </c>
      <c r="O662" s="381">
        <v>44197</v>
      </c>
      <c r="P662" s="371"/>
      <c r="Q662" s="145"/>
      <c r="R662" s="142" t="s">
        <v>272</v>
      </c>
    </row>
    <row r="663" spans="1:18" ht="35.25" hidden="1" customHeight="1">
      <c r="A663" s="15">
        <f t="shared" si="10"/>
        <v>653</v>
      </c>
      <c r="B663" s="142" t="s">
        <v>1149</v>
      </c>
      <c r="C663" s="150" t="s">
        <v>1147</v>
      </c>
      <c r="D663" s="156"/>
      <c r="E663" s="156"/>
      <c r="F663" s="156"/>
      <c r="G663" s="154" t="s">
        <v>2346</v>
      </c>
      <c r="H663" s="141"/>
      <c r="I663" s="144" t="s">
        <v>2496</v>
      </c>
      <c r="J663" s="153">
        <v>1</v>
      </c>
      <c r="K663" s="144" t="s">
        <v>730</v>
      </c>
      <c r="L663" s="142" t="s">
        <v>2516</v>
      </c>
      <c r="M663" s="11" t="str">
        <f>VLOOKUP(N663,'Mã NV'!$A$3:$B$196,2,0)</f>
        <v>HR08</v>
      </c>
      <c r="N663" s="297" t="s">
        <v>2534</v>
      </c>
      <c r="O663" s="381">
        <v>44197</v>
      </c>
      <c r="P663" s="371"/>
      <c r="Q663" s="145"/>
      <c r="R663" s="142" t="s">
        <v>272</v>
      </c>
    </row>
    <row r="664" spans="1:18" ht="35.25" hidden="1" customHeight="1">
      <c r="A664" s="15">
        <f t="shared" si="10"/>
        <v>654</v>
      </c>
      <c r="B664" s="142" t="s">
        <v>1150</v>
      </c>
      <c r="C664" s="150" t="s">
        <v>1147</v>
      </c>
      <c r="D664" s="156"/>
      <c r="E664" s="156"/>
      <c r="F664" s="156"/>
      <c r="G664" s="154" t="s">
        <v>2347</v>
      </c>
      <c r="H664" s="141"/>
      <c r="I664" s="144" t="s">
        <v>2496</v>
      </c>
      <c r="J664" s="153">
        <v>1</v>
      </c>
      <c r="K664" s="144" t="s">
        <v>730</v>
      </c>
      <c r="L664" s="142" t="s">
        <v>2516</v>
      </c>
      <c r="M664" s="11" t="str">
        <f>VLOOKUP(N664,'Mã NV'!$A$3:$B$196,2,0)</f>
        <v>HR08</v>
      </c>
      <c r="N664" s="297" t="s">
        <v>2534</v>
      </c>
      <c r="O664" s="381">
        <v>44197</v>
      </c>
      <c r="P664" s="371"/>
      <c r="Q664" s="145"/>
      <c r="R664" s="142" t="s">
        <v>272</v>
      </c>
    </row>
    <row r="665" spans="1:18" ht="35.25" hidden="1" customHeight="1">
      <c r="A665" s="15">
        <f t="shared" si="10"/>
        <v>655</v>
      </c>
      <c r="B665" s="142" t="s">
        <v>1151</v>
      </c>
      <c r="C665" s="150" t="s">
        <v>1147</v>
      </c>
      <c r="D665" s="156"/>
      <c r="E665" s="156"/>
      <c r="F665" s="156"/>
      <c r="G665" s="154" t="s">
        <v>2348</v>
      </c>
      <c r="H665" s="141"/>
      <c r="I665" s="144" t="s">
        <v>2496</v>
      </c>
      <c r="J665" s="153">
        <v>1</v>
      </c>
      <c r="K665" s="144" t="s">
        <v>730</v>
      </c>
      <c r="L665" s="142" t="s">
        <v>2516</v>
      </c>
      <c r="M665" s="11" t="str">
        <f>VLOOKUP(N665,'Mã NV'!$A$3:$B$196,2,0)</f>
        <v>HR08</v>
      </c>
      <c r="N665" s="297" t="s">
        <v>2534</v>
      </c>
      <c r="O665" s="381">
        <v>44197</v>
      </c>
      <c r="P665" s="371"/>
      <c r="Q665" s="145"/>
      <c r="R665" s="142" t="s">
        <v>272</v>
      </c>
    </row>
    <row r="666" spans="1:18" ht="35.25" hidden="1" customHeight="1">
      <c r="A666" s="15">
        <f t="shared" si="10"/>
        <v>656</v>
      </c>
      <c r="B666" s="142" t="s">
        <v>1152</v>
      </c>
      <c r="C666" s="150" t="s">
        <v>1147</v>
      </c>
      <c r="D666" s="156"/>
      <c r="E666" s="156"/>
      <c r="F666" s="156"/>
      <c r="G666" s="154" t="s">
        <v>2349</v>
      </c>
      <c r="H666" s="141"/>
      <c r="I666" s="144" t="s">
        <v>2496</v>
      </c>
      <c r="J666" s="153">
        <v>1</v>
      </c>
      <c r="K666" s="144" t="s">
        <v>730</v>
      </c>
      <c r="L666" s="142" t="s">
        <v>2516</v>
      </c>
      <c r="M666" s="11" t="str">
        <f>VLOOKUP(N666,'Mã NV'!$A$3:$B$196,2,0)</f>
        <v>HR08</v>
      </c>
      <c r="N666" s="297" t="s">
        <v>2534</v>
      </c>
      <c r="O666" s="381">
        <v>44197</v>
      </c>
      <c r="P666" s="371"/>
      <c r="Q666" s="145"/>
      <c r="R666" s="142" t="s">
        <v>272</v>
      </c>
    </row>
    <row r="667" spans="1:18" ht="35.25" hidden="1" customHeight="1">
      <c r="A667" s="15">
        <f t="shared" si="10"/>
        <v>657</v>
      </c>
      <c r="B667" s="142" t="s">
        <v>1153</v>
      </c>
      <c r="C667" s="150" t="s">
        <v>1147</v>
      </c>
      <c r="D667" s="156"/>
      <c r="E667" s="156"/>
      <c r="F667" s="156"/>
      <c r="G667" s="154" t="s">
        <v>2350</v>
      </c>
      <c r="H667" s="141"/>
      <c r="I667" s="144" t="s">
        <v>2496</v>
      </c>
      <c r="J667" s="153">
        <v>1</v>
      </c>
      <c r="K667" s="144" t="s">
        <v>730</v>
      </c>
      <c r="L667" s="142" t="s">
        <v>2516</v>
      </c>
      <c r="M667" s="11" t="str">
        <f>VLOOKUP(N667,'Mã NV'!$A$3:$B$196,2,0)</f>
        <v>HR08</v>
      </c>
      <c r="N667" s="297" t="s">
        <v>2534</v>
      </c>
      <c r="O667" s="381">
        <v>44197</v>
      </c>
      <c r="P667" s="371"/>
      <c r="Q667" s="145"/>
      <c r="R667" s="142" t="s">
        <v>272</v>
      </c>
    </row>
    <row r="668" spans="1:18" ht="35.25" hidden="1" customHeight="1">
      <c r="A668" s="15">
        <f t="shared" si="10"/>
        <v>658</v>
      </c>
      <c r="B668" s="142" t="s">
        <v>1154</v>
      </c>
      <c r="C668" s="150" t="s">
        <v>1147</v>
      </c>
      <c r="D668" s="156"/>
      <c r="E668" s="156"/>
      <c r="F668" s="156"/>
      <c r="G668" s="154" t="s">
        <v>2351</v>
      </c>
      <c r="H668" s="141"/>
      <c r="I668" s="144" t="s">
        <v>2496</v>
      </c>
      <c r="J668" s="153">
        <v>1</v>
      </c>
      <c r="K668" s="144" t="s">
        <v>730</v>
      </c>
      <c r="L668" s="142" t="s">
        <v>2516</v>
      </c>
      <c r="M668" s="11" t="str">
        <f>VLOOKUP(N668,'Mã NV'!$A$3:$B$196,2,0)</f>
        <v>HR08</v>
      </c>
      <c r="N668" s="297" t="s">
        <v>2534</v>
      </c>
      <c r="O668" s="381">
        <v>44197</v>
      </c>
      <c r="P668" s="371"/>
      <c r="Q668" s="145"/>
      <c r="R668" s="142" t="s">
        <v>272</v>
      </c>
    </row>
    <row r="669" spans="1:18" ht="35.25" hidden="1" customHeight="1">
      <c r="A669" s="15">
        <f t="shared" si="10"/>
        <v>659</v>
      </c>
      <c r="B669" s="142" t="s">
        <v>1155</v>
      </c>
      <c r="C669" s="150" t="s">
        <v>1147</v>
      </c>
      <c r="D669" s="156"/>
      <c r="E669" s="156"/>
      <c r="F669" s="156"/>
      <c r="G669" s="154" t="s">
        <v>2352</v>
      </c>
      <c r="H669" s="141"/>
      <c r="I669" s="144" t="s">
        <v>2496</v>
      </c>
      <c r="J669" s="153">
        <v>1</v>
      </c>
      <c r="K669" s="144" t="s">
        <v>730</v>
      </c>
      <c r="L669" s="142" t="s">
        <v>2516</v>
      </c>
      <c r="M669" s="11" t="str">
        <f>VLOOKUP(N669,'Mã NV'!$A$3:$B$196,2,0)</f>
        <v>HR08</v>
      </c>
      <c r="N669" s="297" t="s">
        <v>2534</v>
      </c>
      <c r="O669" s="381">
        <v>44197</v>
      </c>
      <c r="P669" s="371"/>
      <c r="Q669" s="145"/>
      <c r="R669" s="142" t="s">
        <v>272</v>
      </c>
    </row>
    <row r="670" spans="1:18" ht="35.25" hidden="1" customHeight="1">
      <c r="A670" s="15">
        <f t="shared" si="10"/>
        <v>660</v>
      </c>
      <c r="B670" s="142" t="s">
        <v>1156</v>
      </c>
      <c r="C670" s="150" t="s">
        <v>1147</v>
      </c>
      <c r="D670" s="156"/>
      <c r="E670" s="156"/>
      <c r="F670" s="156"/>
      <c r="G670" s="154" t="s">
        <v>2353</v>
      </c>
      <c r="H670" s="141"/>
      <c r="I670" s="144" t="s">
        <v>2496</v>
      </c>
      <c r="J670" s="153">
        <v>1</v>
      </c>
      <c r="K670" s="144" t="s">
        <v>730</v>
      </c>
      <c r="L670" s="142" t="s">
        <v>2516</v>
      </c>
      <c r="M670" s="11" t="str">
        <f>VLOOKUP(N670,'Mã NV'!$A$3:$B$196,2,0)</f>
        <v>HR08</v>
      </c>
      <c r="N670" s="297" t="s">
        <v>2534</v>
      </c>
      <c r="O670" s="381">
        <v>44197</v>
      </c>
      <c r="P670" s="371"/>
      <c r="Q670" s="145"/>
      <c r="R670" s="142" t="s">
        <v>272</v>
      </c>
    </row>
    <row r="671" spans="1:18" ht="35.25" hidden="1" customHeight="1">
      <c r="A671" s="15">
        <f t="shared" si="10"/>
        <v>661</v>
      </c>
      <c r="B671" s="142" t="s">
        <v>1157</v>
      </c>
      <c r="C671" s="150" t="s">
        <v>1147</v>
      </c>
      <c r="D671" s="156"/>
      <c r="E671" s="156"/>
      <c r="F671" s="156"/>
      <c r="G671" s="154" t="s">
        <v>2354</v>
      </c>
      <c r="H671" s="141"/>
      <c r="I671" s="144" t="s">
        <v>2496</v>
      </c>
      <c r="J671" s="153">
        <v>1</v>
      </c>
      <c r="K671" s="144" t="s">
        <v>730</v>
      </c>
      <c r="L671" s="142" t="s">
        <v>2516</v>
      </c>
      <c r="M671" s="11" t="str">
        <f>VLOOKUP(N671,'Mã NV'!$A$3:$B$196,2,0)</f>
        <v>HR08</v>
      </c>
      <c r="N671" s="297" t="s">
        <v>2534</v>
      </c>
      <c r="O671" s="381">
        <v>44197</v>
      </c>
      <c r="P671" s="371"/>
      <c r="Q671" s="145"/>
      <c r="R671" s="142" t="s">
        <v>272</v>
      </c>
    </row>
    <row r="672" spans="1:18" ht="35.25" hidden="1" customHeight="1">
      <c r="A672" s="15">
        <f t="shared" si="10"/>
        <v>662</v>
      </c>
      <c r="B672" s="142" t="s">
        <v>1158</v>
      </c>
      <c r="C672" s="150" t="s">
        <v>1147</v>
      </c>
      <c r="D672" s="156"/>
      <c r="E672" s="156"/>
      <c r="F672" s="156"/>
      <c r="G672" s="154" t="s">
        <v>2355</v>
      </c>
      <c r="H672" s="141"/>
      <c r="I672" s="144" t="s">
        <v>2496</v>
      </c>
      <c r="J672" s="153">
        <v>1</v>
      </c>
      <c r="K672" s="144" t="s">
        <v>730</v>
      </c>
      <c r="L672" s="142" t="s">
        <v>2516</v>
      </c>
      <c r="M672" s="11" t="str">
        <f>VLOOKUP(N672,'Mã NV'!$A$3:$B$196,2,0)</f>
        <v>HR08</v>
      </c>
      <c r="N672" s="297" t="s">
        <v>2534</v>
      </c>
      <c r="O672" s="381">
        <v>44197</v>
      </c>
      <c r="P672" s="371"/>
      <c r="Q672" s="145"/>
      <c r="R672" s="142" t="s">
        <v>272</v>
      </c>
    </row>
    <row r="673" spans="1:18" ht="35.25" hidden="1" customHeight="1">
      <c r="A673" s="15">
        <f t="shared" si="10"/>
        <v>663</v>
      </c>
      <c r="B673" s="142" t="s">
        <v>1159</v>
      </c>
      <c r="C673" s="150" t="s">
        <v>1160</v>
      </c>
      <c r="D673" s="156"/>
      <c r="E673" s="156"/>
      <c r="F673" s="156"/>
      <c r="G673" s="154" t="s">
        <v>2356</v>
      </c>
      <c r="H673" s="141"/>
      <c r="I673" s="144" t="s">
        <v>2496</v>
      </c>
      <c r="J673" s="153">
        <v>1</v>
      </c>
      <c r="K673" s="144" t="s">
        <v>730</v>
      </c>
      <c r="L673" s="142" t="s">
        <v>2516</v>
      </c>
      <c r="M673" s="11" t="str">
        <f>VLOOKUP(N673,'Mã NV'!$A$3:$B$196,2,0)</f>
        <v>HR08</v>
      </c>
      <c r="N673" s="297" t="s">
        <v>2534</v>
      </c>
      <c r="O673" s="381">
        <v>44197</v>
      </c>
      <c r="P673" s="371"/>
      <c r="Q673" s="145"/>
      <c r="R673" s="142" t="s">
        <v>272</v>
      </c>
    </row>
    <row r="674" spans="1:18" ht="35.25" hidden="1" customHeight="1">
      <c r="A674" s="15">
        <f t="shared" si="10"/>
        <v>664</v>
      </c>
      <c r="B674" s="142" t="s">
        <v>1161</v>
      </c>
      <c r="C674" s="150" t="s">
        <v>1160</v>
      </c>
      <c r="D674" s="156"/>
      <c r="E674" s="156"/>
      <c r="F674" s="156"/>
      <c r="G674" s="154" t="s">
        <v>2356</v>
      </c>
      <c r="H674" s="141"/>
      <c r="I674" s="144" t="s">
        <v>2496</v>
      </c>
      <c r="J674" s="153">
        <v>1</v>
      </c>
      <c r="K674" s="144" t="s">
        <v>730</v>
      </c>
      <c r="L674" s="142" t="s">
        <v>2516</v>
      </c>
      <c r="M674" s="11" t="str">
        <f>VLOOKUP(N674,'Mã NV'!$A$3:$B$196,2,0)</f>
        <v>HR08</v>
      </c>
      <c r="N674" s="297" t="s">
        <v>2534</v>
      </c>
      <c r="O674" s="381">
        <v>44197</v>
      </c>
      <c r="P674" s="371"/>
      <c r="Q674" s="145"/>
      <c r="R674" s="142" t="s">
        <v>272</v>
      </c>
    </row>
    <row r="675" spans="1:18" ht="35.25" hidden="1" customHeight="1">
      <c r="A675" s="15">
        <f t="shared" si="10"/>
        <v>665</v>
      </c>
      <c r="B675" s="142" t="s">
        <v>1162</v>
      </c>
      <c r="C675" s="150" t="s">
        <v>1160</v>
      </c>
      <c r="D675" s="156"/>
      <c r="E675" s="156"/>
      <c r="F675" s="156"/>
      <c r="G675" s="154" t="s">
        <v>2356</v>
      </c>
      <c r="H675" s="141"/>
      <c r="I675" s="144" t="s">
        <v>2496</v>
      </c>
      <c r="J675" s="153">
        <v>1</v>
      </c>
      <c r="K675" s="144" t="s">
        <v>730</v>
      </c>
      <c r="L675" s="142" t="s">
        <v>2516</v>
      </c>
      <c r="M675" s="11" t="str">
        <f>VLOOKUP(N675,'Mã NV'!$A$3:$B$196,2,0)</f>
        <v>HR08</v>
      </c>
      <c r="N675" s="297" t="s">
        <v>2534</v>
      </c>
      <c r="O675" s="381">
        <v>44197</v>
      </c>
      <c r="P675" s="371"/>
      <c r="Q675" s="145"/>
      <c r="R675" s="142" t="s">
        <v>272</v>
      </c>
    </row>
    <row r="676" spans="1:18" ht="35.25" hidden="1" customHeight="1">
      <c r="A676" s="15">
        <f t="shared" si="10"/>
        <v>666</v>
      </c>
      <c r="B676" s="142" t="s">
        <v>1163</v>
      </c>
      <c r="C676" s="150" t="s">
        <v>1160</v>
      </c>
      <c r="D676" s="156"/>
      <c r="E676" s="156"/>
      <c r="F676" s="156"/>
      <c r="G676" s="154" t="s">
        <v>2356</v>
      </c>
      <c r="H676" s="141"/>
      <c r="I676" s="144" t="s">
        <v>2496</v>
      </c>
      <c r="J676" s="153">
        <v>1</v>
      </c>
      <c r="K676" s="144" t="s">
        <v>730</v>
      </c>
      <c r="L676" s="142" t="s">
        <v>2516</v>
      </c>
      <c r="M676" s="11" t="str">
        <f>VLOOKUP(N676,'Mã NV'!$A$3:$B$196,2,0)</f>
        <v>HR08</v>
      </c>
      <c r="N676" s="297" t="s">
        <v>2534</v>
      </c>
      <c r="O676" s="381">
        <v>44197</v>
      </c>
      <c r="P676" s="371"/>
      <c r="Q676" s="145"/>
      <c r="R676" s="142" t="s">
        <v>272</v>
      </c>
    </row>
    <row r="677" spans="1:18" ht="35.25" hidden="1" customHeight="1">
      <c r="A677" s="15">
        <f t="shared" si="10"/>
        <v>667</v>
      </c>
      <c r="B677" s="142" t="s">
        <v>1164</v>
      </c>
      <c r="C677" s="150" t="s">
        <v>1165</v>
      </c>
      <c r="D677" s="156"/>
      <c r="E677" s="156"/>
      <c r="F677" s="156"/>
      <c r="G677" s="154" t="s">
        <v>2357</v>
      </c>
      <c r="H677" s="141"/>
      <c r="I677" s="144" t="s">
        <v>2497</v>
      </c>
      <c r="J677" s="153">
        <v>1</v>
      </c>
      <c r="K677" s="144" t="s">
        <v>730</v>
      </c>
      <c r="L677" s="142" t="s">
        <v>2516</v>
      </c>
      <c r="M677" s="11" t="str">
        <f>VLOOKUP(N677,'Mã NV'!$A$3:$B$196,2,0)</f>
        <v>HR08</v>
      </c>
      <c r="N677" s="297" t="s">
        <v>2534</v>
      </c>
      <c r="O677" s="380">
        <f>VLOOKUP(B677,'Tổng hợp (3)'!$C$4:$E$985,3,0)</f>
        <v>44690</v>
      </c>
      <c r="P677" s="378"/>
      <c r="Q677" s="145"/>
      <c r="R677" s="142" t="s">
        <v>272</v>
      </c>
    </row>
    <row r="678" spans="1:18" ht="35.25" hidden="1" customHeight="1">
      <c r="A678" s="15">
        <f t="shared" si="10"/>
        <v>668</v>
      </c>
      <c r="B678" s="142" t="s">
        <v>1166</v>
      </c>
      <c r="C678" s="150" t="s">
        <v>1165</v>
      </c>
      <c r="D678" s="156"/>
      <c r="E678" s="156"/>
      <c r="F678" s="156"/>
      <c r="G678" s="154" t="s">
        <v>2358</v>
      </c>
      <c r="H678" s="141"/>
      <c r="I678" s="144" t="s">
        <v>2497</v>
      </c>
      <c r="J678" s="153">
        <v>1</v>
      </c>
      <c r="K678" s="144" t="s">
        <v>730</v>
      </c>
      <c r="L678" s="142" t="s">
        <v>2516</v>
      </c>
      <c r="M678" s="11" t="str">
        <f>VLOOKUP(N678,'Mã NV'!$A$3:$B$196,2,0)</f>
        <v>HR08</v>
      </c>
      <c r="N678" s="297" t="s">
        <v>2534</v>
      </c>
      <c r="O678" s="380">
        <f>VLOOKUP(B678,'Tổng hợp (3)'!$C$4:$E$985,3,0)</f>
        <v>44690</v>
      </c>
      <c r="P678" s="378"/>
      <c r="Q678" s="145"/>
      <c r="R678" s="142" t="s">
        <v>272</v>
      </c>
    </row>
    <row r="679" spans="1:18" ht="35.25" hidden="1" customHeight="1">
      <c r="A679" s="15">
        <f t="shared" si="10"/>
        <v>669</v>
      </c>
      <c r="B679" s="142" t="s">
        <v>1167</v>
      </c>
      <c r="C679" s="150" t="s">
        <v>1168</v>
      </c>
      <c r="D679" s="156"/>
      <c r="E679" s="156"/>
      <c r="F679" s="156"/>
      <c r="G679" s="144"/>
      <c r="H679" s="141"/>
      <c r="I679" s="144" t="s">
        <v>18</v>
      </c>
      <c r="J679" s="153">
        <v>1</v>
      </c>
      <c r="K679" s="144" t="s">
        <v>730</v>
      </c>
      <c r="L679" s="142" t="s">
        <v>2516</v>
      </c>
      <c r="M679" s="11" t="str">
        <f>VLOOKUP(N679,'Mã NV'!$A$3:$B$196,2,0)</f>
        <v>HR08</v>
      </c>
      <c r="N679" s="297" t="s">
        <v>2534</v>
      </c>
      <c r="O679" s="381">
        <v>44197</v>
      </c>
      <c r="P679" s="371"/>
      <c r="Q679" s="145"/>
      <c r="R679" s="142" t="s">
        <v>272</v>
      </c>
    </row>
    <row r="680" spans="1:18" ht="35.25" hidden="1" customHeight="1">
      <c r="A680" s="15">
        <f t="shared" si="10"/>
        <v>670</v>
      </c>
      <c r="B680" s="142" t="s">
        <v>1169</v>
      </c>
      <c r="C680" s="150" t="s">
        <v>1170</v>
      </c>
      <c r="D680" s="156"/>
      <c r="E680" s="156"/>
      <c r="F680" s="156"/>
      <c r="G680" s="144"/>
      <c r="H680" s="141"/>
      <c r="I680" s="144" t="s">
        <v>18</v>
      </c>
      <c r="J680" s="153">
        <v>1</v>
      </c>
      <c r="K680" s="144" t="s">
        <v>730</v>
      </c>
      <c r="L680" s="142" t="s">
        <v>2516</v>
      </c>
      <c r="M680" s="11" t="str">
        <f>VLOOKUP(N680,'Mã NV'!$A$3:$B$196,2,0)</f>
        <v>HR08</v>
      </c>
      <c r="N680" s="297" t="s">
        <v>2534</v>
      </c>
      <c r="O680" s="381">
        <v>44197</v>
      </c>
      <c r="P680" s="371"/>
      <c r="Q680" s="145"/>
      <c r="R680" s="142" t="s">
        <v>272</v>
      </c>
    </row>
    <row r="681" spans="1:18" ht="35.25" hidden="1" customHeight="1">
      <c r="A681" s="15">
        <f t="shared" si="10"/>
        <v>671</v>
      </c>
      <c r="B681" s="9" t="s">
        <v>1171</v>
      </c>
      <c r="C681" s="14" t="s">
        <v>1172</v>
      </c>
      <c r="D681" s="156"/>
      <c r="E681" s="156"/>
      <c r="F681" s="156"/>
      <c r="G681" s="64"/>
      <c r="H681" s="141"/>
      <c r="I681" s="144" t="s">
        <v>18</v>
      </c>
      <c r="J681" s="153">
        <v>2</v>
      </c>
      <c r="K681" s="144" t="s">
        <v>730</v>
      </c>
      <c r="L681" s="142" t="s">
        <v>2516</v>
      </c>
      <c r="M681" s="11" t="str">
        <f>VLOOKUP(N681,'Mã NV'!$A$3:$B$196,2,0)</f>
        <v>HR08</v>
      </c>
      <c r="N681" s="297" t="s">
        <v>2534</v>
      </c>
      <c r="O681" s="380">
        <f>VLOOKUP(B681,'Tổng hợp (3)'!$C$4:$E$985,3,0)</f>
        <v>44691</v>
      </c>
      <c r="P681" s="378"/>
      <c r="Q681" s="145"/>
      <c r="R681" s="142" t="s">
        <v>272</v>
      </c>
    </row>
    <row r="682" spans="1:18" ht="35.25" hidden="1" customHeight="1">
      <c r="A682" s="15">
        <f t="shared" si="10"/>
        <v>672</v>
      </c>
      <c r="B682" s="144" t="s">
        <v>1173</v>
      </c>
      <c r="C682" s="150" t="s">
        <v>1174</v>
      </c>
      <c r="D682" s="156"/>
      <c r="E682" s="156"/>
      <c r="F682" s="156"/>
      <c r="G682" s="154" t="s">
        <v>634</v>
      </c>
      <c r="H682" s="141"/>
      <c r="I682" s="153" t="s">
        <v>566</v>
      </c>
      <c r="J682" s="153">
        <v>1</v>
      </c>
      <c r="K682" s="144" t="s">
        <v>730</v>
      </c>
      <c r="L682" s="142" t="s">
        <v>2517</v>
      </c>
      <c r="M682" s="11" t="str">
        <f>VLOOKUP(N682,'Mã NV'!$A$3:$B$196,2,0)</f>
        <v>BU14</v>
      </c>
      <c r="N682" s="297" t="s">
        <v>2536</v>
      </c>
      <c r="O682" s="382" t="s">
        <v>4267</v>
      </c>
      <c r="P682" s="371"/>
      <c r="Q682" s="145"/>
      <c r="R682" s="150"/>
    </row>
    <row r="683" spans="1:18" ht="35.25" hidden="1" customHeight="1">
      <c r="A683" s="15">
        <f t="shared" si="10"/>
        <v>673</v>
      </c>
      <c r="B683" s="144" t="s">
        <v>1175</v>
      </c>
      <c r="C683" s="150" t="s">
        <v>1176</v>
      </c>
      <c r="D683" s="156"/>
      <c r="E683" s="156"/>
      <c r="F683" s="156"/>
      <c r="G683" s="154"/>
      <c r="H683" s="141"/>
      <c r="I683" s="153" t="s">
        <v>566</v>
      </c>
      <c r="J683" s="153">
        <v>1</v>
      </c>
      <c r="K683" s="144" t="s">
        <v>730</v>
      </c>
      <c r="L683" s="142" t="s">
        <v>2517</v>
      </c>
      <c r="M683" s="11" t="str">
        <f>VLOOKUP(N683,'Mã NV'!$A$3:$B$196,2,0)</f>
        <v>BU14</v>
      </c>
      <c r="N683" s="297" t="s">
        <v>2536</v>
      </c>
      <c r="O683" s="382" t="s">
        <v>4267</v>
      </c>
      <c r="P683" s="371"/>
      <c r="Q683" s="145"/>
      <c r="R683" s="150"/>
    </row>
    <row r="684" spans="1:18" ht="35.25" hidden="1" customHeight="1">
      <c r="A684" s="15">
        <f t="shared" si="10"/>
        <v>674</v>
      </c>
      <c r="B684" s="144" t="s">
        <v>1177</v>
      </c>
      <c r="C684" s="150" t="s">
        <v>601</v>
      </c>
      <c r="D684" s="156"/>
      <c r="E684" s="156"/>
      <c r="F684" s="156"/>
      <c r="G684" s="154"/>
      <c r="H684" s="141"/>
      <c r="I684" s="153" t="s">
        <v>566</v>
      </c>
      <c r="J684" s="153">
        <v>1</v>
      </c>
      <c r="K684" s="144" t="s">
        <v>730</v>
      </c>
      <c r="L684" s="142" t="s">
        <v>2517</v>
      </c>
      <c r="M684" s="11" t="str">
        <f>VLOOKUP(N684,'Mã NV'!$A$3:$B$196,2,0)</f>
        <v>BU14</v>
      </c>
      <c r="N684" s="297" t="s">
        <v>2536</v>
      </c>
      <c r="O684" s="382" t="s">
        <v>4267</v>
      </c>
      <c r="P684" s="371"/>
      <c r="Q684" s="145"/>
      <c r="R684" s="150"/>
    </row>
    <row r="685" spans="1:18" ht="35.25" hidden="1" customHeight="1">
      <c r="A685" s="15">
        <f t="shared" si="10"/>
        <v>675</v>
      </c>
      <c r="B685" s="144" t="s">
        <v>1178</v>
      </c>
      <c r="C685" s="150" t="s">
        <v>1179</v>
      </c>
      <c r="D685" s="156"/>
      <c r="E685" s="156"/>
      <c r="F685" s="156"/>
      <c r="G685" s="154" t="s">
        <v>385</v>
      </c>
      <c r="H685" s="141"/>
      <c r="I685" s="153" t="s">
        <v>566</v>
      </c>
      <c r="J685" s="153">
        <v>1</v>
      </c>
      <c r="K685" s="144" t="s">
        <v>730</v>
      </c>
      <c r="L685" s="142" t="s">
        <v>2517</v>
      </c>
      <c r="M685" s="11" t="str">
        <f>VLOOKUP(N685,'Mã NV'!$A$3:$B$196,2,0)</f>
        <v>BU14</v>
      </c>
      <c r="N685" s="297" t="s">
        <v>2536</v>
      </c>
      <c r="O685" s="381">
        <v>44197</v>
      </c>
      <c r="P685" s="371"/>
      <c r="Q685" s="145"/>
      <c r="R685" s="150"/>
    </row>
    <row r="686" spans="1:18" ht="35.25" hidden="1" customHeight="1">
      <c r="A686" s="15">
        <f t="shared" si="10"/>
        <v>676</v>
      </c>
      <c r="B686" s="144" t="s">
        <v>1180</v>
      </c>
      <c r="C686" s="150" t="s">
        <v>663</v>
      </c>
      <c r="D686" s="156"/>
      <c r="E686" s="156"/>
      <c r="F686" s="156"/>
      <c r="G686" s="154" t="s">
        <v>2359</v>
      </c>
      <c r="H686" s="141"/>
      <c r="I686" s="153" t="s">
        <v>566</v>
      </c>
      <c r="J686" s="153">
        <v>1</v>
      </c>
      <c r="K686" s="144" t="s">
        <v>730</v>
      </c>
      <c r="L686" s="142" t="s">
        <v>2517</v>
      </c>
      <c r="M686" s="11" t="str">
        <f>VLOOKUP(N686,'Mã NV'!$A$3:$B$196,2,0)</f>
        <v>BU14</v>
      </c>
      <c r="N686" s="297" t="s">
        <v>2536</v>
      </c>
      <c r="O686" s="381">
        <v>44197</v>
      </c>
      <c r="P686" s="371"/>
      <c r="Q686" s="145"/>
      <c r="R686" s="150"/>
    </row>
    <row r="687" spans="1:18" ht="35.25" hidden="1" customHeight="1">
      <c r="A687" s="15">
        <f t="shared" si="10"/>
        <v>677</v>
      </c>
      <c r="B687" s="144" t="s">
        <v>1181</v>
      </c>
      <c r="C687" s="150" t="s">
        <v>1182</v>
      </c>
      <c r="D687" s="156"/>
      <c r="E687" s="156"/>
      <c r="F687" s="156"/>
      <c r="G687" s="144" t="s">
        <v>438</v>
      </c>
      <c r="H687" s="141"/>
      <c r="I687" s="153" t="s">
        <v>566</v>
      </c>
      <c r="J687" s="153">
        <v>1</v>
      </c>
      <c r="K687" s="144" t="s">
        <v>730</v>
      </c>
      <c r="L687" s="142" t="s">
        <v>2517</v>
      </c>
      <c r="M687" s="11" t="str">
        <f>VLOOKUP(N687,'Mã NV'!$A$3:$B$196,2,0)</f>
        <v>BU14</v>
      </c>
      <c r="N687" s="297" t="s">
        <v>2536</v>
      </c>
      <c r="O687" s="381">
        <v>44197</v>
      </c>
      <c r="P687" s="371"/>
      <c r="Q687" s="145"/>
      <c r="R687" s="150"/>
    </row>
    <row r="688" spans="1:18" ht="35.25" hidden="1" customHeight="1">
      <c r="A688" s="15">
        <f t="shared" si="10"/>
        <v>678</v>
      </c>
      <c r="B688" s="144" t="s">
        <v>1183</v>
      </c>
      <c r="C688" s="150" t="s">
        <v>1184</v>
      </c>
      <c r="D688" s="156"/>
      <c r="E688" s="156"/>
      <c r="F688" s="156"/>
      <c r="G688" s="144"/>
      <c r="H688" s="141"/>
      <c r="I688" s="153" t="s">
        <v>566</v>
      </c>
      <c r="J688" s="153">
        <v>1</v>
      </c>
      <c r="K688" s="144" t="s">
        <v>730</v>
      </c>
      <c r="L688" s="142" t="s">
        <v>2517</v>
      </c>
      <c r="M688" s="11" t="str">
        <f>VLOOKUP(N688,'Mã NV'!$A$3:$B$196,2,0)</f>
        <v>BU14</v>
      </c>
      <c r="N688" s="297" t="s">
        <v>2536</v>
      </c>
      <c r="O688" s="381">
        <v>44197</v>
      </c>
      <c r="P688" s="371"/>
      <c r="Q688" s="145"/>
      <c r="R688" s="150"/>
    </row>
    <row r="689" spans="1:18" ht="35.25" hidden="1" customHeight="1">
      <c r="A689" s="15">
        <f t="shared" si="10"/>
        <v>679</v>
      </c>
      <c r="B689" s="144" t="s">
        <v>1185</v>
      </c>
      <c r="C689" s="150" t="s">
        <v>578</v>
      </c>
      <c r="D689" s="156"/>
      <c r="E689" s="156"/>
      <c r="F689" s="156"/>
      <c r="G689" s="144"/>
      <c r="H689" s="141"/>
      <c r="I689" s="153" t="s">
        <v>566</v>
      </c>
      <c r="J689" s="153">
        <v>1</v>
      </c>
      <c r="K689" s="144" t="s">
        <v>730</v>
      </c>
      <c r="L689" s="142" t="s">
        <v>2517</v>
      </c>
      <c r="M689" s="11" t="str">
        <f>VLOOKUP(N689,'Mã NV'!$A$3:$B$196,2,0)</f>
        <v>BU14</v>
      </c>
      <c r="N689" s="297" t="s">
        <v>2536</v>
      </c>
      <c r="O689" s="381">
        <v>44197</v>
      </c>
      <c r="P689" s="371"/>
      <c r="Q689" s="145"/>
      <c r="R689" s="150"/>
    </row>
    <row r="690" spans="1:18" ht="35.25" hidden="1" customHeight="1">
      <c r="A690" s="15">
        <f t="shared" si="10"/>
        <v>680</v>
      </c>
      <c r="B690" s="144" t="s">
        <v>1186</v>
      </c>
      <c r="C690" s="150" t="s">
        <v>570</v>
      </c>
      <c r="D690" s="156"/>
      <c r="E690" s="156"/>
      <c r="F690" s="156"/>
      <c r="G690" s="150" t="s">
        <v>2360</v>
      </c>
      <c r="H690" s="141"/>
      <c r="I690" s="153" t="s">
        <v>181</v>
      </c>
      <c r="J690" s="153">
        <v>1</v>
      </c>
      <c r="K690" s="144" t="s">
        <v>730</v>
      </c>
      <c r="L690" s="142" t="s">
        <v>2517</v>
      </c>
      <c r="M690" s="11" t="str">
        <f>VLOOKUP(N690,'Mã NV'!$A$3:$B$196,2,0)</f>
        <v>BU12</v>
      </c>
      <c r="N690" s="297" t="s">
        <v>2537</v>
      </c>
      <c r="O690" s="380">
        <f>VLOOKUP(B690,'Tổng hợp (3)'!$C$4:$E$985,3,0)</f>
        <v>44498</v>
      </c>
      <c r="P690" s="378"/>
      <c r="Q690" s="145"/>
      <c r="R690" s="150"/>
    </row>
    <row r="691" spans="1:18" ht="35.25" hidden="1" customHeight="1">
      <c r="A691" s="15">
        <f t="shared" si="10"/>
        <v>681</v>
      </c>
      <c r="B691" s="144" t="s">
        <v>1187</v>
      </c>
      <c r="C691" s="150" t="s">
        <v>445</v>
      </c>
      <c r="D691" s="156"/>
      <c r="E691" s="156"/>
      <c r="F691" s="156"/>
      <c r="G691" s="150"/>
      <c r="H691" s="141"/>
      <c r="I691" s="153" t="s">
        <v>18</v>
      </c>
      <c r="J691" s="153">
        <v>1</v>
      </c>
      <c r="K691" s="144" t="s">
        <v>730</v>
      </c>
      <c r="L691" s="142" t="s">
        <v>2517</v>
      </c>
      <c r="M691" s="11" t="str">
        <f>VLOOKUP(N691,'Mã NV'!$A$3:$B$196,2,0)</f>
        <v>BU12</v>
      </c>
      <c r="N691" s="297" t="s">
        <v>2537</v>
      </c>
      <c r="O691" s="380">
        <f>VLOOKUP(B691,'Tổng hợp (3)'!$C$4:$E$985,3,0)</f>
        <v>44765</v>
      </c>
      <c r="P691" s="378"/>
      <c r="Q691" s="145"/>
      <c r="R691" s="150"/>
    </row>
    <row r="692" spans="1:18" ht="35.25" hidden="1" customHeight="1">
      <c r="A692" s="15">
        <f t="shared" si="10"/>
        <v>682</v>
      </c>
      <c r="B692" s="144" t="s">
        <v>1188</v>
      </c>
      <c r="C692" s="150" t="s">
        <v>1189</v>
      </c>
      <c r="D692" s="156"/>
      <c r="E692" s="156"/>
      <c r="F692" s="156"/>
      <c r="G692" s="144" t="s">
        <v>2361</v>
      </c>
      <c r="H692" s="141"/>
      <c r="I692" s="153" t="s">
        <v>566</v>
      </c>
      <c r="J692" s="153">
        <v>1</v>
      </c>
      <c r="K692" s="144" t="s">
        <v>730</v>
      </c>
      <c r="L692" s="142" t="s">
        <v>2517</v>
      </c>
      <c r="M692" s="11" t="str">
        <f>VLOOKUP(N692,'Mã NV'!$A$3:$B$196,2,0)</f>
        <v>BU12</v>
      </c>
      <c r="N692" s="297" t="s">
        <v>2537</v>
      </c>
      <c r="O692" s="380">
        <f>VLOOKUP(B692,'Tổng hợp (3)'!$C$4:$E$985,3,0)</f>
        <v>44498</v>
      </c>
      <c r="P692" s="378"/>
      <c r="Q692" s="145"/>
      <c r="R692" s="150"/>
    </row>
    <row r="693" spans="1:18" ht="35.25" hidden="1" customHeight="1">
      <c r="A693" s="15">
        <f t="shared" si="10"/>
        <v>683</v>
      </c>
      <c r="B693" s="144" t="s">
        <v>1190</v>
      </c>
      <c r="C693" s="150" t="s">
        <v>575</v>
      </c>
      <c r="D693" s="156"/>
      <c r="E693" s="156"/>
      <c r="F693" s="156"/>
      <c r="G693" s="144" t="s">
        <v>596</v>
      </c>
      <c r="H693" s="141"/>
      <c r="I693" s="153" t="s">
        <v>566</v>
      </c>
      <c r="J693" s="153">
        <v>1</v>
      </c>
      <c r="K693" s="144" t="s">
        <v>730</v>
      </c>
      <c r="L693" s="142" t="s">
        <v>2517</v>
      </c>
      <c r="M693" s="11" t="str">
        <f>VLOOKUP(N693,'Mã NV'!$A$3:$B$196,2,0)</f>
        <v>BU12</v>
      </c>
      <c r="N693" s="297" t="s">
        <v>2537</v>
      </c>
      <c r="O693" s="381">
        <v>44197</v>
      </c>
      <c r="P693" s="371"/>
      <c r="Q693" s="145"/>
      <c r="R693" s="150"/>
    </row>
    <row r="694" spans="1:18" ht="35.25" hidden="1" customHeight="1">
      <c r="A694" s="15">
        <f t="shared" si="10"/>
        <v>684</v>
      </c>
      <c r="B694" s="144" t="s">
        <v>1191</v>
      </c>
      <c r="C694" s="150" t="s">
        <v>1192</v>
      </c>
      <c r="D694" s="156"/>
      <c r="E694" s="156"/>
      <c r="F694" s="156"/>
      <c r="G694" s="144" t="s">
        <v>2362</v>
      </c>
      <c r="H694" s="141"/>
      <c r="I694" s="153" t="s">
        <v>566</v>
      </c>
      <c r="J694" s="153">
        <v>1</v>
      </c>
      <c r="K694" s="144" t="s">
        <v>730</v>
      </c>
      <c r="L694" s="142" t="s">
        <v>2517</v>
      </c>
      <c r="M694" s="11" t="str">
        <f>VLOOKUP(N694,'Mã NV'!$A$3:$B$196,2,0)</f>
        <v>BU12</v>
      </c>
      <c r="N694" s="297" t="s">
        <v>2537</v>
      </c>
      <c r="O694" s="381">
        <v>44197</v>
      </c>
      <c r="P694" s="371"/>
      <c r="Q694" s="145"/>
      <c r="R694" s="150"/>
    </row>
    <row r="695" spans="1:18" ht="35.25" hidden="1" customHeight="1">
      <c r="A695" s="15">
        <f t="shared" si="10"/>
        <v>685</v>
      </c>
      <c r="B695" s="144" t="s">
        <v>1193</v>
      </c>
      <c r="C695" s="150" t="s">
        <v>1182</v>
      </c>
      <c r="D695" s="156"/>
      <c r="E695" s="156"/>
      <c r="F695" s="156"/>
      <c r="G695" s="144" t="s">
        <v>438</v>
      </c>
      <c r="H695" s="141"/>
      <c r="I695" s="153" t="s">
        <v>566</v>
      </c>
      <c r="J695" s="153">
        <v>1</v>
      </c>
      <c r="K695" s="144" t="s">
        <v>730</v>
      </c>
      <c r="L695" s="142" t="s">
        <v>2517</v>
      </c>
      <c r="M695" s="11" t="str">
        <f>VLOOKUP(N695,'Mã NV'!$A$3:$B$196,2,0)</f>
        <v>BU12</v>
      </c>
      <c r="N695" s="297" t="s">
        <v>2537</v>
      </c>
      <c r="O695" s="381">
        <v>44197</v>
      </c>
      <c r="P695" s="371"/>
      <c r="Q695" s="145"/>
      <c r="R695" s="150"/>
    </row>
    <row r="696" spans="1:18" ht="35.25" hidden="1" customHeight="1">
      <c r="A696" s="15">
        <f t="shared" si="10"/>
        <v>686</v>
      </c>
      <c r="B696" s="144" t="s">
        <v>1194</v>
      </c>
      <c r="C696" s="150" t="s">
        <v>1184</v>
      </c>
      <c r="D696" s="169"/>
      <c r="E696" s="169"/>
      <c r="F696" s="169"/>
      <c r="G696" s="144"/>
      <c r="H696" s="141"/>
      <c r="I696" s="153" t="s">
        <v>566</v>
      </c>
      <c r="J696" s="153">
        <v>1</v>
      </c>
      <c r="K696" s="144" t="s">
        <v>730</v>
      </c>
      <c r="L696" s="142" t="s">
        <v>2517</v>
      </c>
      <c r="M696" s="11" t="str">
        <f>VLOOKUP(N696,'Mã NV'!$A$3:$B$196,2,0)</f>
        <v>BU12</v>
      </c>
      <c r="N696" s="297" t="s">
        <v>2537</v>
      </c>
      <c r="O696" s="381">
        <v>44197</v>
      </c>
      <c r="P696" s="371"/>
      <c r="Q696" s="240"/>
      <c r="R696" s="150"/>
    </row>
    <row r="697" spans="1:18" ht="35.25" hidden="1" customHeight="1">
      <c r="A697" s="15">
        <f t="shared" si="10"/>
        <v>687</v>
      </c>
      <c r="B697" s="144" t="s">
        <v>1195</v>
      </c>
      <c r="C697" s="150" t="s">
        <v>578</v>
      </c>
      <c r="D697" s="156"/>
      <c r="E697" s="156"/>
      <c r="F697" s="156"/>
      <c r="G697" s="144"/>
      <c r="H697" s="141"/>
      <c r="I697" s="153" t="s">
        <v>566</v>
      </c>
      <c r="J697" s="153">
        <v>1</v>
      </c>
      <c r="K697" s="144" t="s">
        <v>2498</v>
      </c>
      <c r="L697" s="142" t="s">
        <v>2517</v>
      </c>
      <c r="M697" s="11" t="str">
        <f>VLOOKUP(N697,'Mã NV'!$A$3:$B$196,2,0)</f>
        <v>BU12</v>
      </c>
      <c r="N697" s="297" t="s">
        <v>2537</v>
      </c>
      <c r="O697" s="381">
        <v>44197</v>
      </c>
      <c r="P697" s="371"/>
      <c r="Q697" s="240"/>
      <c r="R697" s="150"/>
    </row>
    <row r="698" spans="1:18" ht="35.25" hidden="1" customHeight="1">
      <c r="A698" s="15">
        <f t="shared" si="10"/>
        <v>688</v>
      </c>
      <c r="B698" s="144" t="s">
        <v>1196</v>
      </c>
      <c r="C698" s="150" t="s">
        <v>1197</v>
      </c>
      <c r="D698" s="156"/>
      <c r="E698" s="156"/>
      <c r="F698" s="156"/>
      <c r="G698" s="149" t="s">
        <v>2363</v>
      </c>
      <c r="H698" s="141"/>
      <c r="I698" s="153" t="s">
        <v>18</v>
      </c>
      <c r="J698" s="153">
        <v>1</v>
      </c>
      <c r="K698" s="142" t="s">
        <v>730</v>
      </c>
      <c r="L698" s="142" t="s">
        <v>191</v>
      </c>
      <c r="M698" s="11" t="str">
        <f>VLOOKUP(N698,'Mã NV'!$A$3:$B$196,2,0)</f>
        <v>BU24</v>
      </c>
      <c r="N698" s="297" t="s">
        <v>2538</v>
      </c>
      <c r="O698" s="381">
        <v>44197</v>
      </c>
      <c r="P698" s="371"/>
      <c r="Q698" s="240"/>
      <c r="R698" s="150"/>
    </row>
    <row r="699" spans="1:18" ht="35.25" hidden="1" customHeight="1">
      <c r="A699" s="15">
        <f t="shared" si="10"/>
        <v>689</v>
      </c>
      <c r="B699" s="144" t="s">
        <v>1198</v>
      </c>
      <c r="C699" s="150" t="s">
        <v>445</v>
      </c>
      <c r="D699" s="156"/>
      <c r="E699" s="156"/>
      <c r="F699" s="156"/>
      <c r="G699" s="149"/>
      <c r="H699" s="141"/>
      <c r="I699" s="153" t="s">
        <v>18</v>
      </c>
      <c r="J699" s="153">
        <v>1</v>
      </c>
      <c r="K699" s="142" t="s">
        <v>730</v>
      </c>
      <c r="L699" s="142" t="s">
        <v>191</v>
      </c>
      <c r="M699" s="11" t="str">
        <f>VLOOKUP(N699,'Mã NV'!$A$3:$B$196,2,0)</f>
        <v>BU24</v>
      </c>
      <c r="N699" s="297" t="s">
        <v>2538</v>
      </c>
      <c r="O699" s="380">
        <f>VLOOKUP(B699,'Tổng hợp (3)'!$C$4:$E$985,3,0)</f>
        <v>44761</v>
      </c>
      <c r="P699" s="378"/>
      <c r="Q699" s="240"/>
      <c r="R699" s="150"/>
    </row>
    <row r="700" spans="1:18" ht="35.25" hidden="1" customHeight="1">
      <c r="A700" s="15">
        <f t="shared" si="10"/>
        <v>690</v>
      </c>
      <c r="B700" s="144" t="s">
        <v>1199</v>
      </c>
      <c r="C700" s="150" t="s">
        <v>1200</v>
      </c>
      <c r="D700" s="156"/>
      <c r="E700" s="156"/>
      <c r="F700" s="156"/>
      <c r="G700" s="149" t="s">
        <v>2364</v>
      </c>
      <c r="H700" s="141"/>
      <c r="I700" s="153" t="s">
        <v>18</v>
      </c>
      <c r="J700" s="153">
        <v>1</v>
      </c>
      <c r="K700" s="142" t="s">
        <v>730</v>
      </c>
      <c r="L700" s="142" t="s">
        <v>191</v>
      </c>
      <c r="M700" s="11" t="str">
        <f>VLOOKUP(N700,'Mã NV'!$A$3:$B$196,2,0)</f>
        <v>BU24</v>
      </c>
      <c r="N700" s="297" t="s">
        <v>2538</v>
      </c>
      <c r="O700" s="381">
        <v>44197</v>
      </c>
      <c r="P700" s="371"/>
      <c r="Q700" s="240"/>
      <c r="R700" s="150"/>
    </row>
    <row r="701" spans="1:18" ht="35.25" hidden="1" customHeight="1">
      <c r="A701" s="15">
        <f t="shared" si="10"/>
        <v>691</v>
      </c>
      <c r="B701" s="144" t="s">
        <v>1201</v>
      </c>
      <c r="C701" s="150" t="s">
        <v>605</v>
      </c>
      <c r="D701" s="156"/>
      <c r="E701" s="156"/>
      <c r="F701" s="156"/>
      <c r="G701" s="149" t="s">
        <v>596</v>
      </c>
      <c r="H701" s="141"/>
      <c r="I701" s="153" t="s">
        <v>18</v>
      </c>
      <c r="J701" s="153">
        <v>1</v>
      </c>
      <c r="K701" s="142" t="s">
        <v>730</v>
      </c>
      <c r="L701" s="142" t="s">
        <v>191</v>
      </c>
      <c r="M701" s="11" t="str">
        <f>VLOOKUP(N701,'Mã NV'!$A$3:$B$196,2,0)</f>
        <v>BU24</v>
      </c>
      <c r="N701" s="297" t="s">
        <v>2538</v>
      </c>
      <c r="O701" s="381">
        <v>44197</v>
      </c>
      <c r="P701" s="371"/>
      <c r="Q701" s="145"/>
      <c r="R701" s="150"/>
    </row>
    <row r="702" spans="1:18" ht="35.25" hidden="1" customHeight="1">
      <c r="A702" s="15">
        <f t="shared" si="10"/>
        <v>692</v>
      </c>
      <c r="B702" s="144" t="s">
        <v>456</v>
      </c>
      <c r="C702" s="150" t="s">
        <v>1202</v>
      </c>
      <c r="D702" s="156"/>
      <c r="E702" s="156"/>
      <c r="F702" s="156"/>
      <c r="G702" s="149" t="s">
        <v>2365</v>
      </c>
      <c r="H702" s="141"/>
      <c r="I702" s="153" t="s">
        <v>18</v>
      </c>
      <c r="J702" s="153">
        <v>1</v>
      </c>
      <c r="K702" s="142" t="s">
        <v>730</v>
      </c>
      <c r="L702" s="142" t="s">
        <v>191</v>
      </c>
      <c r="M702" s="11" t="str">
        <f>VLOOKUP(N702,'Mã NV'!$A$3:$B$196,2,0)</f>
        <v>BU24</v>
      </c>
      <c r="N702" s="297" t="s">
        <v>2538</v>
      </c>
      <c r="O702" s="381">
        <v>44197</v>
      </c>
      <c r="P702" s="371"/>
      <c r="Q702" s="145"/>
      <c r="R702" s="150"/>
    </row>
    <row r="703" spans="1:18" ht="35.25" hidden="1" customHeight="1">
      <c r="A703" s="15">
        <f t="shared" si="10"/>
        <v>693</v>
      </c>
      <c r="B703" s="144" t="s">
        <v>1203</v>
      </c>
      <c r="C703" s="150" t="s">
        <v>23</v>
      </c>
      <c r="D703" s="156"/>
      <c r="E703" s="156"/>
      <c r="F703" s="156"/>
      <c r="G703" s="149"/>
      <c r="H703" s="141"/>
      <c r="I703" s="153" t="s">
        <v>18</v>
      </c>
      <c r="J703" s="153">
        <v>1</v>
      </c>
      <c r="K703" s="142" t="s">
        <v>730</v>
      </c>
      <c r="L703" s="142" t="s">
        <v>191</v>
      </c>
      <c r="M703" s="11" t="str">
        <f>VLOOKUP(N703,'Mã NV'!$A$3:$B$196,2,0)</f>
        <v>BU24</v>
      </c>
      <c r="N703" s="297" t="s">
        <v>2538</v>
      </c>
      <c r="O703" s="381">
        <v>44197</v>
      </c>
      <c r="P703" s="371"/>
      <c r="Q703" s="145"/>
      <c r="R703" s="150"/>
    </row>
    <row r="704" spans="1:18" ht="35.25" hidden="1" customHeight="1">
      <c r="A704" s="15">
        <f t="shared" si="10"/>
        <v>694</v>
      </c>
      <c r="B704" s="144" t="s">
        <v>1204</v>
      </c>
      <c r="C704" s="150" t="s">
        <v>1205</v>
      </c>
      <c r="D704" s="156"/>
      <c r="E704" s="156"/>
      <c r="F704" s="156"/>
      <c r="G704" s="149"/>
      <c r="H704" s="141"/>
      <c r="I704" s="153" t="s">
        <v>18</v>
      </c>
      <c r="J704" s="153">
        <v>1</v>
      </c>
      <c r="K704" s="142" t="s">
        <v>730</v>
      </c>
      <c r="L704" s="142" t="s">
        <v>191</v>
      </c>
      <c r="M704" s="11" t="str">
        <f>VLOOKUP(N704,'Mã NV'!$A$3:$B$196,2,0)</f>
        <v>BU24</v>
      </c>
      <c r="N704" s="297" t="s">
        <v>2538</v>
      </c>
      <c r="O704" s="381">
        <v>44197</v>
      </c>
      <c r="P704" s="371"/>
      <c r="Q704" s="145"/>
      <c r="R704" s="150"/>
    </row>
    <row r="705" spans="1:39" ht="35.25" hidden="1" customHeight="1">
      <c r="A705" s="15">
        <f t="shared" si="10"/>
        <v>695</v>
      </c>
      <c r="B705" s="144" t="s">
        <v>1206</v>
      </c>
      <c r="C705" s="150" t="s">
        <v>147</v>
      </c>
      <c r="D705" s="156"/>
      <c r="E705" s="156"/>
      <c r="F705" s="156"/>
      <c r="G705" s="149" t="s">
        <v>2366</v>
      </c>
      <c r="H705" s="141"/>
      <c r="I705" s="153" t="s">
        <v>18</v>
      </c>
      <c r="J705" s="153">
        <v>1</v>
      </c>
      <c r="K705" s="142" t="s">
        <v>730</v>
      </c>
      <c r="L705" s="142" t="s">
        <v>191</v>
      </c>
      <c r="M705" s="11" t="str">
        <f>VLOOKUP(N705,'Mã NV'!$A$3:$B$196,2,0)</f>
        <v>BU24</v>
      </c>
      <c r="N705" s="297" t="s">
        <v>2538</v>
      </c>
      <c r="O705" s="381">
        <v>44197</v>
      </c>
      <c r="P705" s="371"/>
      <c r="Q705" s="145"/>
      <c r="R705" s="150"/>
    </row>
    <row r="706" spans="1:39" ht="35.25" hidden="1" customHeight="1">
      <c r="A706" s="15">
        <f t="shared" si="10"/>
        <v>696</v>
      </c>
      <c r="B706" s="144" t="s">
        <v>1207</v>
      </c>
      <c r="C706" s="150" t="s">
        <v>1208</v>
      </c>
      <c r="D706" s="156"/>
      <c r="E706" s="156"/>
      <c r="F706" s="156"/>
      <c r="G706" s="150" t="s">
        <v>1208</v>
      </c>
      <c r="H706" s="141"/>
      <c r="I706" s="153" t="s">
        <v>18</v>
      </c>
      <c r="J706" s="153">
        <v>1</v>
      </c>
      <c r="K706" s="142" t="s">
        <v>730</v>
      </c>
      <c r="L706" s="142" t="s">
        <v>191</v>
      </c>
      <c r="M706" s="11" t="str">
        <f>VLOOKUP(N706,'Mã NV'!$A$3:$B$196,2,0)</f>
        <v>BU24</v>
      </c>
      <c r="N706" s="297" t="s">
        <v>2538</v>
      </c>
      <c r="O706" s="381">
        <v>44197</v>
      </c>
      <c r="P706" s="371"/>
      <c r="Q706" s="145"/>
      <c r="R706" s="150"/>
    </row>
    <row r="707" spans="1:39" ht="35.25" hidden="1" customHeight="1">
      <c r="A707" s="15">
        <f t="shared" si="10"/>
        <v>697</v>
      </c>
      <c r="B707" s="144" t="s">
        <v>1209</v>
      </c>
      <c r="C707" s="150" t="s">
        <v>605</v>
      </c>
      <c r="D707" s="156"/>
      <c r="E707" s="156"/>
      <c r="F707" s="156"/>
      <c r="G707" s="149"/>
      <c r="H707" s="141"/>
      <c r="I707" s="153" t="s">
        <v>18</v>
      </c>
      <c r="J707" s="153">
        <v>1</v>
      </c>
      <c r="K707" s="142" t="s">
        <v>730</v>
      </c>
      <c r="L707" s="142" t="s">
        <v>191</v>
      </c>
      <c r="M707" s="11" t="str">
        <f>VLOOKUP(N707,'Mã NV'!$A$3:$B$196,2,0)</f>
        <v>BU08</v>
      </c>
      <c r="N707" s="297" t="s">
        <v>2539</v>
      </c>
      <c r="O707" s="381">
        <v>44197</v>
      </c>
      <c r="P707" s="371"/>
      <c r="Q707" s="145"/>
      <c r="R707" s="150"/>
    </row>
    <row r="708" spans="1:39" ht="35.25" hidden="1" customHeight="1">
      <c r="A708" s="15">
        <f t="shared" si="10"/>
        <v>698</v>
      </c>
      <c r="B708" s="144" t="s">
        <v>1210</v>
      </c>
      <c r="C708" s="150" t="s">
        <v>23</v>
      </c>
      <c r="D708" s="156"/>
      <c r="E708" s="156"/>
      <c r="F708" s="156"/>
      <c r="G708" s="149"/>
      <c r="H708" s="141"/>
      <c r="I708" s="153" t="s">
        <v>18</v>
      </c>
      <c r="J708" s="153">
        <v>1</v>
      </c>
      <c r="K708" s="142" t="s">
        <v>730</v>
      </c>
      <c r="L708" s="142" t="s">
        <v>191</v>
      </c>
      <c r="M708" s="11" t="str">
        <f>VLOOKUP(N708,'Mã NV'!$A$3:$B$196,2,0)</f>
        <v>BU08</v>
      </c>
      <c r="N708" s="297" t="s">
        <v>2539</v>
      </c>
      <c r="O708" s="381">
        <v>44197</v>
      </c>
      <c r="P708" s="371"/>
      <c r="Q708" s="145"/>
      <c r="R708" s="150"/>
    </row>
    <row r="709" spans="1:39" ht="35.25" hidden="1" customHeight="1">
      <c r="A709" s="15">
        <f t="shared" si="10"/>
        <v>699</v>
      </c>
      <c r="B709" s="144" t="s">
        <v>1211</v>
      </c>
      <c r="C709" s="150" t="s">
        <v>147</v>
      </c>
      <c r="D709" s="156"/>
      <c r="E709" s="156"/>
      <c r="F709" s="156"/>
      <c r="G709" s="149" t="s">
        <v>2366</v>
      </c>
      <c r="H709" s="141"/>
      <c r="I709" s="153" t="s">
        <v>18</v>
      </c>
      <c r="J709" s="153">
        <v>1</v>
      </c>
      <c r="K709" s="142" t="s">
        <v>730</v>
      </c>
      <c r="L709" s="142" t="s">
        <v>191</v>
      </c>
      <c r="M709" s="11" t="str">
        <f>VLOOKUP(N709,'Mã NV'!$A$3:$B$196,2,0)</f>
        <v>BU08</v>
      </c>
      <c r="N709" s="297" t="s">
        <v>2539</v>
      </c>
      <c r="O709" s="381">
        <v>44197</v>
      </c>
      <c r="P709" s="371"/>
      <c r="Q709" s="145"/>
      <c r="R709" s="150"/>
    </row>
    <row r="710" spans="1:39" ht="35.25" hidden="1" customHeight="1">
      <c r="A710" s="15">
        <f t="shared" si="10"/>
        <v>700</v>
      </c>
      <c r="B710" s="144" t="s">
        <v>1212</v>
      </c>
      <c r="C710" s="150" t="s">
        <v>894</v>
      </c>
      <c r="D710" s="156"/>
      <c r="E710" s="156"/>
      <c r="F710" s="156"/>
      <c r="G710" s="149" t="s">
        <v>2367</v>
      </c>
      <c r="H710" s="141"/>
      <c r="I710" s="153" t="s">
        <v>18</v>
      </c>
      <c r="J710" s="153">
        <v>1</v>
      </c>
      <c r="K710" s="142" t="s">
        <v>730</v>
      </c>
      <c r="L710" s="142" t="s">
        <v>191</v>
      </c>
      <c r="M710" s="11" t="str">
        <f>VLOOKUP(N710,'Mã NV'!$A$3:$B$196,2,0)</f>
        <v>BU08</v>
      </c>
      <c r="N710" s="297" t="s">
        <v>2539</v>
      </c>
      <c r="O710" s="381">
        <v>44197</v>
      </c>
      <c r="P710" s="371"/>
      <c r="Q710" s="145"/>
      <c r="R710" s="150"/>
    </row>
    <row r="711" spans="1:39" ht="35.25" hidden="1" customHeight="1">
      <c r="A711" s="15">
        <f t="shared" si="10"/>
        <v>701</v>
      </c>
      <c r="B711" s="150" t="s">
        <v>1213</v>
      </c>
      <c r="C711" s="150" t="s">
        <v>1214</v>
      </c>
      <c r="D711" s="156"/>
      <c r="E711" s="156"/>
      <c r="F711" s="156"/>
      <c r="G711" s="149"/>
      <c r="H711" s="141"/>
      <c r="I711" s="153" t="s">
        <v>18</v>
      </c>
      <c r="J711" s="153">
        <v>1</v>
      </c>
      <c r="K711" s="142" t="s">
        <v>730</v>
      </c>
      <c r="L711" s="142" t="s">
        <v>191</v>
      </c>
      <c r="M711" s="11" t="str">
        <f>VLOOKUP(N711,'Mã NV'!$A$3:$B$196,2,0)</f>
        <v>BU08</v>
      </c>
      <c r="N711" s="297" t="s">
        <v>2539</v>
      </c>
      <c r="O711" s="380">
        <f>VLOOKUP(B711,'Tổng hợp (3)'!$C$4:$E$985,3,0)</f>
        <v>44884</v>
      </c>
      <c r="P711" s="378"/>
      <c r="Q711" s="145"/>
      <c r="R711" s="150" t="s">
        <v>2659</v>
      </c>
    </row>
    <row r="712" spans="1:39" ht="35.25" hidden="1" customHeight="1">
      <c r="A712" s="15">
        <f t="shared" si="10"/>
        <v>702</v>
      </c>
      <c r="B712" s="156" t="s">
        <v>1215</v>
      </c>
      <c r="C712" s="169" t="s">
        <v>633</v>
      </c>
      <c r="D712" s="156"/>
      <c r="E712" s="156"/>
      <c r="F712" s="156"/>
      <c r="G712" s="160" t="s">
        <v>634</v>
      </c>
      <c r="H712" s="141"/>
      <c r="I712" s="158" t="s">
        <v>18</v>
      </c>
      <c r="J712" s="158">
        <v>1</v>
      </c>
      <c r="K712" s="142" t="s">
        <v>730</v>
      </c>
      <c r="L712" s="145" t="s">
        <v>191</v>
      </c>
      <c r="M712" s="11" t="str">
        <f>VLOOKUP(N712,'Mã NV'!$A$3:$B$196,2,0)</f>
        <v>BU09</v>
      </c>
      <c r="N712" s="303" t="s">
        <v>2540</v>
      </c>
      <c r="O712" s="381">
        <v>44197</v>
      </c>
      <c r="P712" s="371"/>
      <c r="Q712" s="145"/>
      <c r="R712" s="169"/>
    </row>
    <row r="713" spans="1:39" ht="35.25" hidden="1" customHeight="1">
      <c r="A713" s="15">
        <f t="shared" si="10"/>
        <v>703</v>
      </c>
      <c r="B713" s="156" t="s">
        <v>1216</v>
      </c>
      <c r="C713" s="169" t="s">
        <v>120</v>
      </c>
      <c r="D713" s="156"/>
      <c r="E713" s="156"/>
      <c r="F713" s="156"/>
      <c r="G713" s="160"/>
      <c r="H713" s="141"/>
      <c r="I713" s="158" t="s">
        <v>18</v>
      </c>
      <c r="J713" s="158">
        <v>1</v>
      </c>
      <c r="K713" s="142" t="s">
        <v>730</v>
      </c>
      <c r="L713" s="145" t="s">
        <v>191</v>
      </c>
      <c r="M713" s="11" t="str">
        <f>VLOOKUP(N713,'Mã NV'!$A$3:$B$196,2,0)</f>
        <v>BU09</v>
      </c>
      <c r="N713" s="303" t="s">
        <v>2540</v>
      </c>
      <c r="O713" s="381">
        <v>44197</v>
      </c>
      <c r="P713" s="371"/>
      <c r="Q713" s="145"/>
      <c r="R713" s="169"/>
    </row>
    <row r="714" spans="1:39" s="137" customFormat="1" ht="35.25" hidden="1" customHeight="1">
      <c r="A714" s="15">
        <f t="shared" si="10"/>
        <v>704</v>
      </c>
      <c r="B714" s="151" t="s">
        <v>1217</v>
      </c>
      <c r="C714" s="171" t="s">
        <v>894</v>
      </c>
      <c r="D714" s="151"/>
      <c r="E714" s="151"/>
      <c r="F714" s="151"/>
      <c r="G714" s="197" t="s">
        <v>2368</v>
      </c>
      <c r="H714" s="148"/>
      <c r="I714" s="166" t="s">
        <v>18</v>
      </c>
      <c r="J714" s="166">
        <v>1</v>
      </c>
      <c r="K714" s="167" t="s">
        <v>300</v>
      </c>
      <c r="L714" s="167" t="s">
        <v>191</v>
      </c>
      <c r="M714" s="11" t="str">
        <f>VLOOKUP(N714,'Mã NV'!$A$3:$B$196,2,0)</f>
        <v>BU09</v>
      </c>
      <c r="N714" s="309" t="s">
        <v>2540</v>
      </c>
      <c r="O714" s="381">
        <v>44197</v>
      </c>
      <c r="P714" s="371"/>
      <c r="Q714" s="167"/>
      <c r="R714" s="171" t="s">
        <v>2660</v>
      </c>
      <c r="S714"/>
      <c r="T714"/>
      <c r="U714"/>
      <c r="V714"/>
      <c r="W714"/>
      <c r="X714"/>
      <c r="Y714"/>
      <c r="Z714"/>
      <c r="AA714"/>
      <c r="AB714"/>
      <c r="AC714"/>
      <c r="AD714"/>
      <c r="AE714"/>
      <c r="AF714"/>
      <c r="AG714"/>
      <c r="AH714"/>
      <c r="AI714"/>
      <c r="AJ714"/>
      <c r="AK714"/>
      <c r="AL714"/>
      <c r="AM714"/>
    </row>
    <row r="715" spans="1:39" s="136" customFormat="1" ht="35.25" hidden="1" customHeight="1">
      <c r="A715" s="13">
        <f t="shared" si="10"/>
        <v>705</v>
      </c>
      <c r="B715" s="156" t="s">
        <v>933</v>
      </c>
      <c r="C715" s="169" t="s">
        <v>934</v>
      </c>
      <c r="D715" s="156"/>
      <c r="E715" s="156"/>
      <c r="F715" s="156"/>
      <c r="G715" s="160" t="s">
        <v>2336</v>
      </c>
      <c r="H715" s="43"/>
      <c r="I715" s="158" t="s">
        <v>18</v>
      </c>
      <c r="J715" s="158">
        <v>1</v>
      </c>
      <c r="K715" s="145" t="s">
        <v>730</v>
      </c>
      <c r="L715" s="145" t="s">
        <v>191</v>
      </c>
      <c r="M715" s="11" t="str">
        <f>VLOOKUP(N715,'Mã NV'!$A$3:$B$196,2,0)</f>
        <v>BU35</v>
      </c>
      <c r="N715" s="303" t="s">
        <v>2541</v>
      </c>
      <c r="O715" s="381">
        <v>44197</v>
      </c>
      <c r="P715" s="371"/>
      <c r="Q715" s="145"/>
      <c r="R715" s="169"/>
      <c r="S715"/>
      <c r="T715"/>
      <c r="U715"/>
      <c r="V715"/>
      <c r="W715"/>
      <c r="X715"/>
      <c r="Y715"/>
      <c r="Z715"/>
      <c r="AA715"/>
      <c r="AB715"/>
      <c r="AC715"/>
      <c r="AD715"/>
      <c r="AE715"/>
      <c r="AF715"/>
      <c r="AG715"/>
      <c r="AH715"/>
      <c r="AI715"/>
      <c r="AJ715"/>
      <c r="AK715"/>
      <c r="AL715"/>
      <c r="AM715"/>
    </row>
    <row r="716" spans="1:39" s="136" customFormat="1" ht="35.25" hidden="1" customHeight="1">
      <c r="A716" s="13">
        <f t="shared" si="10"/>
        <v>706</v>
      </c>
      <c r="B716" s="156" t="s">
        <v>935</v>
      </c>
      <c r="C716" s="169" t="s">
        <v>120</v>
      </c>
      <c r="D716" s="156"/>
      <c r="E716" s="156"/>
      <c r="F716" s="156"/>
      <c r="G716" s="160"/>
      <c r="H716" s="43"/>
      <c r="I716" s="158" t="s">
        <v>18</v>
      </c>
      <c r="J716" s="158">
        <v>1</v>
      </c>
      <c r="K716" s="145" t="s">
        <v>730</v>
      </c>
      <c r="L716" s="145" t="s">
        <v>191</v>
      </c>
      <c r="M716" s="11" t="str">
        <f>VLOOKUP(N716,'Mã NV'!$A$3:$B$196,2,0)</f>
        <v>BU35</v>
      </c>
      <c r="N716" s="303" t="s">
        <v>2541</v>
      </c>
      <c r="O716" s="381">
        <v>44197</v>
      </c>
      <c r="P716" s="371"/>
      <c r="Q716" s="145"/>
      <c r="R716" s="169"/>
      <c r="S716"/>
      <c r="T716"/>
      <c r="U716"/>
      <c r="V716"/>
      <c r="W716"/>
      <c r="X716"/>
      <c r="Y716"/>
      <c r="Z716"/>
      <c r="AA716"/>
      <c r="AB716"/>
      <c r="AC716"/>
      <c r="AD716"/>
      <c r="AE716"/>
      <c r="AF716"/>
      <c r="AG716"/>
      <c r="AH716"/>
      <c r="AI716"/>
      <c r="AJ716"/>
      <c r="AK716"/>
      <c r="AL716"/>
      <c r="AM716"/>
    </row>
    <row r="717" spans="1:39" ht="35.25" hidden="1" customHeight="1">
      <c r="A717" s="15">
        <f t="shared" si="10"/>
        <v>707</v>
      </c>
      <c r="B717" s="156" t="s">
        <v>1220</v>
      </c>
      <c r="C717" s="169" t="s">
        <v>1221</v>
      </c>
      <c r="D717" s="156"/>
      <c r="E717" s="156"/>
      <c r="F717" s="156"/>
      <c r="G717" s="160"/>
      <c r="H717" s="141"/>
      <c r="I717" s="158" t="s">
        <v>18</v>
      </c>
      <c r="J717" s="158">
        <v>1</v>
      </c>
      <c r="K717" s="145" t="s">
        <v>730</v>
      </c>
      <c r="L717" s="145" t="s">
        <v>191</v>
      </c>
      <c r="M717" s="11" t="str">
        <f>VLOOKUP(N717,'Mã NV'!$A$3:$B$196,2,0)</f>
        <v>BU35</v>
      </c>
      <c r="N717" s="303" t="s">
        <v>2541</v>
      </c>
      <c r="O717" s="381">
        <v>44197</v>
      </c>
      <c r="P717" s="371"/>
      <c r="Q717" s="145"/>
      <c r="R717" s="169"/>
    </row>
    <row r="718" spans="1:39" ht="35.25" hidden="1" customHeight="1">
      <c r="A718" s="15">
        <f t="shared" si="10"/>
        <v>708</v>
      </c>
      <c r="B718" s="156" t="s">
        <v>1222</v>
      </c>
      <c r="C718" s="169" t="s">
        <v>641</v>
      </c>
      <c r="D718" s="156"/>
      <c r="E718" s="156"/>
      <c r="F718" s="156"/>
      <c r="G718" s="160" t="s">
        <v>2370</v>
      </c>
      <c r="H718" s="141"/>
      <c r="I718" s="158" t="s">
        <v>18</v>
      </c>
      <c r="J718" s="158">
        <v>1</v>
      </c>
      <c r="K718" s="145" t="s">
        <v>730</v>
      </c>
      <c r="L718" s="145" t="s">
        <v>191</v>
      </c>
      <c r="M718" s="11" t="str">
        <f>VLOOKUP(N718,'Mã NV'!$A$3:$B$196,2,0)</f>
        <v>BU35</v>
      </c>
      <c r="N718" s="303" t="s">
        <v>2541</v>
      </c>
      <c r="O718" s="381">
        <v>44197</v>
      </c>
      <c r="P718" s="371"/>
      <c r="Q718" s="145"/>
      <c r="R718" s="169"/>
    </row>
    <row r="719" spans="1:39" ht="35.25" hidden="1" customHeight="1">
      <c r="A719" s="15">
        <f t="shared" si="10"/>
        <v>709</v>
      </c>
      <c r="B719" s="156" t="s">
        <v>1223</v>
      </c>
      <c r="C719" s="169" t="s">
        <v>1224</v>
      </c>
      <c r="D719" s="156"/>
      <c r="E719" s="156"/>
      <c r="F719" s="156"/>
      <c r="G719" s="169" t="s">
        <v>1224</v>
      </c>
      <c r="H719" s="141"/>
      <c r="I719" s="158" t="s">
        <v>18</v>
      </c>
      <c r="J719" s="158">
        <v>1</v>
      </c>
      <c r="K719" s="145" t="s">
        <v>730</v>
      </c>
      <c r="L719" s="145" t="s">
        <v>191</v>
      </c>
      <c r="M719" s="11" t="str">
        <f>VLOOKUP(N719,'Mã NV'!$A$3:$B$196,2,0)</f>
        <v>BU35</v>
      </c>
      <c r="N719" s="303" t="s">
        <v>2541</v>
      </c>
      <c r="O719" s="386">
        <v>45005</v>
      </c>
      <c r="P719" s="371"/>
      <c r="Q719" s="145"/>
      <c r="R719" s="169"/>
    </row>
    <row r="720" spans="1:39" ht="35.25" hidden="1" customHeight="1">
      <c r="A720" s="15">
        <f t="shared" si="10"/>
        <v>710</v>
      </c>
      <c r="B720" s="156" t="s">
        <v>1225</v>
      </c>
      <c r="C720" s="169" t="s">
        <v>1226</v>
      </c>
      <c r="D720" s="156"/>
      <c r="E720" s="156"/>
      <c r="F720" s="156"/>
      <c r="G720" s="160"/>
      <c r="H720" s="141"/>
      <c r="I720" s="158" t="s">
        <v>18</v>
      </c>
      <c r="J720" s="158">
        <v>1</v>
      </c>
      <c r="K720" s="145" t="s">
        <v>730</v>
      </c>
      <c r="L720" s="145" t="s">
        <v>191</v>
      </c>
      <c r="M720" s="11" t="str">
        <f>VLOOKUP(N720,'Mã NV'!$A$3:$B$196,2,0)</f>
        <v>BU35</v>
      </c>
      <c r="N720" s="303" t="s">
        <v>2541</v>
      </c>
      <c r="O720" s="386">
        <v>45005</v>
      </c>
      <c r="P720" s="371"/>
      <c r="Q720" s="145"/>
      <c r="R720" s="169"/>
    </row>
    <row r="721" spans="1:18" ht="35.25" hidden="1" customHeight="1">
      <c r="A721" s="15">
        <f t="shared" si="10"/>
        <v>711</v>
      </c>
      <c r="B721" s="144" t="s">
        <v>1227</v>
      </c>
      <c r="C721" s="150" t="s">
        <v>633</v>
      </c>
      <c r="D721" s="156"/>
      <c r="E721" s="156"/>
      <c r="F721" s="156"/>
      <c r="G721" s="149" t="s">
        <v>634</v>
      </c>
      <c r="H721" s="141"/>
      <c r="I721" s="153" t="s">
        <v>18</v>
      </c>
      <c r="J721" s="153">
        <v>1</v>
      </c>
      <c r="K721" s="145" t="s">
        <v>730</v>
      </c>
      <c r="L721" s="142" t="s">
        <v>191</v>
      </c>
      <c r="M721" s="11" t="str">
        <f>VLOOKUP(N721,'Mã NV'!$A$3:$B$196,2,0)</f>
        <v>TE44</v>
      </c>
      <c r="N721" s="297" t="s">
        <v>2542</v>
      </c>
      <c r="O721" s="381">
        <v>44197</v>
      </c>
      <c r="P721" s="371"/>
      <c r="Q721" s="145"/>
      <c r="R721" s="150"/>
    </row>
    <row r="722" spans="1:18" ht="35.25" hidden="1" customHeight="1">
      <c r="A722" s="15">
        <f t="shared" ref="A722:A785" si="11">A721+1</f>
        <v>712</v>
      </c>
      <c r="B722" s="144" t="s">
        <v>1228</v>
      </c>
      <c r="C722" s="150" t="s">
        <v>120</v>
      </c>
      <c r="D722" s="156"/>
      <c r="E722" s="156"/>
      <c r="F722" s="156"/>
      <c r="G722" s="149" t="s">
        <v>2371</v>
      </c>
      <c r="H722" s="141"/>
      <c r="I722" s="153" t="s">
        <v>18</v>
      </c>
      <c r="J722" s="153">
        <v>1</v>
      </c>
      <c r="K722" s="145" t="s">
        <v>730</v>
      </c>
      <c r="L722" s="142" t="s">
        <v>191</v>
      </c>
      <c r="M722" s="11" t="str">
        <f>VLOOKUP(N722,'Mã NV'!$A$3:$B$196,2,0)</f>
        <v>TE44</v>
      </c>
      <c r="N722" s="297" t="s">
        <v>2542</v>
      </c>
      <c r="O722" s="381">
        <v>44197</v>
      </c>
      <c r="P722" s="371"/>
      <c r="Q722" s="145"/>
      <c r="R722" s="150"/>
    </row>
    <row r="723" spans="1:18" ht="35.25" hidden="1" customHeight="1">
      <c r="A723" s="15">
        <f t="shared" si="11"/>
        <v>713</v>
      </c>
      <c r="B723" s="144" t="s">
        <v>1229</v>
      </c>
      <c r="C723" s="150" t="s">
        <v>1179</v>
      </c>
      <c r="D723" s="156"/>
      <c r="E723" s="156"/>
      <c r="F723" s="156"/>
      <c r="G723" s="149"/>
      <c r="H723" s="141"/>
      <c r="I723" s="153" t="s">
        <v>18</v>
      </c>
      <c r="J723" s="153">
        <v>1</v>
      </c>
      <c r="K723" s="145" t="s">
        <v>730</v>
      </c>
      <c r="L723" s="142" t="s">
        <v>191</v>
      </c>
      <c r="M723" s="11" t="str">
        <f>VLOOKUP(N723,'Mã NV'!$A$3:$B$196,2,0)</f>
        <v>TE44</v>
      </c>
      <c r="N723" s="297" t="s">
        <v>2542</v>
      </c>
      <c r="O723" s="380">
        <f>VLOOKUP(B723,'Tổng hợp (3)'!$C$4:$E$985,3,0)</f>
        <v>44820</v>
      </c>
      <c r="P723" s="378"/>
      <c r="Q723" s="145"/>
      <c r="R723" s="150" t="s">
        <v>2661</v>
      </c>
    </row>
    <row r="724" spans="1:18" ht="35.25" hidden="1" customHeight="1">
      <c r="A724" s="15">
        <f t="shared" si="11"/>
        <v>714</v>
      </c>
      <c r="B724" s="144" t="s">
        <v>1230</v>
      </c>
      <c r="C724" s="149" t="s">
        <v>1231</v>
      </c>
      <c r="D724" s="156"/>
      <c r="E724" s="156"/>
      <c r="F724" s="156"/>
      <c r="G724" s="142">
        <v>969571798</v>
      </c>
      <c r="H724" s="141"/>
      <c r="I724" s="153" t="s">
        <v>18</v>
      </c>
      <c r="J724" s="153">
        <v>1</v>
      </c>
      <c r="K724" s="145" t="s">
        <v>730</v>
      </c>
      <c r="L724" s="142" t="s">
        <v>191</v>
      </c>
      <c r="M724" s="11" t="str">
        <f>VLOOKUP(N724,'Mã NV'!$A$3:$B$196,2,0)</f>
        <v>TE44</v>
      </c>
      <c r="N724" s="297" t="s">
        <v>2542</v>
      </c>
      <c r="O724" s="381">
        <v>44197</v>
      </c>
      <c r="P724" s="371"/>
      <c r="Q724" s="145"/>
      <c r="R724" s="150" t="s">
        <v>2662</v>
      </c>
    </row>
    <row r="725" spans="1:18" ht="35.25" hidden="1" customHeight="1">
      <c r="A725" s="15">
        <f t="shared" si="11"/>
        <v>715</v>
      </c>
      <c r="B725" s="144" t="s">
        <v>1232</v>
      </c>
      <c r="C725" s="150" t="s">
        <v>147</v>
      </c>
      <c r="D725" s="156"/>
      <c r="E725" s="156"/>
      <c r="F725" s="156"/>
      <c r="G725" s="149" t="s">
        <v>2366</v>
      </c>
      <c r="H725" s="141"/>
      <c r="I725" s="153" t="s">
        <v>18</v>
      </c>
      <c r="J725" s="153">
        <v>1</v>
      </c>
      <c r="K725" s="145" t="s">
        <v>730</v>
      </c>
      <c r="L725" s="142" t="s">
        <v>191</v>
      </c>
      <c r="M725" s="11" t="str">
        <f>VLOOKUP(N725,'Mã NV'!$A$3:$B$196,2,0)</f>
        <v>TE44</v>
      </c>
      <c r="N725" s="297" t="s">
        <v>2542</v>
      </c>
      <c r="O725" s="381">
        <v>44197</v>
      </c>
      <c r="P725" s="371"/>
      <c r="Q725" s="145"/>
      <c r="R725" s="150"/>
    </row>
    <row r="726" spans="1:18" ht="35.25" hidden="1" customHeight="1">
      <c r="A726" s="15">
        <f t="shared" si="11"/>
        <v>716</v>
      </c>
      <c r="B726" s="144" t="s">
        <v>1233</v>
      </c>
      <c r="C726" s="150" t="s">
        <v>32</v>
      </c>
      <c r="D726" s="156"/>
      <c r="E726" s="156"/>
      <c r="F726" s="156"/>
      <c r="G726" s="149"/>
      <c r="H726" s="141"/>
      <c r="I726" s="153" t="s">
        <v>18</v>
      </c>
      <c r="J726" s="153">
        <v>1</v>
      </c>
      <c r="K726" s="145" t="s">
        <v>730</v>
      </c>
      <c r="L726" s="142" t="s">
        <v>191</v>
      </c>
      <c r="M726" s="11" t="str">
        <f>VLOOKUP(N726,'Mã NV'!$A$3:$B$196,2,0)</f>
        <v>TE44</v>
      </c>
      <c r="N726" s="297" t="s">
        <v>2542</v>
      </c>
      <c r="O726" s="381">
        <v>44197</v>
      </c>
      <c r="P726" s="371"/>
      <c r="Q726" s="145"/>
      <c r="R726" s="150"/>
    </row>
    <row r="727" spans="1:18" ht="35.25" hidden="1" customHeight="1">
      <c r="A727" s="15">
        <f t="shared" si="11"/>
        <v>717</v>
      </c>
      <c r="B727" s="144" t="s">
        <v>1234</v>
      </c>
      <c r="C727" s="150" t="s">
        <v>23</v>
      </c>
      <c r="D727" s="156"/>
      <c r="E727" s="156"/>
      <c r="F727" s="156"/>
      <c r="G727" s="149"/>
      <c r="H727" s="141"/>
      <c r="I727" s="153" t="s">
        <v>18</v>
      </c>
      <c r="J727" s="153">
        <v>1</v>
      </c>
      <c r="K727" s="145" t="s">
        <v>730</v>
      </c>
      <c r="L727" s="142" t="s">
        <v>191</v>
      </c>
      <c r="M727" s="11" t="str">
        <f>VLOOKUP(N727,'Mã NV'!$A$3:$B$196,2,0)</f>
        <v>TE44</v>
      </c>
      <c r="N727" s="297" t="s">
        <v>2542</v>
      </c>
      <c r="O727" s="381">
        <v>44197</v>
      </c>
      <c r="P727" s="371"/>
      <c r="Q727" s="145"/>
      <c r="R727" s="150"/>
    </row>
    <row r="728" spans="1:18" ht="35.25" hidden="1" customHeight="1">
      <c r="A728" s="15">
        <f t="shared" si="11"/>
        <v>718</v>
      </c>
      <c r="B728" s="144" t="s">
        <v>1235</v>
      </c>
      <c r="C728" s="150" t="s">
        <v>32</v>
      </c>
      <c r="D728" s="156"/>
      <c r="E728" s="156"/>
      <c r="F728" s="156"/>
      <c r="G728" s="149"/>
      <c r="H728" s="141"/>
      <c r="I728" s="153" t="s">
        <v>18</v>
      </c>
      <c r="J728" s="153">
        <v>1</v>
      </c>
      <c r="K728" s="145" t="s">
        <v>730</v>
      </c>
      <c r="L728" s="142" t="s">
        <v>191</v>
      </c>
      <c r="M728" s="11" t="str">
        <f>VLOOKUP(N728,'Mã NV'!$A$3:$B$196,2,0)</f>
        <v>BU13</v>
      </c>
      <c r="N728" s="297" t="s">
        <v>2543</v>
      </c>
      <c r="O728" s="381">
        <v>44197</v>
      </c>
      <c r="P728" s="371"/>
      <c r="Q728" s="145"/>
      <c r="R728" s="150" t="s">
        <v>2663</v>
      </c>
    </row>
    <row r="729" spans="1:18" ht="35.25" hidden="1" customHeight="1">
      <c r="A729" s="15">
        <f t="shared" si="11"/>
        <v>719</v>
      </c>
      <c r="B729" s="144" t="s">
        <v>1236</v>
      </c>
      <c r="C729" s="150" t="s">
        <v>147</v>
      </c>
      <c r="D729" s="156"/>
      <c r="E729" s="156"/>
      <c r="F729" s="156"/>
      <c r="G729" s="149" t="s">
        <v>2366</v>
      </c>
      <c r="H729" s="141"/>
      <c r="I729" s="153" t="s">
        <v>18</v>
      </c>
      <c r="J729" s="153">
        <v>1</v>
      </c>
      <c r="K729" s="145" t="s">
        <v>730</v>
      </c>
      <c r="L729" s="142" t="s">
        <v>191</v>
      </c>
      <c r="M729" s="11" t="str">
        <f>VLOOKUP(N729,'Mã NV'!$A$3:$B$196,2,0)</f>
        <v>BU13</v>
      </c>
      <c r="N729" s="297" t="s">
        <v>2543</v>
      </c>
      <c r="O729" s="381">
        <v>44197</v>
      </c>
      <c r="P729" s="371"/>
      <c r="Q729" s="145"/>
      <c r="R729" s="150"/>
    </row>
    <row r="730" spans="1:18" ht="35.25" hidden="1" customHeight="1">
      <c r="A730" s="15">
        <f t="shared" si="11"/>
        <v>720</v>
      </c>
      <c r="B730" s="144" t="s">
        <v>1237</v>
      </c>
      <c r="C730" s="150" t="s">
        <v>1238</v>
      </c>
      <c r="D730" s="156"/>
      <c r="E730" s="156"/>
      <c r="F730" s="156"/>
      <c r="G730" s="149" t="s">
        <v>2372</v>
      </c>
      <c r="H730" s="141"/>
      <c r="I730" s="153" t="s">
        <v>18</v>
      </c>
      <c r="J730" s="153">
        <v>1</v>
      </c>
      <c r="K730" s="145" t="s">
        <v>730</v>
      </c>
      <c r="L730" s="142" t="s">
        <v>191</v>
      </c>
      <c r="M730" s="11" t="str">
        <f>VLOOKUP(N730,'Mã NV'!$A$3:$B$196,2,0)</f>
        <v>BU13</v>
      </c>
      <c r="N730" s="297" t="s">
        <v>2543</v>
      </c>
      <c r="O730" s="381">
        <v>44197</v>
      </c>
      <c r="P730" s="371"/>
      <c r="Q730" s="145"/>
      <c r="R730" s="150"/>
    </row>
    <row r="731" spans="1:18" ht="35.25" hidden="1" customHeight="1">
      <c r="A731" s="15">
        <f t="shared" si="11"/>
        <v>721</v>
      </c>
      <c r="B731" s="144" t="s">
        <v>1239</v>
      </c>
      <c r="C731" s="150" t="s">
        <v>1200</v>
      </c>
      <c r="D731" s="156"/>
      <c r="E731" s="156"/>
      <c r="F731" s="156"/>
      <c r="G731" s="149" t="s">
        <v>2364</v>
      </c>
      <c r="H731" s="141"/>
      <c r="I731" s="153" t="s">
        <v>18</v>
      </c>
      <c r="J731" s="153">
        <v>1</v>
      </c>
      <c r="K731" s="145" t="s">
        <v>730</v>
      </c>
      <c r="L731" s="142" t="s">
        <v>191</v>
      </c>
      <c r="M731" s="11" t="str">
        <f>VLOOKUP(N731,'Mã NV'!$A$3:$B$196,2,0)</f>
        <v>BU23</v>
      </c>
      <c r="N731" s="297" t="s">
        <v>2544</v>
      </c>
      <c r="O731" s="380">
        <f>VLOOKUP(B731,'Tổng hợp (3)'!$C$4:$E$985,3,0)</f>
        <v>44366</v>
      </c>
      <c r="P731" s="378"/>
      <c r="Q731" s="145"/>
      <c r="R731" s="150"/>
    </row>
    <row r="732" spans="1:18" ht="35.25" hidden="1" customHeight="1">
      <c r="A732" s="15">
        <f t="shared" si="11"/>
        <v>722</v>
      </c>
      <c r="B732" s="144" t="s">
        <v>1240</v>
      </c>
      <c r="C732" s="150" t="s">
        <v>605</v>
      </c>
      <c r="D732" s="156"/>
      <c r="E732" s="156"/>
      <c r="F732" s="156"/>
      <c r="G732" s="149" t="s">
        <v>2373</v>
      </c>
      <c r="H732" s="141"/>
      <c r="I732" s="153" t="s">
        <v>18</v>
      </c>
      <c r="J732" s="153">
        <v>1</v>
      </c>
      <c r="K732" s="145" t="s">
        <v>730</v>
      </c>
      <c r="L732" s="142" t="s">
        <v>191</v>
      </c>
      <c r="M732" s="11" t="str">
        <f>VLOOKUP(N732,'Mã NV'!$A$3:$B$196,2,0)</f>
        <v>BU23</v>
      </c>
      <c r="N732" s="297" t="s">
        <v>2544</v>
      </c>
      <c r="O732" s="381">
        <v>44197</v>
      </c>
      <c r="P732" s="371"/>
      <c r="Q732" s="145"/>
      <c r="R732" s="150"/>
    </row>
    <row r="733" spans="1:18" ht="35.25" hidden="1" customHeight="1">
      <c r="A733" s="15">
        <f t="shared" si="11"/>
        <v>723</v>
      </c>
      <c r="B733" s="144" t="s">
        <v>1241</v>
      </c>
      <c r="C733" s="150" t="s">
        <v>1202</v>
      </c>
      <c r="D733" s="156"/>
      <c r="E733" s="156"/>
      <c r="F733" s="156"/>
      <c r="G733" s="149" t="s">
        <v>2374</v>
      </c>
      <c r="H733" s="141"/>
      <c r="I733" s="153" t="s">
        <v>18</v>
      </c>
      <c r="J733" s="153">
        <v>1</v>
      </c>
      <c r="K733" s="145" t="s">
        <v>730</v>
      </c>
      <c r="L733" s="142" t="s">
        <v>191</v>
      </c>
      <c r="M733" s="11" t="str">
        <f>VLOOKUP(N733,'Mã NV'!$A$3:$B$196,2,0)</f>
        <v>BU23</v>
      </c>
      <c r="N733" s="297" t="s">
        <v>2544</v>
      </c>
      <c r="O733" s="381">
        <v>44197</v>
      </c>
      <c r="P733" s="371"/>
      <c r="Q733" s="145"/>
      <c r="R733" s="150"/>
    </row>
    <row r="734" spans="1:18" ht="35.25" hidden="1" customHeight="1">
      <c r="A734" s="15">
        <f t="shared" si="11"/>
        <v>724</v>
      </c>
      <c r="B734" s="144" t="s">
        <v>1242</v>
      </c>
      <c r="C734" s="150" t="s">
        <v>633</v>
      </c>
      <c r="D734" s="156"/>
      <c r="E734" s="156"/>
      <c r="F734" s="156"/>
      <c r="G734" s="149" t="s">
        <v>2369</v>
      </c>
      <c r="H734" s="141"/>
      <c r="I734" s="153" t="s">
        <v>18</v>
      </c>
      <c r="J734" s="153">
        <v>1</v>
      </c>
      <c r="K734" s="145" t="s">
        <v>730</v>
      </c>
      <c r="L734" s="142" t="s">
        <v>191</v>
      </c>
      <c r="M734" s="11" t="str">
        <f>VLOOKUP(N734,'Mã NV'!$A$3:$B$196,2,0)</f>
        <v>BU23</v>
      </c>
      <c r="N734" s="297" t="s">
        <v>2544</v>
      </c>
      <c r="O734" s="380">
        <f>VLOOKUP(B734,'Tổng hợp (3)'!$C$4:$E$985,3,0)</f>
        <v>44376</v>
      </c>
      <c r="P734" s="378"/>
      <c r="Q734" s="145"/>
      <c r="R734" s="150"/>
    </row>
    <row r="735" spans="1:18" ht="35.25" hidden="1" customHeight="1">
      <c r="A735" s="15">
        <f t="shared" si="11"/>
        <v>725</v>
      </c>
      <c r="B735" s="144" t="s">
        <v>1243</v>
      </c>
      <c r="C735" s="150" t="s">
        <v>120</v>
      </c>
      <c r="D735" s="156"/>
      <c r="E735" s="156"/>
      <c r="F735" s="156"/>
      <c r="G735" s="149" t="s">
        <v>2371</v>
      </c>
      <c r="H735" s="141"/>
      <c r="I735" s="153" t="s">
        <v>18</v>
      </c>
      <c r="J735" s="153">
        <v>1</v>
      </c>
      <c r="K735" s="145" t="s">
        <v>730</v>
      </c>
      <c r="L735" s="142" t="s">
        <v>191</v>
      </c>
      <c r="M735" s="11" t="str">
        <f>VLOOKUP(N735,'Mã NV'!$A$3:$B$196,2,0)</f>
        <v>BU23</v>
      </c>
      <c r="N735" s="297" t="s">
        <v>2544</v>
      </c>
      <c r="O735" s="381">
        <v>44197</v>
      </c>
      <c r="P735" s="371"/>
      <c r="Q735" s="145"/>
      <c r="R735" s="150"/>
    </row>
    <row r="736" spans="1:18" ht="35.25" hidden="1" customHeight="1">
      <c r="A736" s="15">
        <f t="shared" si="11"/>
        <v>726</v>
      </c>
      <c r="B736" s="144" t="s">
        <v>1244</v>
      </c>
      <c r="C736" s="150" t="s">
        <v>32</v>
      </c>
      <c r="D736" s="156"/>
      <c r="E736" s="156"/>
      <c r="F736" s="156"/>
      <c r="G736" s="149"/>
      <c r="H736" s="141"/>
      <c r="I736" s="153" t="s">
        <v>18</v>
      </c>
      <c r="J736" s="153">
        <v>1</v>
      </c>
      <c r="K736" s="145" t="s">
        <v>730</v>
      </c>
      <c r="L736" s="142" t="s">
        <v>191</v>
      </c>
      <c r="M736" s="11" t="str">
        <f>VLOOKUP(N736,'Mã NV'!$A$3:$B$196,2,0)</f>
        <v>BU23</v>
      </c>
      <c r="N736" s="297" t="s">
        <v>2544</v>
      </c>
      <c r="O736" s="381">
        <v>44197</v>
      </c>
      <c r="P736" s="371"/>
      <c r="Q736" s="145"/>
      <c r="R736" s="150"/>
    </row>
    <row r="737" spans="1:18" ht="35.25" hidden="1" customHeight="1">
      <c r="A737" s="15">
        <f t="shared" si="11"/>
        <v>727</v>
      </c>
      <c r="B737" s="144" t="s">
        <v>1245</v>
      </c>
      <c r="C737" s="150" t="s">
        <v>698</v>
      </c>
      <c r="D737" s="156"/>
      <c r="E737" s="156"/>
      <c r="F737" s="156"/>
      <c r="G737" s="149" t="s">
        <v>2375</v>
      </c>
      <c r="H737" s="141"/>
      <c r="I737" s="153" t="s">
        <v>18</v>
      </c>
      <c r="J737" s="153">
        <v>1</v>
      </c>
      <c r="K737" s="145" t="s">
        <v>730</v>
      </c>
      <c r="L737" s="142" t="s">
        <v>191</v>
      </c>
      <c r="M737" s="11" t="str">
        <f>VLOOKUP(N737,'Mã NV'!$A$3:$B$196,2,0)</f>
        <v>BU23</v>
      </c>
      <c r="N737" s="297" t="s">
        <v>2544</v>
      </c>
      <c r="O737" s="381">
        <v>44197</v>
      </c>
      <c r="P737" s="371"/>
      <c r="Q737" s="145"/>
      <c r="R737" s="150"/>
    </row>
    <row r="738" spans="1:18" ht="35.25" hidden="1" customHeight="1">
      <c r="A738" s="15">
        <f t="shared" si="11"/>
        <v>728</v>
      </c>
      <c r="B738" s="144" t="s">
        <v>1246</v>
      </c>
      <c r="C738" s="150" t="s">
        <v>894</v>
      </c>
      <c r="D738" s="156"/>
      <c r="E738" s="156"/>
      <c r="F738" s="156"/>
      <c r="G738" s="149">
        <v>969402086</v>
      </c>
      <c r="H738" s="141"/>
      <c r="I738" s="153" t="s">
        <v>18</v>
      </c>
      <c r="J738" s="153">
        <v>1</v>
      </c>
      <c r="K738" s="145" t="s">
        <v>730</v>
      </c>
      <c r="L738" s="142" t="s">
        <v>191</v>
      </c>
      <c r="M738" s="11" t="str">
        <f>VLOOKUP(N738,'Mã NV'!$A$3:$B$196,2,0)</f>
        <v>BU23</v>
      </c>
      <c r="N738" s="297" t="s">
        <v>2544</v>
      </c>
      <c r="O738" s="382" t="s">
        <v>4267</v>
      </c>
      <c r="P738" s="371"/>
      <c r="Q738" s="145"/>
      <c r="R738" s="150"/>
    </row>
    <row r="739" spans="1:18" ht="35.25" hidden="1" customHeight="1">
      <c r="A739" s="15">
        <f t="shared" si="11"/>
        <v>729</v>
      </c>
      <c r="B739" s="144" t="s">
        <v>1247</v>
      </c>
      <c r="C739" s="150" t="s">
        <v>894</v>
      </c>
      <c r="D739" s="156"/>
      <c r="E739" s="156"/>
      <c r="F739" s="156"/>
      <c r="G739" s="149">
        <v>968097086</v>
      </c>
      <c r="H739" s="141"/>
      <c r="I739" s="153" t="s">
        <v>18</v>
      </c>
      <c r="J739" s="153">
        <v>1</v>
      </c>
      <c r="K739" s="145" t="s">
        <v>730</v>
      </c>
      <c r="L739" s="142" t="s">
        <v>191</v>
      </c>
      <c r="M739" s="11" t="str">
        <f>VLOOKUP(N739,'Mã NV'!$A$3:$B$196,2,0)</f>
        <v>BU23</v>
      </c>
      <c r="N739" s="297" t="s">
        <v>2544</v>
      </c>
      <c r="O739" s="382" t="s">
        <v>4267</v>
      </c>
      <c r="P739" s="371"/>
      <c r="Q739" s="145"/>
      <c r="R739" s="150"/>
    </row>
    <row r="740" spans="1:18" ht="35.25" hidden="1" customHeight="1">
      <c r="A740" s="15">
        <f t="shared" si="11"/>
        <v>730</v>
      </c>
      <c r="B740" s="144" t="s">
        <v>1248</v>
      </c>
      <c r="C740" s="150" t="s">
        <v>894</v>
      </c>
      <c r="D740" s="156"/>
      <c r="E740" s="156"/>
      <c r="F740" s="156"/>
      <c r="G740" s="149">
        <v>968023086</v>
      </c>
      <c r="H740" s="141"/>
      <c r="I740" s="153" t="s">
        <v>18</v>
      </c>
      <c r="J740" s="153">
        <v>1</v>
      </c>
      <c r="K740" s="145" t="s">
        <v>730</v>
      </c>
      <c r="L740" s="142" t="s">
        <v>191</v>
      </c>
      <c r="M740" s="11" t="str">
        <f>VLOOKUP(N740,'Mã NV'!$A$3:$B$196,2,0)</f>
        <v>BU23</v>
      </c>
      <c r="N740" s="297" t="s">
        <v>2544</v>
      </c>
      <c r="O740" s="382" t="s">
        <v>4267</v>
      </c>
      <c r="P740" s="371"/>
      <c r="Q740" s="145"/>
      <c r="R740" s="150"/>
    </row>
    <row r="741" spans="1:18" ht="35.25" hidden="1" customHeight="1">
      <c r="A741" s="15">
        <f t="shared" si="11"/>
        <v>731</v>
      </c>
      <c r="B741" s="144" t="s">
        <v>1249</v>
      </c>
      <c r="C741" s="150" t="s">
        <v>147</v>
      </c>
      <c r="D741" s="156"/>
      <c r="E741" s="156"/>
      <c r="F741" s="156"/>
      <c r="G741" s="149" t="s">
        <v>2366</v>
      </c>
      <c r="H741" s="141"/>
      <c r="I741" s="153" t="s">
        <v>18</v>
      </c>
      <c r="J741" s="153">
        <v>3</v>
      </c>
      <c r="K741" s="145" t="s">
        <v>730</v>
      </c>
      <c r="L741" s="142" t="s">
        <v>191</v>
      </c>
      <c r="M741" s="11" t="str">
        <f>VLOOKUP(N741,'Mã NV'!$A$3:$B$196,2,0)</f>
        <v>BU23</v>
      </c>
      <c r="N741" s="297" t="s">
        <v>2544</v>
      </c>
      <c r="O741" s="381">
        <v>44197</v>
      </c>
      <c r="P741" s="371"/>
      <c r="Q741" s="145"/>
      <c r="R741" s="150"/>
    </row>
    <row r="742" spans="1:18" ht="35.25" hidden="1" customHeight="1">
      <c r="A742" s="15">
        <f t="shared" si="11"/>
        <v>732</v>
      </c>
      <c r="B742" s="144" t="s">
        <v>1250</v>
      </c>
      <c r="C742" s="150" t="s">
        <v>1238</v>
      </c>
      <c r="D742" s="156"/>
      <c r="E742" s="156"/>
      <c r="F742" s="156"/>
      <c r="G742" s="149" t="s">
        <v>2372</v>
      </c>
      <c r="H742" s="141"/>
      <c r="I742" s="153" t="s">
        <v>18</v>
      </c>
      <c r="J742" s="153">
        <v>1</v>
      </c>
      <c r="K742" s="145" t="s">
        <v>730</v>
      </c>
      <c r="L742" s="142" t="s">
        <v>191</v>
      </c>
      <c r="M742" s="11" t="str">
        <f>VLOOKUP(N742,'Mã NV'!$A$3:$B$196,2,0)</f>
        <v>BU23</v>
      </c>
      <c r="N742" s="297" t="s">
        <v>2544</v>
      </c>
      <c r="O742" s="381">
        <v>44197</v>
      </c>
      <c r="P742" s="371"/>
      <c r="Q742" s="145"/>
      <c r="R742" s="150"/>
    </row>
    <row r="743" spans="1:18" ht="35.25" hidden="1" customHeight="1">
      <c r="A743" s="15">
        <f t="shared" si="11"/>
        <v>733</v>
      </c>
      <c r="B743" s="142" t="s">
        <v>1251</v>
      </c>
      <c r="C743" s="150" t="s">
        <v>1252</v>
      </c>
      <c r="D743" s="156"/>
      <c r="E743" s="156"/>
      <c r="F743" s="156"/>
      <c r="G743" s="149" t="s">
        <v>2376</v>
      </c>
      <c r="H743" s="141"/>
      <c r="I743" s="153" t="s">
        <v>566</v>
      </c>
      <c r="J743" s="153">
        <v>1</v>
      </c>
      <c r="K743" s="145" t="s">
        <v>730</v>
      </c>
      <c r="L743" s="142" t="s">
        <v>191</v>
      </c>
      <c r="M743" s="11" t="str">
        <f>VLOOKUP(N743,'Mã NV'!$A$3:$B$196,2,0)</f>
        <v>BU23</v>
      </c>
      <c r="N743" s="307" t="s">
        <v>2544</v>
      </c>
      <c r="O743" s="388">
        <v>44991</v>
      </c>
      <c r="P743" s="371"/>
      <c r="Q743" s="145"/>
      <c r="R743" s="150"/>
    </row>
    <row r="744" spans="1:18" ht="35.25" hidden="1" customHeight="1">
      <c r="A744" s="15">
        <f t="shared" si="11"/>
        <v>734</v>
      </c>
      <c r="B744" s="142" t="s">
        <v>1253</v>
      </c>
      <c r="C744" s="150" t="s">
        <v>1254</v>
      </c>
      <c r="D744" s="156"/>
      <c r="E744" s="156"/>
      <c r="F744" s="156"/>
      <c r="G744" s="149" t="s">
        <v>2377</v>
      </c>
      <c r="H744" s="141"/>
      <c r="I744" s="153" t="s">
        <v>566</v>
      </c>
      <c r="J744" s="153">
        <v>1</v>
      </c>
      <c r="K744" s="145" t="s">
        <v>730</v>
      </c>
      <c r="L744" s="142" t="s">
        <v>191</v>
      </c>
      <c r="M744" s="11" t="str">
        <f>VLOOKUP(N744,'Mã NV'!$A$3:$B$196,2,0)</f>
        <v>BU23</v>
      </c>
      <c r="N744" s="307" t="s">
        <v>2544</v>
      </c>
      <c r="O744" s="388">
        <v>44991</v>
      </c>
      <c r="P744" s="371"/>
      <c r="Q744" s="145"/>
      <c r="R744" s="150"/>
    </row>
    <row r="745" spans="1:18" ht="35.25" hidden="1" customHeight="1">
      <c r="A745" s="15">
        <f t="shared" si="11"/>
        <v>735</v>
      </c>
      <c r="B745" s="9" t="s">
        <v>1255</v>
      </c>
      <c r="C745" s="14" t="s">
        <v>1256</v>
      </c>
      <c r="D745" s="156"/>
      <c r="E745" s="156"/>
      <c r="F745" s="156"/>
      <c r="G745" s="149"/>
      <c r="H745" s="141"/>
      <c r="I745" s="153" t="s">
        <v>566</v>
      </c>
      <c r="J745" s="153">
        <v>10</v>
      </c>
      <c r="K745" s="145" t="s">
        <v>730</v>
      </c>
      <c r="L745" s="142" t="s">
        <v>191</v>
      </c>
      <c r="M745" s="11" t="str">
        <f>VLOOKUP(N745,'Mã NV'!$A$3:$B$196,2,0)</f>
        <v>BU23</v>
      </c>
      <c r="N745" s="307" t="s">
        <v>2544</v>
      </c>
      <c r="O745" s="380">
        <f>VLOOKUP(B745,'Tổng hợp (3)'!$C$4:$E$985,3,0)</f>
        <v>44767</v>
      </c>
      <c r="P745" s="378"/>
      <c r="Q745" s="145"/>
      <c r="R745" s="150"/>
    </row>
    <row r="746" spans="1:18" ht="35.25" hidden="1" customHeight="1">
      <c r="A746" s="15">
        <f t="shared" si="11"/>
        <v>736</v>
      </c>
      <c r="B746" s="123" t="s">
        <v>1257</v>
      </c>
      <c r="C746" s="29" t="s">
        <v>1258</v>
      </c>
      <c r="D746" s="156"/>
      <c r="E746" s="156"/>
      <c r="F746" s="156"/>
      <c r="G746" s="149"/>
      <c r="H746" s="141"/>
      <c r="I746" s="153" t="s">
        <v>566</v>
      </c>
      <c r="J746" s="153">
        <v>1</v>
      </c>
      <c r="K746" s="145" t="s">
        <v>730</v>
      </c>
      <c r="L746" s="142" t="s">
        <v>191</v>
      </c>
      <c r="M746" s="11" t="str">
        <f>VLOOKUP(N746,'Mã NV'!$A$3:$B$196,2,0)</f>
        <v>BU23</v>
      </c>
      <c r="N746" s="307" t="s">
        <v>2544</v>
      </c>
      <c r="O746" s="380">
        <f>VLOOKUP(B746,'Tổng hợp (3)'!$C$4:$E$985,3,0)</f>
        <v>44919</v>
      </c>
      <c r="P746" s="378"/>
      <c r="Q746" s="145"/>
      <c r="R746" s="150"/>
    </row>
    <row r="747" spans="1:18" ht="35.25" hidden="1" customHeight="1">
      <c r="A747" s="15">
        <f t="shared" si="11"/>
        <v>737</v>
      </c>
      <c r="B747" s="144" t="s">
        <v>1259</v>
      </c>
      <c r="C747" s="150" t="s">
        <v>896</v>
      </c>
      <c r="D747" s="156"/>
      <c r="E747" s="156"/>
      <c r="F747" s="156"/>
      <c r="G747" s="149" t="s">
        <v>2378</v>
      </c>
      <c r="H747" s="141"/>
      <c r="I747" s="153" t="s">
        <v>18</v>
      </c>
      <c r="J747" s="153">
        <v>1</v>
      </c>
      <c r="K747" s="145" t="s">
        <v>730</v>
      </c>
      <c r="L747" s="142" t="s">
        <v>191</v>
      </c>
      <c r="M747" s="11" t="str">
        <f>VLOOKUP(N747,'Mã NV'!$A$3:$B$196,2,0)</f>
        <v>BU23</v>
      </c>
      <c r="N747" s="297" t="s">
        <v>2544</v>
      </c>
      <c r="O747" s="381">
        <v>44197</v>
      </c>
      <c r="P747" s="371"/>
      <c r="Q747" s="145"/>
      <c r="R747" s="142" t="s">
        <v>2545</v>
      </c>
    </row>
    <row r="748" spans="1:18" ht="35.25" hidden="1" customHeight="1">
      <c r="A748" s="15">
        <f t="shared" si="11"/>
        <v>738</v>
      </c>
      <c r="B748" s="144" t="s">
        <v>1260</v>
      </c>
      <c r="C748" s="150" t="s">
        <v>1261</v>
      </c>
      <c r="D748" s="156"/>
      <c r="E748" s="156"/>
      <c r="F748" s="156"/>
      <c r="G748" s="149"/>
      <c r="H748" s="141"/>
      <c r="I748" s="153" t="s">
        <v>18</v>
      </c>
      <c r="J748" s="153">
        <v>1</v>
      </c>
      <c r="K748" s="145" t="s">
        <v>730</v>
      </c>
      <c r="L748" s="142" t="s">
        <v>191</v>
      </c>
      <c r="M748" s="11" t="str">
        <f>VLOOKUP(N748,'Mã NV'!$A$3:$B$196,2,0)</f>
        <v>BU23</v>
      </c>
      <c r="N748" s="297" t="s">
        <v>2544</v>
      </c>
      <c r="O748" s="381">
        <v>44197</v>
      </c>
      <c r="P748" s="371"/>
      <c r="Q748" s="145"/>
      <c r="R748" s="142" t="s">
        <v>2545</v>
      </c>
    </row>
    <row r="749" spans="1:18" ht="35.25" hidden="1" customHeight="1">
      <c r="A749" s="15">
        <f t="shared" si="11"/>
        <v>739</v>
      </c>
      <c r="B749" s="144" t="s">
        <v>1262</v>
      </c>
      <c r="C749" s="150" t="s">
        <v>1263</v>
      </c>
      <c r="D749" s="156"/>
      <c r="E749" s="156"/>
      <c r="F749" s="156"/>
      <c r="G749" s="144"/>
      <c r="H749" s="141"/>
      <c r="I749" s="144" t="s">
        <v>566</v>
      </c>
      <c r="J749" s="153">
        <v>1</v>
      </c>
      <c r="K749" s="145" t="s">
        <v>730</v>
      </c>
      <c r="L749" s="142" t="s">
        <v>191</v>
      </c>
      <c r="M749" s="11" t="str">
        <f>VLOOKUP(N749,'Mã NV'!$A$3:$B$196,2,0)</f>
        <v>BU23</v>
      </c>
      <c r="N749" s="297" t="s">
        <v>2544</v>
      </c>
      <c r="O749" s="381">
        <v>44197</v>
      </c>
      <c r="P749" s="371"/>
      <c r="Q749" s="145"/>
      <c r="R749" s="142" t="s">
        <v>272</v>
      </c>
    </row>
    <row r="750" spans="1:18" ht="35.25" hidden="1" customHeight="1">
      <c r="A750" s="15">
        <f t="shared" si="11"/>
        <v>740</v>
      </c>
      <c r="B750" s="144" t="s">
        <v>1264</v>
      </c>
      <c r="C750" s="150" t="s">
        <v>1263</v>
      </c>
      <c r="D750" s="156"/>
      <c r="E750" s="156"/>
      <c r="F750" s="156"/>
      <c r="G750" s="144"/>
      <c r="H750" s="141"/>
      <c r="I750" s="144" t="s">
        <v>566</v>
      </c>
      <c r="J750" s="153">
        <v>1</v>
      </c>
      <c r="K750" s="145" t="s">
        <v>730</v>
      </c>
      <c r="L750" s="142" t="s">
        <v>191</v>
      </c>
      <c r="M750" s="11" t="str">
        <f>VLOOKUP(N750,'Mã NV'!$A$3:$B$196,2,0)</f>
        <v>BU23</v>
      </c>
      <c r="N750" s="297" t="s">
        <v>2544</v>
      </c>
      <c r="O750" s="381">
        <v>44197</v>
      </c>
      <c r="P750" s="371"/>
      <c r="Q750" s="145"/>
      <c r="R750" s="142" t="s">
        <v>272</v>
      </c>
    </row>
    <row r="751" spans="1:18" ht="35.25" hidden="1" customHeight="1">
      <c r="A751" s="15">
        <f t="shared" si="11"/>
        <v>741</v>
      </c>
      <c r="B751" s="144" t="s">
        <v>1265</v>
      </c>
      <c r="C751" s="150" t="s">
        <v>1263</v>
      </c>
      <c r="D751" s="156"/>
      <c r="E751" s="156"/>
      <c r="F751" s="156"/>
      <c r="G751" s="144"/>
      <c r="H751" s="141"/>
      <c r="I751" s="144" t="s">
        <v>566</v>
      </c>
      <c r="J751" s="153">
        <v>1</v>
      </c>
      <c r="K751" s="145" t="s">
        <v>730</v>
      </c>
      <c r="L751" s="142" t="s">
        <v>191</v>
      </c>
      <c r="M751" s="11" t="str">
        <f>VLOOKUP(N751,'Mã NV'!$A$3:$B$196,2,0)</f>
        <v>BU23</v>
      </c>
      <c r="N751" s="297" t="s">
        <v>2544</v>
      </c>
      <c r="O751" s="381">
        <v>44197</v>
      </c>
      <c r="P751" s="371"/>
      <c r="Q751" s="145"/>
      <c r="R751" s="142" t="s">
        <v>272</v>
      </c>
    </row>
    <row r="752" spans="1:18" ht="35.25" hidden="1" customHeight="1">
      <c r="A752" s="15">
        <f t="shared" si="11"/>
        <v>742</v>
      </c>
      <c r="B752" s="144" t="s">
        <v>1266</v>
      </c>
      <c r="C752" s="150" t="s">
        <v>1263</v>
      </c>
      <c r="D752" s="156"/>
      <c r="E752" s="156"/>
      <c r="F752" s="156"/>
      <c r="G752" s="144"/>
      <c r="H752" s="141"/>
      <c r="I752" s="144" t="s">
        <v>566</v>
      </c>
      <c r="J752" s="153">
        <v>1</v>
      </c>
      <c r="K752" s="145" t="s">
        <v>730</v>
      </c>
      <c r="L752" s="142" t="s">
        <v>191</v>
      </c>
      <c r="M752" s="11" t="str">
        <f>VLOOKUP(N752,'Mã NV'!$A$3:$B$196,2,0)</f>
        <v>BU23</v>
      </c>
      <c r="N752" s="297" t="s">
        <v>2544</v>
      </c>
      <c r="O752" s="381">
        <v>44197</v>
      </c>
      <c r="P752" s="371"/>
      <c r="Q752" s="145"/>
      <c r="R752" s="142" t="s">
        <v>272</v>
      </c>
    </row>
    <row r="753" spans="1:18" ht="35.25" hidden="1" customHeight="1">
      <c r="A753" s="15">
        <f t="shared" si="11"/>
        <v>743</v>
      </c>
      <c r="B753" s="144" t="s">
        <v>1267</v>
      </c>
      <c r="C753" s="150" t="s">
        <v>1263</v>
      </c>
      <c r="D753" s="156"/>
      <c r="E753" s="156"/>
      <c r="F753" s="156"/>
      <c r="G753" s="144"/>
      <c r="H753" s="141"/>
      <c r="I753" s="144" t="s">
        <v>566</v>
      </c>
      <c r="J753" s="153">
        <v>1</v>
      </c>
      <c r="K753" s="145" t="s">
        <v>730</v>
      </c>
      <c r="L753" s="142" t="s">
        <v>191</v>
      </c>
      <c r="M753" s="11" t="str">
        <f>VLOOKUP(N753,'Mã NV'!$A$3:$B$196,2,0)</f>
        <v>BU23</v>
      </c>
      <c r="N753" s="297" t="s">
        <v>2544</v>
      </c>
      <c r="O753" s="381">
        <v>44197</v>
      </c>
      <c r="P753" s="371"/>
      <c r="Q753" s="145"/>
      <c r="R753" s="142" t="s">
        <v>272</v>
      </c>
    </row>
    <row r="754" spans="1:18" ht="35.25" hidden="1" customHeight="1">
      <c r="A754" s="15">
        <f t="shared" si="11"/>
        <v>744</v>
      </c>
      <c r="B754" s="144" t="s">
        <v>1268</v>
      </c>
      <c r="C754" s="150" t="s">
        <v>1263</v>
      </c>
      <c r="D754" s="156"/>
      <c r="E754" s="156"/>
      <c r="F754" s="156"/>
      <c r="G754" s="144"/>
      <c r="H754" s="141"/>
      <c r="I754" s="144" t="s">
        <v>566</v>
      </c>
      <c r="J754" s="153">
        <v>1</v>
      </c>
      <c r="K754" s="145" t="s">
        <v>730</v>
      </c>
      <c r="L754" s="142" t="s">
        <v>191</v>
      </c>
      <c r="M754" s="11" t="str">
        <f>VLOOKUP(N754,'Mã NV'!$A$3:$B$196,2,0)</f>
        <v>BU23</v>
      </c>
      <c r="N754" s="297" t="s">
        <v>2544</v>
      </c>
      <c r="O754" s="381">
        <v>44197</v>
      </c>
      <c r="P754" s="371"/>
      <c r="Q754" s="145"/>
      <c r="R754" s="142" t="s">
        <v>272</v>
      </c>
    </row>
    <row r="755" spans="1:18" ht="35.25" hidden="1" customHeight="1">
      <c r="A755" s="15">
        <f t="shared" si="11"/>
        <v>745</v>
      </c>
      <c r="B755" s="144" t="s">
        <v>1269</v>
      </c>
      <c r="C755" s="150" t="s">
        <v>1263</v>
      </c>
      <c r="D755" s="156"/>
      <c r="E755" s="156"/>
      <c r="F755" s="156"/>
      <c r="G755" s="144"/>
      <c r="H755" s="141"/>
      <c r="I755" s="144" t="s">
        <v>566</v>
      </c>
      <c r="J755" s="153">
        <v>1</v>
      </c>
      <c r="K755" s="145" t="s">
        <v>730</v>
      </c>
      <c r="L755" s="142" t="s">
        <v>191</v>
      </c>
      <c r="M755" s="11" t="str">
        <f>VLOOKUP(N755,'Mã NV'!$A$3:$B$196,2,0)</f>
        <v>BU23</v>
      </c>
      <c r="N755" s="297" t="s">
        <v>2544</v>
      </c>
      <c r="O755" s="381">
        <v>44197</v>
      </c>
      <c r="P755" s="371"/>
      <c r="Q755" s="145"/>
      <c r="R755" s="142" t="s">
        <v>272</v>
      </c>
    </row>
    <row r="756" spans="1:18" ht="35.25" hidden="1" customHeight="1">
      <c r="A756" s="15">
        <f t="shared" si="11"/>
        <v>746</v>
      </c>
      <c r="B756" s="144" t="s">
        <v>1270</v>
      </c>
      <c r="C756" s="150" t="s">
        <v>1271</v>
      </c>
      <c r="D756" s="156"/>
      <c r="E756" s="156"/>
      <c r="F756" s="156"/>
      <c r="G756" s="149"/>
      <c r="H756" s="141"/>
      <c r="I756" s="153" t="s">
        <v>18</v>
      </c>
      <c r="J756" s="153">
        <v>1</v>
      </c>
      <c r="K756" s="145" t="s">
        <v>730</v>
      </c>
      <c r="L756" s="142" t="s">
        <v>191</v>
      </c>
      <c r="M756" s="11" t="str">
        <f>VLOOKUP(N756,'Mã NV'!$A$3:$B$196,2,0)</f>
        <v>BU23</v>
      </c>
      <c r="N756" s="297" t="s">
        <v>2544</v>
      </c>
      <c r="O756" s="381">
        <v>44197</v>
      </c>
      <c r="P756" s="371"/>
      <c r="Q756" s="145"/>
      <c r="R756" s="142" t="s">
        <v>2546</v>
      </c>
    </row>
    <row r="757" spans="1:18" ht="35.25" hidden="1" customHeight="1">
      <c r="A757" s="15">
        <f t="shared" si="11"/>
        <v>747</v>
      </c>
      <c r="B757" s="156" t="s">
        <v>1272</v>
      </c>
      <c r="C757" s="169" t="s">
        <v>1273</v>
      </c>
      <c r="D757" s="156"/>
      <c r="E757" s="156"/>
      <c r="F757" s="156"/>
      <c r="G757" s="160" t="s">
        <v>2379</v>
      </c>
      <c r="H757" s="141"/>
      <c r="I757" s="158" t="s">
        <v>18</v>
      </c>
      <c r="J757" s="158">
        <v>1</v>
      </c>
      <c r="K757" s="145" t="s">
        <v>730</v>
      </c>
      <c r="L757" s="145" t="s">
        <v>191</v>
      </c>
      <c r="M757" s="11" t="str">
        <f>VLOOKUP(N757,'Mã NV'!$A$3:$B$196,2,0)</f>
        <v>BU22</v>
      </c>
      <c r="N757" s="303" t="s">
        <v>2547</v>
      </c>
      <c r="O757" s="381">
        <v>44197</v>
      </c>
      <c r="P757" s="371"/>
      <c r="Q757" s="145"/>
      <c r="R757" s="169"/>
    </row>
    <row r="758" spans="1:18" ht="35.25" hidden="1" customHeight="1">
      <c r="A758" s="15">
        <f t="shared" si="11"/>
        <v>748</v>
      </c>
      <c r="B758" s="156" t="s">
        <v>1274</v>
      </c>
      <c r="C758" s="169" t="s">
        <v>1275</v>
      </c>
      <c r="D758" s="156"/>
      <c r="E758" s="156"/>
      <c r="F758" s="156"/>
      <c r="G758" s="160" t="s">
        <v>2380</v>
      </c>
      <c r="H758" s="141"/>
      <c r="I758" s="158" t="s">
        <v>18</v>
      </c>
      <c r="J758" s="158">
        <v>1</v>
      </c>
      <c r="K758" s="145" t="s">
        <v>730</v>
      </c>
      <c r="L758" s="145" t="s">
        <v>191</v>
      </c>
      <c r="M758" s="11" t="str">
        <f>VLOOKUP(N758,'Mã NV'!$A$3:$B$196,2,0)</f>
        <v>BU22</v>
      </c>
      <c r="N758" s="303" t="s">
        <v>2547</v>
      </c>
      <c r="O758" s="381">
        <v>44197</v>
      </c>
      <c r="P758" s="371"/>
      <c r="Q758" s="145"/>
      <c r="R758" s="169"/>
    </row>
    <row r="759" spans="1:18" ht="35.25" hidden="1" customHeight="1">
      <c r="A759" s="15">
        <f t="shared" si="11"/>
        <v>749</v>
      </c>
      <c r="B759" s="156" t="s">
        <v>1276</v>
      </c>
      <c r="C759" s="169" t="s">
        <v>120</v>
      </c>
      <c r="D759" s="156"/>
      <c r="E759" s="156"/>
      <c r="F759" s="156"/>
      <c r="G759" s="160" t="s">
        <v>2381</v>
      </c>
      <c r="H759" s="141"/>
      <c r="I759" s="158" t="s">
        <v>18</v>
      </c>
      <c r="J759" s="158">
        <v>1</v>
      </c>
      <c r="K759" s="145" t="s">
        <v>730</v>
      </c>
      <c r="L759" s="145" t="s">
        <v>191</v>
      </c>
      <c r="M759" s="11" t="str">
        <f>VLOOKUP(N759,'Mã NV'!$A$3:$B$196,2,0)</f>
        <v>BU22</v>
      </c>
      <c r="N759" s="303" t="s">
        <v>2547</v>
      </c>
      <c r="O759" s="381">
        <v>44197</v>
      </c>
      <c r="P759" s="371"/>
      <c r="Q759" s="145"/>
      <c r="R759" s="169"/>
    </row>
    <row r="760" spans="1:18" ht="35.25" hidden="1" customHeight="1">
      <c r="A760" s="15">
        <f t="shared" si="11"/>
        <v>750</v>
      </c>
      <c r="B760" s="144" t="s">
        <v>1277</v>
      </c>
      <c r="C760" s="150" t="s">
        <v>641</v>
      </c>
      <c r="D760" s="156"/>
      <c r="E760" s="156"/>
      <c r="F760" s="156"/>
      <c r="G760" s="149">
        <v>968501798</v>
      </c>
      <c r="H760" s="141"/>
      <c r="I760" s="153" t="s">
        <v>18</v>
      </c>
      <c r="J760" s="153">
        <v>1</v>
      </c>
      <c r="K760" s="145" t="s">
        <v>730</v>
      </c>
      <c r="L760" s="142" t="s">
        <v>191</v>
      </c>
      <c r="M760" s="11" t="str">
        <f>VLOOKUP(N760,'Mã NV'!$A$3:$B$196,2,0)</f>
        <v>BU22</v>
      </c>
      <c r="N760" s="297" t="s">
        <v>2547</v>
      </c>
      <c r="O760" s="381">
        <v>44197</v>
      </c>
      <c r="P760" s="371"/>
      <c r="Q760" s="145"/>
      <c r="R760" s="150"/>
    </row>
    <row r="761" spans="1:18" ht="35.25" hidden="1" customHeight="1">
      <c r="A761" s="15">
        <f t="shared" si="11"/>
        <v>751</v>
      </c>
      <c r="B761" s="144" t="s">
        <v>1278</v>
      </c>
      <c r="C761" s="150" t="s">
        <v>1279</v>
      </c>
      <c r="D761" s="156"/>
      <c r="E761" s="156"/>
      <c r="F761" s="156"/>
      <c r="G761" s="149" t="s">
        <v>438</v>
      </c>
      <c r="H761" s="141"/>
      <c r="I761" s="153" t="s">
        <v>18</v>
      </c>
      <c r="J761" s="153">
        <v>1</v>
      </c>
      <c r="K761" s="145" t="s">
        <v>730</v>
      </c>
      <c r="L761" s="142" t="s">
        <v>191</v>
      </c>
      <c r="M761" s="11" t="str">
        <f>VLOOKUP(N761,'Mã NV'!$A$3:$B$196,2,0)</f>
        <v>BU22</v>
      </c>
      <c r="N761" s="297" t="s">
        <v>2547</v>
      </c>
      <c r="O761" s="381">
        <v>44197</v>
      </c>
      <c r="P761" s="371"/>
      <c r="Q761" s="145"/>
      <c r="R761" s="150"/>
    </row>
    <row r="762" spans="1:18" ht="35.25" hidden="1" customHeight="1">
      <c r="A762" s="15">
        <f t="shared" si="11"/>
        <v>752</v>
      </c>
      <c r="B762" s="144" t="s">
        <v>1280</v>
      </c>
      <c r="C762" s="150" t="s">
        <v>1238</v>
      </c>
      <c r="D762" s="156"/>
      <c r="E762" s="156"/>
      <c r="F762" s="156"/>
      <c r="G762" s="149" t="s">
        <v>2372</v>
      </c>
      <c r="H762" s="141"/>
      <c r="I762" s="153" t="s">
        <v>18</v>
      </c>
      <c r="J762" s="153">
        <v>1</v>
      </c>
      <c r="K762" s="145" t="s">
        <v>730</v>
      </c>
      <c r="L762" s="142" t="s">
        <v>191</v>
      </c>
      <c r="M762" s="11" t="str">
        <f>VLOOKUP(N762,'Mã NV'!$A$3:$B$196,2,0)</f>
        <v>BU22</v>
      </c>
      <c r="N762" s="297" t="s">
        <v>2547</v>
      </c>
      <c r="O762" s="381">
        <v>44197</v>
      </c>
      <c r="P762" s="371"/>
      <c r="Q762" s="145"/>
      <c r="R762" s="150"/>
    </row>
    <row r="763" spans="1:18" ht="35.25" hidden="1" customHeight="1">
      <c r="A763" s="15">
        <f t="shared" si="11"/>
        <v>753</v>
      </c>
      <c r="B763" s="144" t="s">
        <v>1281</v>
      </c>
      <c r="C763" s="150" t="s">
        <v>32</v>
      </c>
      <c r="D763" s="156"/>
      <c r="E763" s="156"/>
      <c r="F763" s="156"/>
      <c r="G763" s="149"/>
      <c r="H763" s="141"/>
      <c r="I763" s="153" t="s">
        <v>18</v>
      </c>
      <c r="J763" s="153">
        <v>1</v>
      </c>
      <c r="K763" s="153" t="s">
        <v>2499</v>
      </c>
      <c r="L763" s="142" t="s">
        <v>191</v>
      </c>
      <c r="M763" s="11" t="str">
        <f>VLOOKUP(N763,'Mã NV'!$A$3:$B$196,2,0)</f>
        <v>BU22</v>
      </c>
      <c r="N763" s="297" t="s">
        <v>2547</v>
      </c>
      <c r="O763" s="381">
        <v>44197</v>
      </c>
      <c r="P763" s="371"/>
      <c r="Q763" s="145"/>
      <c r="R763" s="150"/>
    </row>
    <row r="764" spans="1:18" ht="35.25" hidden="1" customHeight="1">
      <c r="A764" s="15">
        <f t="shared" si="11"/>
        <v>754</v>
      </c>
      <c r="B764" s="144" t="s">
        <v>1282</v>
      </c>
      <c r="C764" s="150" t="s">
        <v>1283</v>
      </c>
      <c r="D764" s="156"/>
      <c r="E764" s="156"/>
      <c r="F764" s="156"/>
      <c r="G764" s="149" t="s">
        <v>2382</v>
      </c>
      <c r="H764" s="141"/>
      <c r="I764" s="153" t="s">
        <v>18</v>
      </c>
      <c r="J764" s="153">
        <v>1</v>
      </c>
      <c r="K764" s="145" t="s">
        <v>730</v>
      </c>
      <c r="L764" s="142" t="s">
        <v>191</v>
      </c>
      <c r="M764" s="11" t="str">
        <f>VLOOKUP(N764,'Mã NV'!$A$3:$B$196,2,0)</f>
        <v>BU29</v>
      </c>
      <c r="N764" s="297" t="s">
        <v>2548</v>
      </c>
      <c r="O764" s="381">
        <v>44197</v>
      </c>
      <c r="P764" s="371"/>
      <c r="Q764" s="145"/>
      <c r="R764" s="150"/>
    </row>
    <row r="765" spans="1:18" ht="35.25" hidden="1" customHeight="1">
      <c r="A765" s="15">
        <f t="shared" si="11"/>
        <v>755</v>
      </c>
      <c r="B765" s="144" t="s">
        <v>1284</v>
      </c>
      <c r="C765" s="150" t="s">
        <v>1176</v>
      </c>
      <c r="D765" s="156"/>
      <c r="E765" s="156"/>
      <c r="F765" s="156"/>
      <c r="G765" s="149"/>
      <c r="H765" s="141"/>
      <c r="I765" s="153" t="s">
        <v>18</v>
      </c>
      <c r="J765" s="153">
        <v>1</v>
      </c>
      <c r="K765" s="145" t="s">
        <v>730</v>
      </c>
      <c r="L765" s="142" t="s">
        <v>191</v>
      </c>
      <c r="M765" s="11" t="str">
        <f>VLOOKUP(N765,'Mã NV'!$A$3:$B$196,2,0)</f>
        <v>BU29</v>
      </c>
      <c r="N765" s="297" t="s">
        <v>2548</v>
      </c>
      <c r="O765" s="381">
        <v>44197</v>
      </c>
      <c r="P765" s="371"/>
      <c r="Q765" s="145"/>
      <c r="R765" s="150"/>
    </row>
    <row r="766" spans="1:18" ht="35.25" hidden="1" customHeight="1">
      <c r="A766" s="15">
        <f t="shared" si="11"/>
        <v>756</v>
      </c>
      <c r="B766" s="144" t="s">
        <v>1285</v>
      </c>
      <c r="C766" s="150" t="s">
        <v>451</v>
      </c>
      <c r="D766" s="156"/>
      <c r="E766" s="156"/>
      <c r="F766" s="156"/>
      <c r="G766" s="149" t="s">
        <v>2383</v>
      </c>
      <c r="H766" s="141"/>
      <c r="I766" s="153" t="s">
        <v>18</v>
      </c>
      <c r="J766" s="153">
        <v>1</v>
      </c>
      <c r="K766" s="145" t="s">
        <v>730</v>
      </c>
      <c r="L766" s="142" t="s">
        <v>191</v>
      </c>
      <c r="M766" s="11" t="str">
        <f>VLOOKUP(N766,'Mã NV'!$A$3:$B$196,2,0)</f>
        <v>BU29</v>
      </c>
      <c r="N766" s="297" t="s">
        <v>2548</v>
      </c>
      <c r="O766" s="380">
        <f>VLOOKUP(B766,'Tổng hợp (3)'!$C$4:$E$985,3,0)</f>
        <v>44498</v>
      </c>
      <c r="P766" s="378"/>
      <c r="Q766" s="145"/>
      <c r="R766" s="150"/>
    </row>
    <row r="767" spans="1:18" ht="35.25" hidden="1" customHeight="1">
      <c r="A767" s="15">
        <f t="shared" si="11"/>
        <v>757</v>
      </c>
      <c r="B767" s="144" t="s">
        <v>1286</v>
      </c>
      <c r="C767" s="150" t="s">
        <v>1279</v>
      </c>
      <c r="D767" s="156"/>
      <c r="E767" s="156"/>
      <c r="F767" s="156"/>
      <c r="G767" s="149" t="s">
        <v>438</v>
      </c>
      <c r="H767" s="141"/>
      <c r="I767" s="153" t="s">
        <v>18</v>
      </c>
      <c r="J767" s="153">
        <v>1</v>
      </c>
      <c r="K767" s="145" t="s">
        <v>730</v>
      </c>
      <c r="L767" s="142" t="s">
        <v>191</v>
      </c>
      <c r="M767" s="11" t="str">
        <f>VLOOKUP(N767,'Mã NV'!$A$3:$B$196,2,0)</f>
        <v>BU29</v>
      </c>
      <c r="N767" s="297" t="s">
        <v>2548</v>
      </c>
      <c r="O767" s="381">
        <v>44197</v>
      </c>
      <c r="P767" s="371"/>
      <c r="Q767" s="145"/>
      <c r="R767" s="150"/>
    </row>
    <row r="768" spans="1:18" ht="35.25" hidden="1" customHeight="1">
      <c r="A768" s="15">
        <f t="shared" si="11"/>
        <v>758</v>
      </c>
      <c r="B768" s="144" t="s">
        <v>1287</v>
      </c>
      <c r="C768" s="150" t="s">
        <v>1238</v>
      </c>
      <c r="D768" s="156"/>
      <c r="E768" s="156"/>
      <c r="F768" s="156"/>
      <c r="G768" s="149" t="s">
        <v>2372</v>
      </c>
      <c r="H768" s="141"/>
      <c r="I768" s="153" t="s">
        <v>18</v>
      </c>
      <c r="J768" s="153">
        <v>1</v>
      </c>
      <c r="K768" s="145" t="s">
        <v>730</v>
      </c>
      <c r="L768" s="142" t="s">
        <v>191</v>
      </c>
      <c r="M768" s="11" t="str">
        <f>VLOOKUP(N768,'Mã NV'!$A$3:$B$196,2,0)</f>
        <v>BU29</v>
      </c>
      <c r="N768" s="297" t="s">
        <v>2548</v>
      </c>
      <c r="O768" s="381">
        <v>44197</v>
      </c>
      <c r="P768" s="371"/>
      <c r="Q768" s="145"/>
      <c r="R768" s="150"/>
    </row>
    <row r="769" spans="1:18" ht="35.25" hidden="1" customHeight="1">
      <c r="A769" s="15">
        <f t="shared" si="11"/>
        <v>759</v>
      </c>
      <c r="B769" s="144" t="s">
        <v>1288</v>
      </c>
      <c r="C769" s="150" t="s">
        <v>1289</v>
      </c>
      <c r="D769" s="156"/>
      <c r="E769" s="156"/>
      <c r="F769" s="156"/>
      <c r="G769" s="149" t="s">
        <v>32</v>
      </c>
      <c r="H769" s="141"/>
      <c r="I769" s="153" t="s">
        <v>18</v>
      </c>
      <c r="J769" s="153">
        <v>1</v>
      </c>
      <c r="K769" s="145" t="s">
        <v>730</v>
      </c>
      <c r="L769" s="142" t="s">
        <v>191</v>
      </c>
      <c r="M769" s="11" t="str">
        <f>VLOOKUP(N769,'Mã NV'!$A$3:$B$196,2,0)</f>
        <v>BU29</v>
      </c>
      <c r="N769" s="297" t="s">
        <v>2548</v>
      </c>
      <c r="O769" s="381">
        <v>44197</v>
      </c>
      <c r="P769" s="371"/>
      <c r="Q769" s="145"/>
      <c r="R769" s="150"/>
    </row>
    <row r="770" spans="1:18" ht="35.25" hidden="1" customHeight="1">
      <c r="A770" s="15">
        <f t="shared" si="11"/>
        <v>760</v>
      </c>
      <c r="B770" s="144" t="s">
        <v>1290</v>
      </c>
      <c r="C770" s="150" t="s">
        <v>1291</v>
      </c>
      <c r="D770" s="156"/>
      <c r="E770" s="156"/>
      <c r="F770" s="156"/>
      <c r="G770" s="149"/>
      <c r="H770" s="141"/>
      <c r="I770" s="153" t="s">
        <v>18</v>
      </c>
      <c r="J770" s="153">
        <v>1</v>
      </c>
      <c r="K770" s="145" t="s">
        <v>730</v>
      </c>
      <c r="L770" s="142" t="s">
        <v>191</v>
      </c>
      <c r="M770" s="11" t="str">
        <f>VLOOKUP(N770,'Mã NV'!$A$3:$B$196,2,0)</f>
        <v>BU29</v>
      </c>
      <c r="N770" s="297" t="s">
        <v>2548</v>
      </c>
      <c r="O770" s="380">
        <f>VLOOKUP(B770,'Tổng hợp (3)'!$C$4:$E$985,3,0)</f>
        <v>44782</v>
      </c>
      <c r="P770" s="378"/>
      <c r="Q770" s="145"/>
      <c r="R770" s="150"/>
    </row>
    <row r="771" spans="1:18" ht="35.25" hidden="1" customHeight="1">
      <c r="A771" s="15">
        <f t="shared" si="11"/>
        <v>761</v>
      </c>
      <c r="B771" s="144" t="s">
        <v>1292</v>
      </c>
      <c r="C771" s="150" t="s">
        <v>1293</v>
      </c>
      <c r="D771" s="156"/>
      <c r="E771" s="156"/>
      <c r="F771" s="156"/>
      <c r="G771" s="149"/>
      <c r="H771" s="141"/>
      <c r="I771" s="153" t="s">
        <v>181</v>
      </c>
      <c r="J771" s="153">
        <v>1</v>
      </c>
      <c r="K771" s="145" t="s">
        <v>730</v>
      </c>
      <c r="L771" s="142" t="s">
        <v>191</v>
      </c>
      <c r="M771" s="11" t="str">
        <f>VLOOKUP(N771,'Mã NV'!$A$3:$B$196,2,0)</f>
        <v>BU29</v>
      </c>
      <c r="N771" s="297" t="s">
        <v>2548</v>
      </c>
      <c r="O771" s="381">
        <v>44981</v>
      </c>
      <c r="P771" s="371"/>
      <c r="Q771" s="145"/>
      <c r="R771" s="150"/>
    </row>
    <row r="772" spans="1:18" ht="35.25" hidden="1" customHeight="1">
      <c r="A772" s="15">
        <f t="shared" si="11"/>
        <v>762</v>
      </c>
      <c r="B772" s="144" t="s">
        <v>1294</v>
      </c>
      <c r="C772" s="150" t="s">
        <v>1283</v>
      </c>
      <c r="D772" s="156"/>
      <c r="E772" s="156"/>
      <c r="F772" s="156"/>
      <c r="G772" s="149" t="s">
        <v>2380</v>
      </c>
      <c r="H772" s="141"/>
      <c r="I772" s="153" t="s">
        <v>18</v>
      </c>
      <c r="J772" s="153">
        <v>1</v>
      </c>
      <c r="K772" s="145" t="s">
        <v>730</v>
      </c>
      <c r="L772" s="142" t="s">
        <v>191</v>
      </c>
      <c r="M772" s="11" t="str">
        <f>VLOOKUP(N772,'Mã NV'!$A$3:$B$196,2,0)</f>
        <v>BU30</v>
      </c>
      <c r="N772" s="297" t="s">
        <v>2549</v>
      </c>
      <c r="O772" s="381">
        <v>44197</v>
      </c>
      <c r="P772" s="371"/>
      <c r="Q772" s="145"/>
      <c r="R772" s="150"/>
    </row>
    <row r="773" spans="1:18" ht="35.25" hidden="1" customHeight="1">
      <c r="A773" s="15">
        <f t="shared" si="11"/>
        <v>763</v>
      </c>
      <c r="B773" s="144" t="s">
        <v>1295</v>
      </c>
      <c r="C773" s="150" t="s">
        <v>1296</v>
      </c>
      <c r="D773" s="156"/>
      <c r="E773" s="156"/>
      <c r="F773" s="156"/>
      <c r="G773" s="149"/>
      <c r="H773" s="141"/>
      <c r="I773" s="153" t="s">
        <v>18</v>
      </c>
      <c r="J773" s="153">
        <v>1</v>
      </c>
      <c r="K773" s="145" t="s">
        <v>730</v>
      </c>
      <c r="L773" s="142" t="s">
        <v>191</v>
      </c>
      <c r="M773" s="11" t="str">
        <f>VLOOKUP(N773,'Mã NV'!$A$3:$B$196,2,0)</f>
        <v>BU30</v>
      </c>
      <c r="N773" s="297" t="s">
        <v>2549</v>
      </c>
      <c r="O773" s="381">
        <v>44197</v>
      </c>
      <c r="P773" s="371"/>
      <c r="Q773" s="145"/>
      <c r="R773" s="150"/>
    </row>
    <row r="774" spans="1:18" ht="35.25" hidden="1" customHeight="1">
      <c r="A774" s="15">
        <f t="shared" si="11"/>
        <v>764</v>
      </c>
      <c r="B774" s="144" t="s">
        <v>1297</v>
      </c>
      <c r="C774" s="150" t="s">
        <v>1279</v>
      </c>
      <c r="D774" s="156"/>
      <c r="E774" s="156"/>
      <c r="F774" s="156"/>
      <c r="G774" s="149" t="s">
        <v>438</v>
      </c>
      <c r="H774" s="141"/>
      <c r="I774" s="153" t="s">
        <v>18</v>
      </c>
      <c r="J774" s="153">
        <v>1</v>
      </c>
      <c r="K774" s="145" t="s">
        <v>730</v>
      </c>
      <c r="L774" s="142" t="s">
        <v>191</v>
      </c>
      <c r="M774" s="11" t="str">
        <f>VLOOKUP(N774,'Mã NV'!$A$3:$B$196,2,0)</f>
        <v>BU30</v>
      </c>
      <c r="N774" s="297" t="s">
        <v>2549</v>
      </c>
      <c r="O774" s="381">
        <v>44197</v>
      </c>
      <c r="P774" s="371"/>
      <c r="Q774" s="145"/>
      <c r="R774" s="150"/>
    </row>
    <row r="775" spans="1:18" ht="35.25" hidden="1" customHeight="1">
      <c r="A775" s="15">
        <f t="shared" si="11"/>
        <v>765</v>
      </c>
      <c r="B775" s="144" t="s">
        <v>1298</v>
      </c>
      <c r="C775" s="150" t="s">
        <v>1238</v>
      </c>
      <c r="D775" s="156"/>
      <c r="E775" s="156"/>
      <c r="F775" s="156"/>
      <c r="G775" s="149" t="s">
        <v>2372</v>
      </c>
      <c r="H775" s="141"/>
      <c r="I775" s="153" t="s">
        <v>18</v>
      </c>
      <c r="J775" s="153">
        <v>1</v>
      </c>
      <c r="K775" s="145" t="s">
        <v>730</v>
      </c>
      <c r="L775" s="142" t="s">
        <v>191</v>
      </c>
      <c r="M775" s="11" t="str">
        <f>VLOOKUP(N775,'Mã NV'!$A$3:$B$196,2,0)</f>
        <v>BU30</v>
      </c>
      <c r="N775" s="297" t="s">
        <v>2549</v>
      </c>
      <c r="O775" s="381">
        <v>44197</v>
      </c>
      <c r="P775" s="371"/>
      <c r="Q775" s="145"/>
      <c r="R775" s="150"/>
    </row>
    <row r="776" spans="1:18" ht="35.25" hidden="1" customHeight="1">
      <c r="A776" s="15">
        <f t="shared" si="11"/>
        <v>766</v>
      </c>
      <c r="B776" s="144" t="s">
        <v>1299</v>
      </c>
      <c r="C776" s="150" t="s">
        <v>1289</v>
      </c>
      <c r="D776" s="156"/>
      <c r="E776" s="156"/>
      <c r="F776" s="156"/>
      <c r="G776" s="149" t="s">
        <v>32</v>
      </c>
      <c r="H776" s="141"/>
      <c r="I776" s="153" t="s">
        <v>18</v>
      </c>
      <c r="J776" s="153">
        <v>1</v>
      </c>
      <c r="K776" s="145" t="s">
        <v>730</v>
      </c>
      <c r="L776" s="142" t="s">
        <v>191</v>
      </c>
      <c r="M776" s="11" t="str">
        <f>VLOOKUP(N776,'Mã NV'!$A$3:$B$196,2,0)</f>
        <v>BU30</v>
      </c>
      <c r="N776" s="297" t="s">
        <v>2549</v>
      </c>
      <c r="O776" s="381">
        <v>44197</v>
      </c>
      <c r="P776" s="371"/>
      <c r="Q776" s="145"/>
      <c r="R776" s="150"/>
    </row>
    <row r="777" spans="1:18" ht="35.25" hidden="1" customHeight="1">
      <c r="A777" s="15">
        <f t="shared" si="11"/>
        <v>767</v>
      </c>
      <c r="B777" s="144" t="s">
        <v>1300</v>
      </c>
      <c r="C777" s="150" t="s">
        <v>620</v>
      </c>
      <c r="D777" s="156"/>
      <c r="E777" s="156"/>
      <c r="F777" s="156"/>
      <c r="G777" s="144" t="s">
        <v>634</v>
      </c>
      <c r="H777" s="141"/>
      <c r="I777" s="144" t="s">
        <v>2500</v>
      </c>
      <c r="J777" s="153">
        <v>1</v>
      </c>
      <c r="K777" s="145" t="s">
        <v>730</v>
      </c>
      <c r="L777" s="142" t="s">
        <v>191</v>
      </c>
      <c r="M777" s="11" t="str">
        <f>VLOOKUP(N777,'Mã NV'!$A$3:$B$196,2,0)</f>
        <v>BU31</v>
      </c>
      <c r="N777" s="297" t="s">
        <v>3618</v>
      </c>
      <c r="O777" s="380">
        <f>VLOOKUP(B777,'Tổng hợp (3)'!$C$4:$E$985,3,0)</f>
        <v>44516</v>
      </c>
      <c r="P777" s="378"/>
      <c r="Q777" s="145"/>
      <c r="R777" s="150"/>
    </row>
    <row r="778" spans="1:18" ht="35.25" hidden="1" customHeight="1">
      <c r="A778" s="15">
        <f t="shared" si="11"/>
        <v>768</v>
      </c>
      <c r="B778" s="144" t="s">
        <v>1301</v>
      </c>
      <c r="C778" s="150" t="s">
        <v>1302</v>
      </c>
      <c r="D778" s="156"/>
      <c r="E778" s="156"/>
      <c r="F778" s="156"/>
      <c r="G778" s="144" t="s">
        <v>2384</v>
      </c>
      <c r="H778" s="141"/>
      <c r="I778" s="144" t="s">
        <v>2500</v>
      </c>
      <c r="J778" s="153">
        <v>1</v>
      </c>
      <c r="K778" s="145" t="s">
        <v>730</v>
      </c>
      <c r="L778" s="142" t="s">
        <v>191</v>
      </c>
      <c r="M778" s="11" t="str">
        <f>VLOOKUP(N778,'Mã NV'!$A$3:$B$196,2,0)</f>
        <v>BU31</v>
      </c>
      <c r="N778" s="297" t="s">
        <v>3618</v>
      </c>
      <c r="O778" s="381">
        <v>44197</v>
      </c>
      <c r="P778" s="371"/>
      <c r="Q778" s="145"/>
      <c r="R778" s="150"/>
    </row>
    <row r="779" spans="1:18" ht="35.25" hidden="1" customHeight="1">
      <c r="A779" s="15">
        <f t="shared" si="11"/>
        <v>769</v>
      </c>
      <c r="B779" s="144" t="s">
        <v>1303</v>
      </c>
      <c r="C779" s="150" t="s">
        <v>1304</v>
      </c>
      <c r="D779" s="156"/>
      <c r="E779" s="156"/>
      <c r="F779" s="156"/>
      <c r="G779" s="144" t="s">
        <v>2385</v>
      </c>
      <c r="H779" s="141"/>
      <c r="I779" s="144" t="s">
        <v>2501</v>
      </c>
      <c r="J779" s="153">
        <v>1</v>
      </c>
      <c r="K779" s="145" t="s">
        <v>730</v>
      </c>
      <c r="L779" s="142" t="s">
        <v>191</v>
      </c>
      <c r="M779" s="11" t="str">
        <f>VLOOKUP(N779,'Mã NV'!$A$3:$B$196,2,0)</f>
        <v>BU31</v>
      </c>
      <c r="N779" s="297" t="s">
        <v>3618</v>
      </c>
      <c r="O779" s="381">
        <v>44197</v>
      </c>
      <c r="P779" s="371"/>
      <c r="Q779" s="145"/>
      <c r="R779" s="150"/>
    </row>
    <row r="780" spans="1:18" ht="35.25" hidden="1" customHeight="1">
      <c r="A780" s="15">
        <f t="shared" si="11"/>
        <v>770</v>
      </c>
      <c r="B780" s="144" t="s">
        <v>1305</v>
      </c>
      <c r="C780" s="150" t="s">
        <v>1306</v>
      </c>
      <c r="D780" s="156"/>
      <c r="E780" s="156"/>
      <c r="F780" s="156"/>
      <c r="G780" s="149" t="s">
        <v>438</v>
      </c>
      <c r="H780" s="141"/>
      <c r="I780" s="144" t="s">
        <v>566</v>
      </c>
      <c r="J780" s="153">
        <v>1</v>
      </c>
      <c r="K780" s="145" t="s">
        <v>730</v>
      </c>
      <c r="L780" s="142" t="s">
        <v>191</v>
      </c>
      <c r="M780" s="11" t="str">
        <f>VLOOKUP(N780,'Mã NV'!$A$3:$B$196,2,0)</f>
        <v>BU31</v>
      </c>
      <c r="N780" s="297" t="s">
        <v>3618</v>
      </c>
      <c r="O780" s="381">
        <v>44197</v>
      </c>
      <c r="P780" s="371"/>
      <c r="Q780" s="145"/>
      <c r="R780" s="150"/>
    </row>
    <row r="781" spans="1:18" ht="35.25" hidden="1" customHeight="1">
      <c r="A781" s="15">
        <f t="shared" si="11"/>
        <v>771</v>
      </c>
      <c r="B781" s="144" t="s">
        <v>1307</v>
      </c>
      <c r="C781" s="150" t="s">
        <v>1308</v>
      </c>
      <c r="D781" s="156"/>
      <c r="E781" s="156"/>
      <c r="F781" s="156"/>
      <c r="G781" s="154"/>
      <c r="H781" s="141"/>
      <c r="I781" s="144" t="s">
        <v>566</v>
      </c>
      <c r="J781" s="153">
        <v>1</v>
      </c>
      <c r="K781" s="145" t="s">
        <v>730</v>
      </c>
      <c r="L781" s="142" t="s">
        <v>191</v>
      </c>
      <c r="M781" s="11" t="str">
        <f>VLOOKUP(N781,'Mã NV'!$A$3:$B$196,2,0)</f>
        <v>BU31</v>
      </c>
      <c r="N781" s="297" t="s">
        <v>3618</v>
      </c>
      <c r="O781" s="381">
        <v>44197</v>
      </c>
      <c r="P781" s="371"/>
      <c r="Q781" s="145"/>
      <c r="R781" s="150"/>
    </row>
    <row r="782" spans="1:18" ht="35.25" hidden="1" customHeight="1">
      <c r="A782" s="15">
        <f t="shared" si="11"/>
        <v>772</v>
      </c>
      <c r="B782" s="144" t="s">
        <v>1309</v>
      </c>
      <c r="C782" s="150" t="s">
        <v>1289</v>
      </c>
      <c r="D782" s="156"/>
      <c r="E782" s="156"/>
      <c r="F782" s="156"/>
      <c r="G782" s="154"/>
      <c r="H782" s="141"/>
      <c r="I782" s="144" t="s">
        <v>566</v>
      </c>
      <c r="J782" s="153">
        <v>1</v>
      </c>
      <c r="K782" s="145" t="s">
        <v>730</v>
      </c>
      <c r="L782" s="142" t="s">
        <v>191</v>
      </c>
      <c r="M782" s="11" t="str">
        <f>VLOOKUP(N782,'Mã NV'!$A$3:$B$196,2,0)</f>
        <v>BU31</v>
      </c>
      <c r="N782" s="297" t="s">
        <v>3618</v>
      </c>
      <c r="O782" s="380">
        <f>VLOOKUP(B782,'Tổng hợp (3)'!$C$4:$E$985,3,0)</f>
        <v>44774</v>
      </c>
      <c r="P782" s="378"/>
      <c r="Q782" s="145"/>
      <c r="R782" s="150"/>
    </row>
    <row r="783" spans="1:18" ht="35.25" hidden="1" customHeight="1">
      <c r="A783" s="15">
        <f t="shared" si="11"/>
        <v>773</v>
      </c>
      <c r="B783" s="144" t="s">
        <v>1310</v>
      </c>
      <c r="C783" s="150" t="s">
        <v>641</v>
      </c>
      <c r="D783" s="156"/>
      <c r="E783" s="156"/>
      <c r="F783" s="156"/>
      <c r="G783" s="154" t="s">
        <v>2386</v>
      </c>
      <c r="H783" s="141"/>
      <c r="I783" s="144" t="s">
        <v>2502</v>
      </c>
      <c r="J783" s="153">
        <v>1</v>
      </c>
      <c r="K783" s="145" t="s">
        <v>730</v>
      </c>
      <c r="L783" s="142" t="s">
        <v>191</v>
      </c>
      <c r="M783" s="11" t="str">
        <f>VLOOKUP(N783,'Mã NV'!$A$3:$B$196,2,0)</f>
        <v>BU25</v>
      </c>
      <c r="N783" s="297" t="s">
        <v>2551</v>
      </c>
      <c r="O783" s="381">
        <v>44197</v>
      </c>
      <c r="P783" s="371"/>
      <c r="Q783" s="145"/>
      <c r="R783" s="150"/>
    </row>
    <row r="784" spans="1:18" ht="35.25" hidden="1" customHeight="1">
      <c r="A784" s="15">
        <f t="shared" si="11"/>
        <v>774</v>
      </c>
      <c r="B784" s="144" t="s">
        <v>1311</v>
      </c>
      <c r="C784" s="150" t="s">
        <v>1306</v>
      </c>
      <c r="D784" s="156"/>
      <c r="E784" s="156"/>
      <c r="F784" s="156"/>
      <c r="G784" s="149" t="s">
        <v>438</v>
      </c>
      <c r="H784" s="141"/>
      <c r="I784" s="144" t="s">
        <v>2502</v>
      </c>
      <c r="J784" s="153">
        <v>1</v>
      </c>
      <c r="K784" s="145" t="s">
        <v>730</v>
      </c>
      <c r="L784" s="142" t="s">
        <v>191</v>
      </c>
      <c r="M784" s="11" t="str">
        <f>VLOOKUP(N784,'Mã NV'!$A$3:$B$196,2,0)</f>
        <v>BU25</v>
      </c>
      <c r="N784" s="297" t="s">
        <v>2551</v>
      </c>
      <c r="O784" s="381">
        <v>44197</v>
      </c>
      <c r="P784" s="371"/>
      <c r="Q784" s="145"/>
      <c r="R784" s="150"/>
    </row>
    <row r="785" spans="1:18" ht="35.25" hidden="1" customHeight="1">
      <c r="A785" s="15">
        <f t="shared" si="11"/>
        <v>775</v>
      </c>
      <c r="B785" s="144" t="s">
        <v>1312</v>
      </c>
      <c r="C785" s="150" t="s">
        <v>1308</v>
      </c>
      <c r="D785" s="156"/>
      <c r="E785" s="156"/>
      <c r="F785" s="156"/>
      <c r="G785" s="154"/>
      <c r="H785" s="141"/>
      <c r="I785" s="144" t="s">
        <v>2502</v>
      </c>
      <c r="J785" s="153">
        <v>1</v>
      </c>
      <c r="K785" s="145" t="s">
        <v>730</v>
      </c>
      <c r="L785" s="142" t="s">
        <v>191</v>
      </c>
      <c r="M785" s="11" t="str">
        <f>VLOOKUP(N785,'Mã NV'!$A$3:$B$196,2,0)</f>
        <v>BU25</v>
      </c>
      <c r="N785" s="297" t="s">
        <v>2551</v>
      </c>
      <c r="O785" s="381">
        <v>44197</v>
      </c>
      <c r="P785" s="371"/>
      <c r="Q785" s="145"/>
      <c r="R785" s="150"/>
    </row>
    <row r="786" spans="1:18" ht="35.25" hidden="1" customHeight="1">
      <c r="A786" s="15">
        <f t="shared" ref="A786:A849" si="12">A785+1</f>
        <v>776</v>
      </c>
      <c r="B786" s="144" t="s">
        <v>1313</v>
      </c>
      <c r="C786" s="150" t="s">
        <v>1289</v>
      </c>
      <c r="D786" s="156"/>
      <c r="E786" s="156"/>
      <c r="F786" s="156"/>
      <c r="G786" s="154"/>
      <c r="H786" s="141"/>
      <c r="I786" s="144" t="s">
        <v>2502</v>
      </c>
      <c r="J786" s="153">
        <v>1</v>
      </c>
      <c r="K786" s="145" t="s">
        <v>730</v>
      </c>
      <c r="L786" s="142" t="s">
        <v>191</v>
      </c>
      <c r="M786" s="11" t="str">
        <f>VLOOKUP(N786,'Mã NV'!$A$3:$B$196,2,0)</f>
        <v>BU25</v>
      </c>
      <c r="N786" s="297" t="s">
        <v>2551</v>
      </c>
      <c r="O786" s="381">
        <v>44197</v>
      </c>
      <c r="P786" s="371"/>
      <c r="Q786" s="145"/>
      <c r="R786" s="150"/>
    </row>
    <row r="787" spans="1:18" ht="35.25" hidden="1" customHeight="1">
      <c r="A787" s="15">
        <f t="shared" si="12"/>
        <v>777</v>
      </c>
      <c r="B787" s="144" t="s">
        <v>1314</v>
      </c>
      <c r="C787" s="150" t="s">
        <v>620</v>
      </c>
      <c r="D787" s="156"/>
      <c r="E787" s="156"/>
      <c r="F787" s="156"/>
      <c r="G787" s="154" t="s">
        <v>2387</v>
      </c>
      <c r="H787" s="141"/>
      <c r="I787" s="144" t="s">
        <v>2502</v>
      </c>
      <c r="J787" s="153">
        <v>1</v>
      </c>
      <c r="K787" s="145" t="s">
        <v>730</v>
      </c>
      <c r="L787" s="142" t="s">
        <v>191</v>
      </c>
      <c r="M787" s="11" t="str">
        <f>VLOOKUP(N787,'Mã NV'!$A$3:$B$196,2,0)</f>
        <v>BU25</v>
      </c>
      <c r="N787" s="297" t="s">
        <v>2551</v>
      </c>
      <c r="O787" s="381">
        <v>44197</v>
      </c>
      <c r="P787" s="371"/>
      <c r="Q787" s="145"/>
      <c r="R787" s="150"/>
    </row>
    <row r="788" spans="1:18" ht="35.25" hidden="1" customHeight="1">
      <c r="A788" s="15">
        <f t="shared" si="12"/>
        <v>778</v>
      </c>
      <c r="B788" s="144" t="s">
        <v>1315</v>
      </c>
      <c r="C788" s="150" t="s">
        <v>120</v>
      </c>
      <c r="D788" s="156"/>
      <c r="E788" s="156"/>
      <c r="F788" s="156"/>
      <c r="G788" s="154" t="s">
        <v>2388</v>
      </c>
      <c r="H788" s="141"/>
      <c r="I788" s="144" t="s">
        <v>2502</v>
      </c>
      <c r="J788" s="153">
        <v>1</v>
      </c>
      <c r="K788" s="145" t="s">
        <v>730</v>
      </c>
      <c r="L788" s="142" t="s">
        <v>191</v>
      </c>
      <c r="M788" s="11" t="str">
        <f>VLOOKUP(N788,'Mã NV'!$A$3:$B$196,2,0)</f>
        <v>BU25</v>
      </c>
      <c r="N788" s="297" t="s">
        <v>2551</v>
      </c>
      <c r="O788" s="381">
        <v>44197</v>
      </c>
      <c r="P788" s="371"/>
      <c r="Q788" s="145"/>
      <c r="R788" s="150"/>
    </row>
    <row r="789" spans="1:18" ht="35.25" hidden="1" customHeight="1">
      <c r="A789" s="15">
        <f t="shared" si="12"/>
        <v>779</v>
      </c>
      <c r="B789" s="144" t="s">
        <v>1316</v>
      </c>
      <c r="C789" s="150" t="s">
        <v>620</v>
      </c>
      <c r="D789" s="156"/>
      <c r="E789" s="156"/>
      <c r="F789" s="156"/>
      <c r="G789" s="144" t="s">
        <v>2389</v>
      </c>
      <c r="H789" s="141"/>
      <c r="I789" s="144" t="s">
        <v>2497</v>
      </c>
      <c r="J789" s="153">
        <v>1</v>
      </c>
      <c r="K789" s="145" t="s">
        <v>730</v>
      </c>
      <c r="L789" s="142" t="s">
        <v>191</v>
      </c>
      <c r="M789" s="11" t="str">
        <f>VLOOKUP(N789,'Mã NV'!$A$3:$B$196,2,0)</f>
        <v>BU11</v>
      </c>
      <c r="N789" s="297" t="s">
        <v>2552</v>
      </c>
      <c r="O789" s="381">
        <v>44197</v>
      </c>
      <c r="P789" s="371"/>
      <c r="Q789" s="145"/>
      <c r="R789" s="150"/>
    </row>
    <row r="790" spans="1:18" ht="35.25" hidden="1" customHeight="1">
      <c r="A790" s="15">
        <f t="shared" si="12"/>
        <v>780</v>
      </c>
      <c r="B790" s="144" t="s">
        <v>1317</v>
      </c>
      <c r="C790" s="150" t="s">
        <v>1318</v>
      </c>
      <c r="D790" s="156"/>
      <c r="E790" s="156"/>
      <c r="F790" s="156"/>
      <c r="G790" s="144"/>
      <c r="H790" s="141"/>
      <c r="I790" s="144" t="s">
        <v>2502</v>
      </c>
      <c r="J790" s="153">
        <v>1</v>
      </c>
      <c r="K790" s="145" t="s">
        <v>730</v>
      </c>
      <c r="L790" s="142" t="s">
        <v>191</v>
      </c>
      <c r="M790" s="11" t="str">
        <f>VLOOKUP(N790,'Mã NV'!$A$3:$B$196,2,0)</f>
        <v>BU11</v>
      </c>
      <c r="N790" s="297" t="s">
        <v>2552</v>
      </c>
      <c r="O790" s="381">
        <v>44197</v>
      </c>
      <c r="P790" s="371"/>
      <c r="Q790" s="145"/>
      <c r="R790" s="150"/>
    </row>
    <row r="791" spans="1:18" ht="35.25" hidden="1" customHeight="1">
      <c r="A791" s="15">
        <f t="shared" si="12"/>
        <v>781</v>
      </c>
      <c r="B791" s="144" t="s">
        <v>1319</v>
      </c>
      <c r="C791" s="150" t="s">
        <v>894</v>
      </c>
      <c r="D791" s="156"/>
      <c r="E791" s="156"/>
      <c r="F791" s="156"/>
      <c r="G791" s="159" t="s">
        <v>2390</v>
      </c>
      <c r="H791" s="141"/>
      <c r="I791" s="144" t="s">
        <v>2502</v>
      </c>
      <c r="J791" s="153">
        <v>1</v>
      </c>
      <c r="K791" s="145" t="s">
        <v>730</v>
      </c>
      <c r="L791" s="142" t="s">
        <v>191</v>
      </c>
      <c r="M791" s="11" t="str">
        <f>VLOOKUP(N791,'Mã NV'!$A$3:$B$196,2,0)</f>
        <v>BU11</v>
      </c>
      <c r="N791" s="297" t="s">
        <v>2552</v>
      </c>
      <c r="O791" s="381">
        <v>44197</v>
      </c>
      <c r="P791" s="371"/>
      <c r="Q791" s="145"/>
      <c r="R791" s="150"/>
    </row>
    <row r="792" spans="1:18" ht="35.25" hidden="1" customHeight="1">
      <c r="A792" s="15">
        <f t="shared" si="12"/>
        <v>782</v>
      </c>
      <c r="B792" s="144" t="s">
        <v>1320</v>
      </c>
      <c r="C792" s="150" t="s">
        <v>1306</v>
      </c>
      <c r="D792" s="156"/>
      <c r="E792" s="156"/>
      <c r="F792" s="156"/>
      <c r="G792" s="149" t="s">
        <v>438</v>
      </c>
      <c r="H792" s="141"/>
      <c r="I792" s="144" t="s">
        <v>2502</v>
      </c>
      <c r="J792" s="153">
        <v>1</v>
      </c>
      <c r="K792" s="145" t="s">
        <v>730</v>
      </c>
      <c r="L792" s="142" t="s">
        <v>191</v>
      </c>
      <c r="M792" s="11" t="str">
        <f>VLOOKUP(N792,'Mã NV'!$A$3:$B$196,2,0)</f>
        <v>BU11</v>
      </c>
      <c r="N792" s="297" t="s">
        <v>2552</v>
      </c>
      <c r="O792" s="381">
        <v>44197</v>
      </c>
      <c r="P792" s="371"/>
      <c r="Q792" s="145"/>
      <c r="R792" s="150"/>
    </row>
    <row r="793" spans="1:18" ht="35.25" hidden="1" customHeight="1">
      <c r="A793" s="15">
        <f t="shared" si="12"/>
        <v>783</v>
      </c>
      <c r="B793" s="144" t="s">
        <v>1321</v>
      </c>
      <c r="C793" s="150" t="s">
        <v>1308</v>
      </c>
      <c r="D793" s="156"/>
      <c r="E793" s="156"/>
      <c r="F793" s="156"/>
      <c r="G793" s="154"/>
      <c r="H793" s="141"/>
      <c r="I793" s="144" t="s">
        <v>2502</v>
      </c>
      <c r="J793" s="153">
        <v>1</v>
      </c>
      <c r="K793" s="145" t="s">
        <v>730</v>
      </c>
      <c r="L793" s="142" t="s">
        <v>191</v>
      </c>
      <c r="M793" s="11" t="str">
        <f>VLOOKUP(N793,'Mã NV'!$A$3:$B$196,2,0)</f>
        <v>BU11</v>
      </c>
      <c r="N793" s="297" t="s">
        <v>2552</v>
      </c>
      <c r="O793" s="381">
        <v>44197</v>
      </c>
      <c r="P793" s="371"/>
      <c r="Q793" s="145"/>
      <c r="R793" s="150"/>
    </row>
    <row r="794" spans="1:18" ht="35.25" hidden="1" customHeight="1">
      <c r="A794" s="15">
        <f t="shared" si="12"/>
        <v>784</v>
      </c>
      <c r="B794" s="144" t="s">
        <v>1322</v>
      </c>
      <c r="C794" s="150" t="s">
        <v>1289</v>
      </c>
      <c r="D794" s="156"/>
      <c r="E794" s="156"/>
      <c r="F794" s="156"/>
      <c r="G794" s="154"/>
      <c r="H794" s="141"/>
      <c r="I794" s="144" t="s">
        <v>2502</v>
      </c>
      <c r="J794" s="153">
        <v>1</v>
      </c>
      <c r="K794" s="145" t="s">
        <v>730</v>
      </c>
      <c r="L794" s="142" t="s">
        <v>191</v>
      </c>
      <c r="M794" s="11" t="str">
        <f>VLOOKUP(N794,'Mã NV'!$A$3:$B$196,2,0)</f>
        <v>BU11</v>
      </c>
      <c r="N794" s="297" t="s">
        <v>2552</v>
      </c>
      <c r="O794" s="381">
        <v>44197</v>
      </c>
      <c r="P794" s="371"/>
      <c r="Q794" s="145"/>
      <c r="R794" s="150"/>
    </row>
    <row r="795" spans="1:18" ht="35.25" hidden="1" customHeight="1">
      <c r="A795" s="15">
        <f t="shared" si="12"/>
        <v>785</v>
      </c>
      <c r="B795" s="144" t="s">
        <v>1323</v>
      </c>
      <c r="C795" s="150" t="s">
        <v>698</v>
      </c>
      <c r="D795" s="156"/>
      <c r="E795" s="156"/>
      <c r="F795" s="156"/>
      <c r="G795" s="154"/>
      <c r="H795" s="141"/>
      <c r="I795" s="144" t="s">
        <v>2502</v>
      </c>
      <c r="J795" s="153">
        <v>1</v>
      </c>
      <c r="K795" s="145" t="s">
        <v>730</v>
      </c>
      <c r="L795" s="142" t="s">
        <v>191</v>
      </c>
      <c r="M795" s="11" t="str">
        <f>VLOOKUP(N795,'Mã NV'!$A$3:$B$196,2,0)</f>
        <v>BU11</v>
      </c>
      <c r="N795" s="297" t="s">
        <v>2552</v>
      </c>
      <c r="O795" s="381">
        <v>44197</v>
      </c>
      <c r="P795" s="371"/>
      <c r="Q795" s="145"/>
      <c r="R795" s="150"/>
    </row>
    <row r="796" spans="1:18" ht="35.25" hidden="1" customHeight="1">
      <c r="A796" s="15">
        <f t="shared" si="12"/>
        <v>786</v>
      </c>
      <c r="B796" s="144" t="s">
        <v>1324</v>
      </c>
      <c r="C796" s="150" t="s">
        <v>1306</v>
      </c>
      <c r="D796" s="156"/>
      <c r="E796" s="156"/>
      <c r="F796" s="156"/>
      <c r="G796" s="149" t="s">
        <v>438</v>
      </c>
      <c r="H796" s="141"/>
      <c r="I796" s="144" t="s">
        <v>566</v>
      </c>
      <c r="J796" s="153">
        <v>1</v>
      </c>
      <c r="K796" s="145" t="s">
        <v>730</v>
      </c>
      <c r="L796" s="142" t="s">
        <v>191</v>
      </c>
      <c r="M796" s="11" t="str">
        <f>VLOOKUP(N796,'Mã NV'!$A$3:$B$196,2,0)</f>
        <v>BU27</v>
      </c>
      <c r="N796" s="297" t="s">
        <v>2553</v>
      </c>
      <c r="O796" s="381">
        <v>44197</v>
      </c>
      <c r="P796" s="371"/>
      <c r="Q796" s="145"/>
      <c r="R796" s="150"/>
    </row>
    <row r="797" spans="1:18" ht="35.25" hidden="1" customHeight="1">
      <c r="A797" s="15">
        <f t="shared" si="12"/>
        <v>787</v>
      </c>
      <c r="B797" s="144" t="s">
        <v>1325</v>
      </c>
      <c r="C797" s="150" t="s">
        <v>1289</v>
      </c>
      <c r="D797" s="156"/>
      <c r="E797" s="156"/>
      <c r="F797" s="156"/>
      <c r="G797" s="144" t="s">
        <v>2391</v>
      </c>
      <c r="H797" s="141"/>
      <c r="I797" s="144" t="s">
        <v>566</v>
      </c>
      <c r="J797" s="153">
        <v>1</v>
      </c>
      <c r="K797" s="145" t="s">
        <v>730</v>
      </c>
      <c r="L797" s="142" t="s">
        <v>191</v>
      </c>
      <c r="M797" s="11" t="str">
        <f>VLOOKUP(N797,'Mã NV'!$A$3:$B$196,2,0)</f>
        <v>BU27</v>
      </c>
      <c r="N797" s="297" t="s">
        <v>2553</v>
      </c>
      <c r="O797" s="381">
        <v>44197</v>
      </c>
      <c r="P797" s="371"/>
      <c r="Q797" s="145"/>
      <c r="R797" s="143" t="s">
        <v>2503</v>
      </c>
    </row>
    <row r="798" spans="1:18" ht="35.25" hidden="1" customHeight="1">
      <c r="A798" s="15">
        <f t="shared" si="12"/>
        <v>788</v>
      </c>
      <c r="B798" s="144" t="s">
        <v>1326</v>
      </c>
      <c r="C798" s="150" t="s">
        <v>1308</v>
      </c>
      <c r="D798" s="156"/>
      <c r="E798" s="156"/>
      <c r="F798" s="156"/>
      <c r="G798" s="144" t="s">
        <v>2392</v>
      </c>
      <c r="H798" s="141"/>
      <c r="I798" s="144" t="s">
        <v>566</v>
      </c>
      <c r="J798" s="153">
        <v>1</v>
      </c>
      <c r="K798" s="145" t="s">
        <v>730</v>
      </c>
      <c r="L798" s="142" t="s">
        <v>191</v>
      </c>
      <c r="M798" s="11" t="str">
        <f>VLOOKUP(N798,'Mã NV'!$A$3:$B$196,2,0)</f>
        <v>BU27</v>
      </c>
      <c r="N798" s="297" t="s">
        <v>2553</v>
      </c>
      <c r="O798" s="381">
        <v>44197</v>
      </c>
      <c r="P798" s="371"/>
      <c r="Q798" s="145"/>
      <c r="R798" s="150"/>
    </row>
    <row r="799" spans="1:18" ht="35.25" hidden="1" customHeight="1">
      <c r="A799" s="15">
        <f t="shared" si="12"/>
        <v>789</v>
      </c>
      <c r="B799" s="144" t="s">
        <v>1327</v>
      </c>
      <c r="C799" s="150" t="s">
        <v>1291</v>
      </c>
      <c r="D799" s="156"/>
      <c r="E799" s="156"/>
      <c r="F799" s="156"/>
      <c r="G799" s="144"/>
      <c r="H799" s="141"/>
      <c r="I799" s="144" t="s">
        <v>566</v>
      </c>
      <c r="J799" s="153">
        <v>1</v>
      </c>
      <c r="K799" s="145" t="s">
        <v>730</v>
      </c>
      <c r="L799" s="142" t="s">
        <v>191</v>
      </c>
      <c r="M799" s="11" t="str">
        <f>VLOOKUP(N799,'Mã NV'!$A$3:$B$196,2,0)</f>
        <v>BU27</v>
      </c>
      <c r="N799" s="297" t="s">
        <v>2553</v>
      </c>
      <c r="O799" s="380">
        <f>VLOOKUP(B799,'Tổng hợp (3)'!$C$4:$E$985,3,0)</f>
        <v>44782</v>
      </c>
      <c r="P799" s="378"/>
      <c r="Q799" s="145"/>
      <c r="R799" s="150"/>
    </row>
    <row r="800" spans="1:18" ht="35.25" hidden="1" customHeight="1">
      <c r="A800" s="15">
        <f t="shared" si="12"/>
        <v>790</v>
      </c>
      <c r="B800" s="144" t="s">
        <v>1328</v>
      </c>
      <c r="C800" s="150" t="s">
        <v>620</v>
      </c>
      <c r="D800" s="156"/>
      <c r="E800" s="156"/>
      <c r="F800" s="156"/>
      <c r="G800" s="144" t="s">
        <v>634</v>
      </c>
      <c r="H800" s="141"/>
      <c r="I800" s="144" t="s">
        <v>566</v>
      </c>
      <c r="J800" s="153">
        <v>1</v>
      </c>
      <c r="K800" s="145" t="s">
        <v>730</v>
      </c>
      <c r="L800" s="142" t="s">
        <v>191</v>
      </c>
      <c r="M800" s="11" t="str">
        <f>VLOOKUP(N800,'Mã NV'!$A$3:$B$196,2,0)</f>
        <v>BU28</v>
      </c>
      <c r="N800" s="297" t="s">
        <v>2554</v>
      </c>
      <c r="O800" s="380">
        <f>VLOOKUP(B800,'Tổng hợp (3)'!$C$4:$E$985,3,0)</f>
        <v>44552</v>
      </c>
      <c r="P800" s="378"/>
      <c r="Q800" s="145"/>
      <c r="R800" s="150"/>
    </row>
    <row r="801" spans="1:18" ht="35.25" hidden="1" customHeight="1">
      <c r="A801" s="15">
        <f t="shared" si="12"/>
        <v>791</v>
      </c>
      <c r="B801" s="144" t="s">
        <v>1329</v>
      </c>
      <c r="C801" s="150" t="s">
        <v>1302</v>
      </c>
      <c r="D801" s="156"/>
      <c r="E801" s="156"/>
      <c r="F801" s="156"/>
      <c r="G801" s="144" t="s">
        <v>2393</v>
      </c>
      <c r="H801" s="141"/>
      <c r="I801" s="144" t="s">
        <v>566</v>
      </c>
      <c r="J801" s="153">
        <v>1</v>
      </c>
      <c r="K801" s="145" t="s">
        <v>730</v>
      </c>
      <c r="L801" s="142" t="s">
        <v>191</v>
      </c>
      <c r="M801" s="11" t="str">
        <f>VLOOKUP(N801,'Mã NV'!$A$3:$B$196,2,0)</f>
        <v>BU28</v>
      </c>
      <c r="N801" s="297" t="s">
        <v>2554</v>
      </c>
      <c r="O801" s="381">
        <v>44197</v>
      </c>
      <c r="P801" s="371"/>
      <c r="Q801" s="145"/>
      <c r="R801" s="150"/>
    </row>
    <row r="802" spans="1:18" ht="35.25" hidden="1" customHeight="1">
      <c r="A802" s="15">
        <f t="shared" si="12"/>
        <v>792</v>
      </c>
      <c r="B802" s="144" t="s">
        <v>1330</v>
      </c>
      <c r="C802" s="150" t="s">
        <v>1331</v>
      </c>
      <c r="D802" s="156"/>
      <c r="E802" s="156"/>
      <c r="F802" s="156"/>
      <c r="G802" s="144" t="s">
        <v>2371</v>
      </c>
      <c r="H802" s="141"/>
      <c r="I802" s="144" t="s">
        <v>566</v>
      </c>
      <c r="J802" s="153">
        <v>1</v>
      </c>
      <c r="K802" s="145" t="s">
        <v>730</v>
      </c>
      <c r="L802" s="142" t="s">
        <v>191</v>
      </c>
      <c r="M802" s="11" t="str">
        <f>VLOOKUP(N802,'Mã NV'!$A$3:$B$196,2,0)</f>
        <v>BU28</v>
      </c>
      <c r="N802" s="297" t="s">
        <v>2554</v>
      </c>
      <c r="O802" s="381">
        <v>44197</v>
      </c>
      <c r="P802" s="371"/>
      <c r="Q802" s="145"/>
      <c r="R802" s="150"/>
    </row>
    <row r="803" spans="1:18" ht="35.25" hidden="1" customHeight="1">
      <c r="A803" s="15">
        <f t="shared" si="12"/>
        <v>793</v>
      </c>
      <c r="B803" s="144" t="s">
        <v>1332</v>
      </c>
      <c r="C803" s="150" t="s">
        <v>641</v>
      </c>
      <c r="D803" s="156"/>
      <c r="E803" s="156"/>
      <c r="F803" s="156"/>
      <c r="G803" s="154" t="s">
        <v>2394</v>
      </c>
      <c r="H803" s="141"/>
      <c r="I803" s="144" t="s">
        <v>566</v>
      </c>
      <c r="J803" s="153">
        <v>1</v>
      </c>
      <c r="K803" s="145" t="s">
        <v>730</v>
      </c>
      <c r="L803" s="142" t="s">
        <v>191</v>
      </c>
      <c r="M803" s="11" t="str">
        <f>VLOOKUP(N803,'Mã NV'!$A$3:$B$196,2,0)</f>
        <v>BU28</v>
      </c>
      <c r="N803" s="297" t="s">
        <v>2554</v>
      </c>
      <c r="O803" s="381">
        <v>44197</v>
      </c>
      <c r="P803" s="371"/>
      <c r="Q803" s="145"/>
      <c r="R803" s="150"/>
    </row>
    <row r="804" spans="1:18" ht="35.25" hidden="1" customHeight="1">
      <c r="A804" s="15">
        <f t="shared" si="12"/>
        <v>794</v>
      </c>
      <c r="B804" s="144" t="s">
        <v>1333</v>
      </c>
      <c r="C804" s="150" t="s">
        <v>1306</v>
      </c>
      <c r="D804" s="156"/>
      <c r="E804" s="156"/>
      <c r="F804" s="156"/>
      <c r="G804" s="149" t="s">
        <v>438</v>
      </c>
      <c r="H804" s="141"/>
      <c r="I804" s="144" t="s">
        <v>2502</v>
      </c>
      <c r="J804" s="153">
        <v>1</v>
      </c>
      <c r="K804" s="145" t="s">
        <v>730</v>
      </c>
      <c r="L804" s="142" t="s">
        <v>191</v>
      </c>
      <c r="M804" s="11" t="str">
        <f>VLOOKUP(N804,'Mã NV'!$A$3:$B$196,2,0)</f>
        <v>BU28</v>
      </c>
      <c r="N804" s="297" t="s">
        <v>2554</v>
      </c>
      <c r="O804" s="381">
        <v>44197</v>
      </c>
      <c r="P804" s="371"/>
      <c r="Q804" s="145"/>
      <c r="R804" s="150"/>
    </row>
    <row r="805" spans="1:18" ht="35.25" hidden="1" customHeight="1">
      <c r="A805" s="15">
        <f t="shared" si="12"/>
        <v>795</v>
      </c>
      <c r="B805" s="144" t="s">
        <v>1334</v>
      </c>
      <c r="C805" s="150" t="s">
        <v>1308</v>
      </c>
      <c r="D805" s="156"/>
      <c r="E805" s="156"/>
      <c r="F805" s="156"/>
      <c r="G805" s="154"/>
      <c r="H805" s="141"/>
      <c r="I805" s="144" t="s">
        <v>2502</v>
      </c>
      <c r="J805" s="153">
        <v>1</v>
      </c>
      <c r="K805" s="145" t="s">
        <v>730</v>
      </c>
      <c r="L805" s="142" t="s">
        <v>191</v>
      </c>
      <c r="M805" s="11" t="str">
        <f>VLOOKUP(N805,'Mã NV'!$A$3:$B$196,2,0)</f>
        <v>BU28</v>
      </c>
      <c r="N805" s="297" t="s">
        <v>2554</v>
      </c>
      <c r="O805" s="381">
        <v>44197</v>
      </c>
      <c r="P805" s="371"/>
      <c r="Q805" s="145"/>
      <c r="R805" s="150"/>
    </row>
    <row r="806" spans="1:18" ht="35.25" hidden="1" customHeight="1">
      <c r="A806" s="15">
        <f t="shared" si="12"/>
        <v>796</v>
      </c>
      <c r="B806" s="144" t="s">
        <v>1335</v>
      </c>
      <c r="C806" s="150" t="s">
        <v>1289</v>
      </c>
      <c r="D806" s="156"/>
      <c r="E806" s="156"/>
      <c r="F806" s="156"/>
      <c r="G806" s="154"/>
      <c r="H806" s="141"/>
      <c r="I806" s="144" t="s">
        <v>2502</v>
      </c>
      <c r="J806" s="153">
        <v>1</v>
      </c>
      <c r="K806" s="145" t="s">
        <v>730</v>
      </c>
      <c r="L806" s="142" t="s">
        <v>191</v>
      </c>
      <c r="M806" s="11" t="str">
        <f>VLOOKUP(N806,'Mã NV'!$A$3:$B$196,2,0)</f>
        <v>BU28</v>
      </c>
      <c r="N806" s="297" t="s">
        <v>2554</v>
      </c>
      <c r="O806" s="381">
        <v>44197</v>
      </c>
      <c r="P806" s="371"/>
      <c r="Q806" s="145"/>
      <c r="R806" s="150"/>
    </row>
    <row r="807" spans="1:18" ht="35.25" hidden="1" customHeight="1">
      <c r="A807" s="15">
        <f t="shared" si="12"/>
        <v>797</v>
      </c>
      <c r="B807" s="144" t="s">
        <v>1336</v>
      </c>
      <c r="C807" s="150" t="s">
        <v>1337</v>
      </c>
      <c r="D807" s="156"/>
      <c r="E807" s="156"/>
      <c r="F807" s="156"/>
      <c r="G807" s="150" t="s">
        <v>2395</v>
      </c>
      <c r="H807" s="141"/>
      <c r="I807" s="144" t="s">
        <v>181</v>
      </c>
      <c r="J807" s="153">
        <v>1</v>
      </c>
      <c r="K807" s="145" t="s">
        <v>730</v>
      </c>
      <c r="L807" s="142" t="s">
        <v>191</v>
      </c>
      <c r="M807" s="11" t="str">
        <f>VLOOKUP(N807,'Mã NV'!$A$3:$B$196,2,0)</f>
        <v>BU33</v>
      </c>
      <c r="N807" s="297" t="s">
        <v>2555</v>
      </c>
      <c r="O807" s="381">
        <v>44197</v>
      </c>
      <c r="P807" s="371"/>
      <c r="Q807" s="145"/>
      <c r="R807" s="150" t="s">
        <v>2664</v>
      </c>
    </row>
    <row r="808" spans="1:18" ht="35.25" hidden="1" customHeight="1">
      <c r="A808" s="15">
        <f t="shared" si="12"/>
        <v>798</v>
      </c>
      <c r="B808" s="144" t="s">
        <v>1338</v>
      </c>
      <c r="C808" s="150" t="s">
        <v>1339</v>
      </c>
      <c r="D808" s="156"/>
      <c r="E808" s="156"/>
      <c r="F808" s="156"/>
      <c r="G808" s="150"/>
      <c r="H808" s="141"/>
      <c r="I808" s="144" t="s">
        <v>18</v>
      </c>
      <c r="J808" s="153">
        <v>1</v>
      </c>
      <c r="K808" s="145" t="s">
        <v>730</v>
      </c>
      <c r="L808" s="142" t="s">
        <v>191</v>
      </c>
      <c r="M808" s="11" t="str">
        <f>VLOOKUP(N808,'Mã NV'!$A$3:$B$196,2,0)</f>
        <v>BU33</v>
      </c>
      <c r="N808" s="297" t="s">
        <v>2555</v>
      </c>
      <c r="O808" s="381">
        <v>44197</v>
      </c>
      <c r="P808" s="371"/>
      <c r="Q808" s="145"/>
      <c r="R808" s="150"/>
    </row>
    <row r="809" spans="1:18" ht="35.25" hidden="1" customHeight="1">
      <c r="A809" s="15">
        <f t="shared" si="12"/>
        <v>799</v>
      </c>
      <c r="B809" s="144" t="s">
        <v>1340</v>
      </c>
      <c r="C809" s="150" t="s">
        <v>1306</v>
      </c>
      <c r="D809" s="19"/>
      <c r="E809" s="19"/>
      <c r="F809" s="19"/>
      <c r="G809" s="149" t="s">
        <v>438</v>
      </c>
      <c r="H809" s="141"/>
      <c r="I809" s="144" t="s">
        <v>18</v>
      </c>
      <c r="J809" s="153">
        <v>1</v>
      </c>
      <c r="K809" s="145" t="s">
        <v>730</v>
      </c>
      <c r="L809" s="142" t="s">
        <v>191</v>
      </c>
      <c r="M809" s="11" t="str">
        <f>VLOOKUP(N809,'Mã NV'!$A$3:$B$196,2,0)</f>
        <v>BU33</v>
      </c>
      <c r="N809" s="297" t="s">
        <v>2555</v>
      </c>
      <c r="O809" s="381">
        <v>44197</v>
      </c>
      <c r="P809" s="371"/>
      <c r="Q809" s="43"/>
      <c r="R809" s="150"/>
    </row>
    <row r="810" spans="1:18" ht="35.25" hidden="1" customHeight="1">
      <c r="A810" s="15">
        <f t="shared" si="12"/>
        <v>800</v>
      </c>
      <c r="B810" s="144" t="s">
        <v>1341</v>
      </c>
      <c r="C810" s="150" t="s">
        <v>1308</v>
      </c>
      <c r="D810" s="156"/>
      <c r="E810" s="156"/>
      <c r="F810" s="156"/>
      <c r="G810" s="144" t="s">
        <v>2396</v>
      </c>
      <c r="H810" s="141"/>
      <c r="I810" s="144" t="s">
        <v>18</v>
      </c>
      <c r="J810" s="153">
        <v>1</v>
      </c>
      <c r="K810" s="145" t="s">
        <v>730</v>
      </c>
      <c r="L810" s="142" t="s">
        <v>191</v>
      </c>
      <c r="M810" s="11" t="str">
        <f>VLOOKUP(N810,'Mã NV'!$A$3:$B$196,2,0)</f>
        <v>BU33</v>
      </c>
      <c r="N810" s="297" t="s">
        <v>2555</v>
      </c>
      <c r="O810" s="381">
        <v>44197</v>
      </c>
      <c r="P810" s="371"/>
      <c r="Q810" s="156"/>
      <c r="R810" s="150"/>
    </row>
    <row r="811" spans="1:18" ht="35.25" hidden="1" customHeight="1">
      <c r="A811" s="15">
        <f t="shared" si="12"/>
        <v>801</v>
      </c>
      <c r="B811" s="144" t="s">
        <v>1342</v>
      </c>
      <c r="C811" s="150" t="s">
        <v>1289</v>
      </c>
      <c r="D811" s="156"/>
      <c r="E811" s="156"/>
      <c r="F811" s="156"/>
      <c r="G811" s="154" t="s">
        <v>2397</v>
      </c>
      <c r="H811" s="141"/>
      <c r="I811" s="144" t="s">
        <v>18</v>
      </c>
      <c r="J811" s="153">
        <v>1</v>
      </c>
      <c r="K811" s="145" t="s">
        <v>730</v>
      </c>
      <c r="L811" s="142" t="s">
        <v>191</v>
      </c>
      <c r="M811" s="11" t="str">
        <f>VLOOKUP(N811,'Mã NV'!$A$3:$B$196,2,0)</f>
        <v>BU33</v>
      </c>
      <c r="N811" s="297" t="s">
        <v>2555</v>
      </c>
      <c r="O811" s="380">
        <f>VLOOKUP(B811,'Tổng hợp (3)'!$C$4:$E$985,3,0)</f>
        <v>44774</v>
      </c>
      <c r="P811" s="378"/>
      <c r="Q811" s="156"/>
      <c r="R811" s="143" t="s">
        <v>2504</v>
      </c>
    </row>
    <row r="812" spans="1:18" ht="35.25" hidden="1" customHeight="1">
      <c r="A812" s="15">
        <f t="shared" si="12"/>
        <v>802</v>
      </c>
      <c r="B812" s="144" t="s">
        <v>1343</v>
      </c>
      <c r="C812" s="150" t="s">
        <v>620</v>
      </c>
      <c r="D812" s="156"/>
      <c r="E812" s="156"/>
      <c r="F812" s="156"/>
      <c r="G812" s="144" t="s">
        <v>2398</v>
      </c>
      <c r="H812" s="141"/>
      <c r="I812" s="144" t="s">
        <v>18</v>
      </c>
      <c r="J812" s="153">
        <v>1</v>
      </c>
      <c r="K812" s="145" t="s">
        <v>730</v>
      </c>
      <c r="L812" s="142" t="s">
        <v>191</v>
      </c>
      <c r="M812" s="11" t="str">
        <f>VLOOKUP(N812,'Mã NV'!$A$3:$B$196,2,0)</f>
        <v>TE08</v>
      </c>
      <c r="N812" s="297" t="s">
        <v>2556</v>
      </c>
      <c r="O812" s="381">
        <v>44197</v>
      </c>
      <c r="P812" s="371"/>
      <c r="Q812" s="156"/>
      <c r="R812" s="150"/>
    </row>
    <row r="813" spans="1:18" ht="35.25" hidden="1" customHeight="1">
      <c r="A813" s="15">
        <f t="shared" si="12"/>
        <v>803</v>
      </c>
      <c r="B813" s="144" t="s">
        <v>1344</v>
      </c>
      <c r="C813" s="150" t="s">
        <v>1339</v>
      </c>
      <c r="D813" s="156"/>
      <c r="E813" s="156"/>
      <c r="F813" s="156"/>
      <c r="G813" s="144"/>
      <c r="H813" s="141"/>
      <c r="I813" s="144" t="s">
        <v>18</v>
      </c>
      <c r="J813" s="153">
        <v>1</v>
      </c>
      <c r="K813" s="145" t="s">
        <v>730</v>
      </c>
      <c r="L813" s="142" t="s">
        <v>191</v>
      </c>
      <c r="M813" s="11" t="str">
        <f>VLOOKUP(N813,'Mã NV'!$A$3:$B$196,2,0)</f>
        <v>TE08</v>
      </c>
      <c r="N813" s="297" t="s">
        <v>2556</v>
      </c>
      <c r="O813" s="381">
        <v>44197</v>
      </c>
      <c r="P813" s="371"/>
      <c r="Q813" s="156"/>
      <c r="R813" s="150"/>
    </row>
    <row r="814" spans="1:18" ht="35.25" hidden="1" customHeight="1">
      <c r="A814" s="15">
        <f t="shared" si="12"/>
        <v>804</v>
      </c>
      <c r="B814" s="144" t="s">
        <v>1345</v>
      </c>
      <c r="C814" s="150" t="s">
        <v>1306</v>
      </c>
      <c r="D814" s="156"/>
      <c r="E814" s="156"/>
      <c r="F814" s="156"/>
      <c r="G814" s="149" t="s">
        <v>438</v>
      </c>
      <c r="H814" s="141"/>
      <c r="I814" s="144" t="s">
        <v>18</v>
      </c>
      <c r="J814" s="153">
        <v>1</v>
      </c>
      <c r="K814" s="145" t="s">
        <v>730</v>
      </c>
      <c r="L814" s="142" t="s">
        <v>191</v>
      </c>
      <c r="M814" s="11" t="str">
        <f>VLOOKUP(N814,'Mã NV'!$A$3:$B$196,2,0)</f>
        <v>TE08</v>
      </c>
      <c r="N814" s="297" t="s">
        <v>2556</v>
      </c>
      <c r="O814" s="381">
        <v>44197</v>
      </c>
      <c r="P814" s="371"/>
      <c r="Q814" s="156"/>
      <c r="R814" s="150"/>
    </row>
    <row r="815" spans="1:18" ht="35.25" hidden="1" customHeight="1">
      <c r="A815" s="15">
        <f t="shared" si="12"/>
        <v>805</v>
      </c>
      <c r="B815" s="144" t="s">
        <v>1346</v>
      </c>
      <c r="C815" s="150" t="s">
        <v>1308</v>
      </c>
      <c r="D815" s="156"/>
      <c r="E815" s="156"/>
      <c r="F815" s="156"/>
      <c r="G815" s="144"/>
      <c r="H815" s="141"/>
      <c r="I815" s="144" t="s">
        <v>18</v>
      </c>
      <c r="J815" s="153">
        <v>1</v>
      </c>
      <c r="K815" s="145" t="s">
        <v>730</v>
      </c>
      <c r="L815" s="142" t="s">
        <v>191</v>
      </c>
      <c r="M815" s="11" t="str">
        <f>VLOOKUP(N815,'Mã NV'!$A$3:$B$196,2,0)</f>
        <v>TE08</v>
      </c>
      <c r="N815" s="297" t="s">
        <v>2556</v>
      </c>
      <c r="O815" s="381">
        <v>44197</v>
      </c>
      <c r="P815" s="371"/>
      <c r="Q815" s="156"/>
      <c r="R815" s="150"/>
    </row>
    <row r="816" spans="1:18" ht="35.25" hidden="1" customHeight="1">
      <c r="A816" s="15">
        <f t="shared" si="12"/>
        <v>806</v>
      </c>
      <c r="B816" s="144" t="s">
        <v>1347</v>
      </c>
      <c r="C816" s="150" t="s">
        <v>1289</v>
      </c>
      <c r="D816" s="156"/>
      <c r="E816" s="156"/>
      <c r="F816" s="156"/>
      <c r="G816" s="144"/>
      <c r="H816" s="141"/>
      <c r="I816" s="144" t="s">
        <v>18</v>
      </c>
      <c r="J816" s="153">
        <v>1</v>
      </c>
      <c r="K816" s="145" t="s">
        <v>730</v>
      </c>
      <c r="L816" s="142" t="s">
        <v>191</v>
      </c>
      <c r="M816" s="11" t="str">
        <f>VLOOKUP(N816,'Mã NV'!$A$3:$B$196,2,0)</f>
        <v>TE08</v>
      </c>
      <c r="N816" s="297" t="s">
        <v>2556</v>
      </c>
      <c r="O816" s="381">
        <v>44197</v>
      </c>
      <c r="P816" s="371"/>
      <c r="Q816" s="156"/>
      <c r="R816" s="150"/>
    </row>
    <row r="817" spans="1:39" ht="35.25" hidden="1" customHeight="1">
      <c r="A817" s="15">
        <f t="shared" si="12"/>
        <v>807</v>
      </c>
      <c r="B817" s="144" t="s">
        <v>1348</v>
      </c>
      <c r="C817" s="150" t="s">
        <v>620</v>
      </c>
      <c r="D817" s="156"/>
      <c r="E817" s="156"/>
      <c r="F817" s="156"/>
      <c r="G817" s="144" t="s">
        <v>634</v>
      </c>
      <c r="H817" s="141"/>
      <c r="I817" s="144" t="s">
        <v>2500</v>
      </c>
      <c r="J817" s="153">
        <v>1</v>
      </c>
      <c r="K817" s="145" t="s">
        <v>730</v>
      </c>
      <c r="L817" s="142" t="s">
        <v>191</v>
      </c>
      <c r="M817" s="11" t="str">
        <f>VLOOKUP(N817,'Mã NV'!$A$3:$B$196,2,0)</f>
        <v>BU02</v>
      </c>
      <c r="N817" s="297" t="s">
        <v>2557</v>
      </c>
      <c r="O817" s="381">
        <v>44197</v>
      </c>
      <c r="P817" s="371"/>
      <c r="Q817" s="156"/>
      <c r="R817" s="150"/>
    </row>
    <row r="818" spans="1:39" ht="35.25" hidden="1" customHeight="1">
      <c r="A818" s="15">
        <f t="shared" si="12"/>
        <v>808</v>
      </c>
      <c r="B818" s="144" t="s">
        <v>1349</v>
      </c>
      <c r="C818" s="150" t="s">
        <v>1350</v>
      </c>
      <c r="D818" s="156"/>
      <c r="E818" s="156"/>
      <c r="F818" s="156"/>
      <c r="G818" s="144"/>
      <c r="H818" s="141"/>
      <c r="I818" s="144" t="s">
        <v>2500</v>
      </c>
      <c r="J818" s="153">
        <v>1</v>
      </c>
      <c r="K818" s="145" t="s">
        <v>730</v>
      </c>
      <c r="L818" s="142" t="s">
        <v>191</v>
      </c>
      <c r="M818" s="11" t="str">
        <f>VLOOKUP(N818,'Mã NV'!$A$3:$B$196,2,0)</f>
        <v>BU02</v>
      </c>
      <c r="N818" s="297" t="s">
        <v>2557</v>
      </c>
      <c r="O818" s="381">
        <v>44197</v>
      </c>
      <c r="P818" s="371"/>
      <c r="Q818" s="156"/>
      <c r="R818" s="150"/>
    </row>
    <row r="819" spans="1:39" ht="35.25" hidden="1" customHeight="1">
      <c r="A819" s="15">
        <f t="shared" si="12"/>
        <v>809</v>
      </c>
      <c r="B819" s="144" t="s">
        <v>1351</v>
      </c>
      <c r="C819" s="150" t="s">
        <v>1352</v>
      </c>
      <c r="D819" s="156"/>
      <c r="E819" s="156"/>
      <c r="F819" s="156"/>
      <c r="G819" s="199"/>
      <c r="H819" s="141"/>
      <c r="I819" s="144" t="s">
        <v>2500</v>
      </c>
      <c r="J819" s="153">
        <v>1</v>
      </c>
      <c r="K819" s="145" t="s">
        <v>730</v>
      </c>
      <c r="L819" s="142" t="s">
        <v>191</v>
      </c>
      <c r="M819" s="11" t="str">
        <f>VLOOKUP(N819,'Mã NV'!$A$3:$B$196,2,0)</f>
        <v>BU02</v>
      </c>
      <c r="N819" s="297" t="s">
        <v>2557</v>
      </c>
      <c r="O819" s="380">
        <f>VLOOKUP(B819,'Tổng hợp (3)'!$C$4:$E$985,3,0)</f>
        <v>44761</v>
      </c>
      <c r="P819" s="378"/>
      <c r="Q819" s="156"/>
      <c r="R819" s="150"/>
    </row>
    <row r="820" spans="1:39" ht="35.25" hidden="1" customHeight="1">
      <c r="A820" s="15">
        <f t="shared" si="12"/>
        <v>810</v>
      </c>
      <c r="B820" s="144" t="s">
        <v>1353</v>
      </c>
      <c r="C820" s="150" t="s">
        <v>1354</v>
      </c>
      <c r="D820" s="156"/>
      <c r="E820" s="156"/>
      <c r="F820" s="156"/>
      <c r="G820" s="199"/>
      <c r="H820" s="141"/>
      <c r="I820" s="144" t="s">
        <v>2500</v>
      </c>
      <c r="J820" s="153">
        <v>1</v>
      </c>
      <c r="K820" s="145" t="s">
        <v>730</v>
      </c>
      <c r="L820" s="142" t="s">
        <v>191</v>
      </c>
      <c r="M820" s="11" t="str">
        <f>VLOOKUP(N820,'Mã NV'!$A$3:$B$196,2,0)</f>
        <v>BU02</v>
      </c>
      <c r="N820" s="297" t="s">
        <v>2557</v>
      </c>
      <c r="O820" s="381">
        <v>44197</v>
      </c>
      <c r="P820" s="371"/>
      <c r="Q820" s="156"/>
      <c r="R820" s="150"/>
    </row>
    <row r="821" spans="1:39" ht="35.25" hidden="1" customHeight="1">
      <c r="A821" s="15">
        <f t="shared" si="12"/>
        <v>811</v>
      </c>
      <c r="B821" s="144" t="s">
        <v>1355</v>
      </c>
      <c r="C821" s="150" t="s">
        <v>1356</v>
      </c>
      <c r="D821" s="156"/>
      <c r="E821" s="156"/>
      <c r="F821" s="156"/>
      <c r="G821" s="199"/>
      <c r="H821" s="141"/>
      <c r="I821" s="144" t="s">
        <v>2500</v>
      </c>
      <c r="J821" s="153">
        <v>1</v>
      </c>
      <c r="K821" s="145" t="s">
        <v>730</v>
      </c>
      <c r="L821" s="142" t="s">
        <v>191</v>
      </c>
      <c r="M821" s="11" t="str">
        <f>VLOOKUP(N821,'Mã NV'!$A$3:$B$196,2,0)</f>
        <v>BU02</v>
      </c>
      <c r="N821" s="297" t="s">
        <v>2557</v>
      </c>
      <c r="O821" s="381">
        <v>44197</v>
      </c>
      <c r="P821" s="371"/>
      <c r="Q821" s="156"/>
      <c r="R821" s="150"/>
    </row>
    <row r="822" spans="1:39" ht="35.25" hidden="1" customHeight="1">
      <c r="A822" s="15">
        <f t="shared" si="12"/>
        <v>812</v>
      </c>
      <c r="B822" s="144" t="s">
        <v>1357</v>
      </c>
      <c r="C822" s="150" t="s">
        <v>641</v>
      </c>
      <c r="D822" s="156"/>
      <c r="E822" s="156"/>
      <c r="F822" s="156"/>
      <c r="G822" s="159" t="s">
        <v>2399</v>
      </c>
      <c r="H822" s="141"/>
      <c r="I822" s="144" t="s">
        <v>2500</v>
      </c>
      <c r="J822" s="153">
        <v>1</v>
      </c>
      <c r="K822" s="145" t="s">
        <v>730</v>
      </c>
      <c r="L822" s="142" t="s">
        <v>191</v>
      </c>
      <c r="M822" s="11" t="str">
        <f>VLOOKUP(N822,'Mã NV'!$A$3:$B$196,2,0)</f>
        <v>BU02</v>
      </c>
      <c r="N822" s="297" t="s">
        <v>2557</v>
      </c>
      <c r="O822" s="381">
        <v>44197</v>
      </c>
      <c r="P822" s="371"/>
      <c r="Q822" s="156"/>
      <c r="R822" s="150"/>
    </row>
    <row r="823" spans="1:39" ht="35.25" hidden="1" customHeight="1">
      <c r="A823" s="15">
        <f t="shared" si="12"/>
        <v>813</v>
      </c>
      <c r="B823" s="144" t="s">
        <v>1358</v>
      </c>
      <c r="C823" s="150" t="s">
        <v>1306</v>
      </c>
      <c r="D823" s="156"/>
      <c r="E823" s="156"/>
      <c r="F823" s="156"/>
      <c r="G823" s="149" t="s">
        <v>438</v>
      </c>
      <c r="H823" s="141"/>
      <c r="I823" s="144" t="s">
        <v>18</v>
      </c>
      <c r="J823" s="153">
        <v>1</v>
      </c>
      <c r="K823" s="145" t="s">
        <v>730</v>
      </c>
      <c r="L823" s="142" t="s">
        <v>191</v>
      </c>
      <c r="M823" s="11" t="str">
        <f>VLOOKUP(N823,'Mã NV'!$A$3:$B$196,2,0)</f>
        <v>BU02</v>
      </c>
      <c r="N823" s="297" t="s">
        <v>2557</v>
      </c>
      <c r="O823" s="381">
        <v>44197</v>
      </c>
      <c r="P823" s="371"/>
      <c r="Q823" s="156"/>
      <c r="R823" s="150"/>
    </row>
    <row r="824" spans="1:39" ht="35.25" hidden="1" customHeight="1">
      <c r="A824" s="15">
        <f t="shared" si="12"/>
        <v>814</v>
      </c>
      <c r="B824" s="144" t="s">
        <v>1359</v>
      </c>
      <c r="C824" s="150" t="s">
        <v>1308</v>
      </c>
      <c r="D824" s="156"/>
      <c r="E824" s="156"/>
      <c r="F824" s="156"/>
      <c r="G824" s="144"/>
      <c r="H824" s="141"/>
      <c r="I824" s="144" t="s">
        <v>18</v>
      </c>
      <c r="J824" s="153">
        <v>1</v>
      </c>
      <c r="K824" s="145" t="s">
        <v>730</v>
      </c>
      <c r="L824" s="142" t="s">
        <v>191</v>
      </c>
      <c r="M824" s="11" t="str">
        <f>VLOOKUP(N824,'Mã NV'!$A$3:$B$196,2,0)</f>
        <v>BU02</v>
      </c>
      <c r="N824" s="297" t="s">
        <v>2557</v>
      </c>
      <c r="O824" s="381">
        <v>44197</v>
      </c>
      <c r="P824" s="371"/>
      <c r="Q824" s="156"/>
      <c r="R824" s="150"/>
    </row>
    <row r="825" spans="1:39" ht="35.25" hidden="1" customHeight="1">
      <c r="A825" s="15">
        <f t="shared" si="12"/>
        <v>815</v>
      </c>
      <c r="B825" s="144" t="s">
        <v>1360</v>
      </c>
      <c r="C825" s="150" t="s">
        <v>1289</v>
      </c>
      <c r="D825" s="156"/>
      <c r="E825" s="156"/>
      <c r="F825" s="156"/>
      <c r="G825" s="154"/>
      <c r="H825" s="141"/>
      <c r="I825" s="144" t="s">
        <v>18</v>
      </c>
      <c r="J825" s="153">
        <v>1</v>
      </c>
      <c r="K825" s="145" t="s">
        <v>730</v>
      </c>
      <c r="L825" s="142" t="s">
        <v>191</v>
      </c>
      <c r="M825" s="11" t="str">
        <f>VLOOKUP(N825,'Mã NV'!$A$3:$B$196,2,0)</f>
        <v>BU02</v>
      </c>
      <c r="N825" s="297" t="s">
        <v>2557</v>
      </c>
      <c r="O825" s="381">
        <v>44197</v>
      </c>
      <c r="P825" s="371"/>
      <c r="Q825" s="156"/>
      <c r="R825" s="150"/>
    </row>
    <row r="826" spans="1:39" ht="35.25" hidden="1" customHeight="1">
      <c r="A826" s="15">
        <f t="shared" si="12"/>
        <v>816</v>
      </c>
      <c r="B826" s="144" t="s">
        <v>1361</v>
      </c>
      <c r="C826" s="150" t="s">
        <v>30</v>
      </c>
      <c r="D826" s="156"/>
      <c r="E826" s="156"/>
      <c r="F826" s="156"/>
      <c r="G826" s="199"/>
      <c r="H826" s="141"/>
      <c r="I826" s="144" t="s">
        <v>18</v>
      </c>
      <c r="J826" s="153">
        <v>1</v>
      </c>
      <c r="K826" s="145" t="s">
        <v>730</v>
      </c>
      <c r="L826" s="142" t="s">
        <v>2518</v>
      </c>
      <c r="M826" s="11" t="str">
        <f>VLOOKUP(N826,'Mã NV'!$A$3:$B$196,2,0)</f>
        <v>TE26</v>
      </c>
      <c r="N826" s="297" t="s">
        <v>2575</v>
      </c>
      <c r="O826" s="381">
        <v>44197</v>
      </c>
      <c r="P826" s="371"/>
      <c r="Q826" s="156"/>
      <c r="R826" s="149" t="s">
        <v>4266</v>
      </c>
    </row>
    <row r="827" spans="1:39" ht="35.25" hidden="1" customHeight="1">
      <c r="A827" s="15">
        <f t="shared" si="12"/>
        <v>817</v>
      </c>
      <c r="B827" s="144" t="s">
        <v>1362</v>
      </c>
      <c r="C827" s="150" t="s">
        <v>1363</v>
      </c>
      <c r="D827" s="156"/>
      <c r="E827" s="156"/>
      <c r="F827" s="156"/>
      <c r="G827" s="154" t="s">
        <v>2400</v>
      </c>
      <c r="H827" s="141"/>
      <c r="I827" s="144" t="s">
        <v>18</v>
      </c>
      <c r="J827" s="153">
        <v>1</v>
      </c>
      <c r="K827" s="145" t="s">
        <v>730</v>
      </c>
      <c r="L827" s="142" t="s">
        <v>2519</v>
      </c>
      <c r="M827" s="11" t="str">
        <f>VLOOKUP(N827,'Mã NV'!$A$3:$B$196,2,0)</f>
        <v>MK02</v>
      </c>
      <c r="N827" s="297" t="s">
        <v>2558</v>
      </c>
      <c r="O827" s="380">
        <f>VLOOKUP(B827,'Tổng hợp (3)'!$C$4:$E$985,3,0)</f>
        <v>44767</v>
      </c>
      <c r="P827" s="378"/>
      <c r="Q827" s="156"/>
      <c r="R827" s="150"/>
    </row>
    <row r="828" spans="1:39" s="136" customFormat="1" ht="35.25" hidden="1" customHeight="1">
      <c r="A828" s="15">
        <f t="shared" si="12"/>
        <v>818</v>
      </c>
      <c r="B828" s="144" t="s">
        <v>1364</v>
      </c>
      <c r="C828" s="150" t="s">
        <v>1176</v>
      </c>
      <c r="D828" s="176"/>
      <c r="E828" s="176"/>
      <c r="F828" s="176"/>
      <c r="G828" s="154"/>
      <c r="H828" s="141"/>
      <c r="I828" s="144" t="s">
        <v>18</v>
      </c>
      <c r="J828" s="153">
        <v>1</v>
      </c>
      <c r="K828" s="145" t="s">
        <v>730</v>
      </c>
      <c r="L828" s="142" t="s">
        <v>2519</v>
      </c>
      <c r="M828" s="11" t="str">
        <f>VLOOKUP(N828,'Mã NV'!$A$3:$B$196,2,0)</f>
        <v>MK02</v>
      </c>
      <c r="N828" s="297" t="s">
        <v>2558</v>
      </c>
      <c r="O828" s="382" t="s">
        <v>4267</v>
      </c>
      <c r="P828" s="371"/>
      <c r="Q828" s="176"/>
      <c r="R828" s="150"/>
      <c r="S828"/>
      <c r="T828"/>
      <c r="U828"/>
      <c r="V828"/>
      <c r="W828"/>
      <c r="X828"/>
      <c r="Y828"/>
      <c r="Z828"/>
      <c r="AA828"/>
      <c r="AB828"/>
      <c r="AC828"/>
      <c r="AD828"/>
      <c r="AE828"/>
      <c r="AF828"/>
      <c r="AG828"/>
      <c r="AH828"/>
      <c r="AI828"/>
      <c r="AJ828"/>
      <c r="AK828"/>
      <c r="AL828"/>
      <c r="AM828"/>
    </row>
    <row r="829" spans="1:39" ht="35.25" hidden="1" customHeight="1">
      <c r="A829" s="15">
        <f t="shared" si="12"/>
        <v>819</v>
      </c>
      <c r="B829" s="144" t="s">
        <v>1365</v>
      </c>
      <c r="C829" s="150" t="s">
        <v>601</v>
      </c>
      <c r="D829" s="176"/>
      <c r="E829" s="176"/>
      <c r="F829" s="176"/>
      <c r="G829" s="154"/>
      <c r="H829" s="141"/>
      <c r="I829" s="144" t="s">
        <v>18</v>
      </c>
      <c r="J829" s="153">
        <v>1</v>
      </c>
      <c r="K829" s="145" t="s">
        <v>730</v>
      </c>
      <c r="L829" s="142" t="s">
        <v>2519</v>
      </c>
      <c r="M829" s="11" t="str">
        <f>VLOOKUP(N829,'Mã NV'!$A$3:$B$196,2,0)</f>
        <v>MK02</v>
      </c>
      <c r="N829" s="297" t="s">
        <v>2558</v>
      </c>
      <c r="O829" s="382" t="s">
        <v>4267</v>
      </c>
      <c r="P829" s="371"/>
      <c r="Q829" s="176"/>
      <c r="R829" s="150"/>
    </row>
    <row r="830" spans="1:39" ht="35.25" hidden="1" customHeight="1">
      <c r="A830" s="15">
        <f t="shared" si="12"/>
        <v>820</v>
      </c>
      <c r="B830" s="144" t="s">
        <v>1366</v>
      </c>
      <c r="C830" s="150" t="s">
        <v>1306</v>
      </c>
      <c r="D830" s="176"/>
      <c r="E830" s="176"/>
      <c r="F830" s="176"/>
      <c r="G830" s="149" t="s">
        <v>438</v>
      </c>
      <c r="H830" s="141"/>
      <c r="I830" s="144" t="s">
        <v>18</v>
      </c>
      <c r="J830" s="153">
        <v>1</v>
      </c>
      <c r="K830" s="145" t="s">
        <v>730</v>
      </c>
      <c r="L830" s="142" t="s">
        <v>2519</v>
      </c>
      <c r="M830" s="11" t="str">
        <f>VLOOKUP(N830,'Mã NV'!$A$3:$B$196,2,0)</f>
        <v>MK02</v>
      </c>
      <c r="N830" s="297" t="s">
        <v>2558</v>
      </c>
      <c r="O830" s="381">
        <v>44197</v>
      </c>
      <c r="P830" s="371"/>
      <c r="Q830" s="176"/>
      <c r="R830" s="150"/>
    </row>
    <row r="831" spans="1:39" ht="35.25" hidden="1" customHeight="1">
      <c r="A831" s="15">
        <f t="shared" si="12"/>
        <v>821</v>
      </c>
      <c r="B831" s="144" t="s">
        <v>1367</v>
      </c>
      <c r="C831" s="150" t="s">
        <v>1308</v>
      </c>
      <c r="D831" s="176"/>
      <c r="E831" s="176"/>
      <c r="F831" s="176"/>
      <c r="G831" s="154"/>
      <c r="H831" s="141"/>
      <c r="I831" s="144" t="s">
        <v>18</v>
      </c>
      <c r="J831" s="153">
        <v>1</v>
      </c>
      <c r="K831" s="145" t="s">
        <v>730</v>
      </c>
      <c r="L831" s="142" t="s">
        <v>2519</v>
      </c>
      <c r="M831" s="11" t="str">
        <f>VLOOKUP(N831,'Mã NV'!$A$3:$B$196,2,0)</f>
        <v>MK02</v>
      </c>
      <c r="N831" s="297" t="s">
        <v>2558</v>
      </c>
      <c r="O831" s="381">
        <v>44197</v>
      </c>
      <c r="P831" s="371"/>
      <c r="Q831" s="176"/>
      <c r="R831" s="150"/>
    </row>
    <row r="832" spans="1:39" ht="35.25" hidden="1" customHeight="1">
      <c r="A832" s="15">
        <f t="shared" si="12"/>
        <v>822</v>
      </c>
      <c r="B832" s="144" t="s">
        <v>1368</v>
      </c>
      <c r="C832" s="150" t="s">
        <v>1289</v>
      </c>
      <c r="D832" s="176"/>
      <c r="E832" s="176"/>
      <c r="F832" s="176"/>
      <c r="G832" s="154"/>
      <c r="H832" s="141"/>
      <c r="I832" s="144" t="s">
        <v>18</v>
      </c>
      <c r="J832" s="153">
        <v>1</v>
      </c>
      <c r="K832" s="145" t="s">
        <v>730</v>
      </c>
      <c r="L832" s="142" t="s">
        <v>2519</v>
      </c>
      <c r="M832" s="11" t="str">
        <f>VLOOKUP(N832,'Mã NV'!$A$3:$B$196,2,0)</f>
        <v>MK02</v>
      </c>
      <c r="N832" s="297" t="s">
        <v>2558</v>
      </c>
      <c r="O832" s="380">
        <f>VLOOKUP(B832,'Tổng hợp (3)'!$C$4:$E$985,3,0)</f>
        <v>44774</v>
      </c>
      <c r="P832" s="378"/>
      <c r="Q832" s="176"/>
      <c r="R832" s="150"/>
    </row>
    <row r="833" spans="1:18" ht="35.25" hidden="1" customHeight="1">
      <c r="A833" s="15">
        <f t="shared" si="12"/>
        <v>823</v>
      </c>
      <c r="B833" s="144" t="s">
        <v>1369</v>
      </c>
      <c r="C833" s="150" t="s">
        <v>1370</v>
      </c>
      <c r="D833" s="156"/>
      <c r="E833" s="156"/>
      <c r="F833" s="156"/>
      <c r="G833" s="154"/>
      <c r="H833" s="141"/>
      <c r="I833" s="144" t="s">
        <v>18</v>
      </c>
      <c r="J833" s="153">
        <v>1</v>
      </c>
      <c r="K833" s="145" t="s">
        <v>730</v>
      </c>
      <c r="L833" s="142" t="s">
        <v>191</v>
      </c>
      <c r="M833" s="11" t="str">
        <f>VLOOKUP(N833,'Mã NV'!$A$3:$B$196,2,0)</f>
        <v>BU23</v>
      </c>
      <c r="N833" s="297" t="s">
        <v>2544</v>
      </c>
      <c r="O833" s="380">
        <f>VLOOKUP(B833,'Tổng hợp (3)'!$C$4:$E$985,3,0)</f>
        <v>44561</v>
      </c>
      <c r="P833" s="378"/>
      <c r="Q833" s="176"/>
      <c r="R833" s="142" t="s">
        <v>272</v>
      </c>
    </row>
    <row r="834" spans="1:18" ht="35.25" hidden="1" customHeight="1">
      <c r="A834" s="15">
        <f t="shared" si="12"/>
        <v>824</v>
      </c>
      <c r="B834" s="144" t="s">
        <v>1371</v>
      </c>
      <c r="C834" s="150" t="s">
        <v>1370</v>
      </c>
      <c r="D834" s="176"/>
      <c r="E834" s="176"/>
      <c r="F834" s="176"/>
      <c r="G834" s="154"/>
      <c r="H834" s="141"/>
      <c r="I834" s="144" t="s">
        <v>18</v>
      </c>
      <c r="J834" s="153">
        <v>1</v>
      </c>
      <c r="K834" s="145" t="s">
        <v>730</v>
      </c>
      <c r="L834" s="142" t="s">
        <v>191</v>
      </c>
      <c r="M834" s="11" t="str">
        <f>VLOOKUP(N834,'Mã NV'!$A$3:$B$196,2,0)</f>
        <v>BU23</v>
      </c>
      <c r="N834" s="297" t="s">
        <v>2544</v>
      </c>
      <c r="O834" s="380">
        <f>VLOOKUP(B834,'Tổng hợp (3)'!$C$4:$E$985,3,0)</f>
        <v>44561</v>
      </c>
      <c r="P834" s="378"/>
      <c r="Q834" s="176"/>
      <c r="R834" s="142" t="s">
        <v>272</v>
      </c>
    </row>
    <row r="835" spans="1:18" ht="35.25" hidden="1" customHeight="1">
      <c r="A835" s="15">
        <f t="shared" si="12"/>
        <v>825</v>
      </c>
      <c r="B835" s="144" t="s">
        <v>193</v>
      </c>
      <c r="C835" s="150" t="s">
        <v>1372</v>
      </c>
      <c r="D835" s="176"/>
      <c r="E835" s="176"/>
      <c r="F835" s="176"/>
      <c r="G835" s="154"/>
      <c r="H835" s="141"/>
      <c r="I835" s="144" t="s">
        <v>18</v>
      </c>
      <c r="J835" s="153">
        <v>1</v>
      </c>
      <c r="K835" s="145" t="s">
        <v>730</v>
      </c>
      <c r="L835" s="142" t="s">
        <v>191</v>
      </c>
      <c r="M835" s="11" t="str">
        <f>VLOOKUP(N835,'Mã NV'!$A$3:$B$196,2,0)</f>
        <v>BU23</v>
      </c>
      <c r="N835" s="297" t="s">
        <v>2544</v>
      </c>
      <c r="O835" s="382" t="s">
        <v>4267</v>
      </c>
      <c r="P835" s="371"/>
      <c r="Q835" s="176"/>
      <c r="R835" s="142" t="s">
        <v>272</v>
      </c>
    </row>
    <row r="836" spans="1:18" ht="35.25" hidden="1" customHeight="1">
      <c r="A836" s="15">
        <f t="shared" si="12"/>
        <v>826</v>
      </c>
      <c r="B836" s="144" t="s">
        <v>1373</v>
      </c>
      <c r="C836" s="150" t="s">
        <v>1374</v>
      </c>
      <c r="D836" s="176"/>
      <c r="E836" s="176"/>
      <c r="F836" s="176"/>
      <c r="G836" s="154"/>
      <c r="H836" s="141"/>
      <c r="I836" s="144" t="s">
        <v>18</v>
      </c>
      <c r="J836" s="153">
        <v>1</v>
      </c>
      <c r="K836" s="145" t="s">
        <v>730</v>
      </c>
      <c r="L836" s="142" t="s">
        <v>191</v>
      </c>
      <c r="M836" s="11" t="str">
        <f>VLOOKUP(N836,'Mã NV'!$A$3:$B$196,2,0)</f>
        <v>BU23</v>
      </c>
      <c r="N836" s="297" t="s">
        <v>2544</v>
      </c>
      <c r="O836" s="381">
        <v>44197</v>
      </c>
      <c r="P836" s="371"/>
      <c r="Q836" s="176"/>
      <c r="R836" s="142" t="s">
        <v>272</v>
      </c>
    </row>
    <row r="837" spans="1:18" ht="35.25" hidden="1" customHeight="1">
      <c r="A837" s="15">
        <f t="shared" si="12"/>
        <v>827</v>
      </c>
      <c r="B837" s="144" t="s">
        <v>1375</v>
      </c>
      <c r="C837" s="150" t="s">
        <v>1376</v>
      </c>
      <c r="D837" s="176"/>
      <c r="E837" s="176"/>
      <c r="F837" s="176"/>
      <c r="G837" s="154"/>
      <c r="H837" s="141"/>
      <c r="I837" s="144" t="s">
        <v>76</v>
      </c>
      <c r="J837" s="153">
        <v>1</v>
      </c>
      <c r="K837" s="145" t="s">
        <v>730</v>
      </c>
      <c r="L837" s="142" t="s">
        <v>191</v>
      </c>
      <c r="M837" s="11" t="str">
        <f>VLOOKUP(N837,'Mã NV'!$A$3:$B$196,2,0)</f>
        <v>BU23</v>
      </c>
      <c r="N837" s="297" t="s">
        <v>2544</v>
      </c>
      <c r="O837" s="381">
        <v>44197</v>
      </c>
      <c r="P837" s="371"/>
      <c r="Q837" s="176"/>
      <c r="R837" s="142" t="s">
        <v>272</v>
      </c>
    </row>
    <row r="838" spans="1:18" ht="35.25" hidden="1" customHeight="1">
      <c r="A838" s="15">
        <f t="shared" si="12"/>
        <v>828</v>
      </c>
      <c r="B838" s="144" t="s">
        <v>1377</v>
      </c>
      <c r="C838" s="150" t="s">
        <v>1071</v>
      </c>
      <c r="D838" s="176"/>
      <c r="E838" s="176"/>
      <c r="F838" s="176"/>
      <c r="G838" s="154"/>
      <c r="H838" s="141"/>
      <c r="I838" s="144" t="s">
        <v>18</v>
      </c>
      <c r="J838" s="153">
        <v>1</v>
      </c>
      <c r="K838" s="145" t="s">
        <v>730</v>
      </c>
      <c r="L838" s="142" t="s">
        <v>191</v>
      </c>
      <c r="M838" s="11" t="str">
        <f>VLOOKUP(N838,'Mã NV'!$A$3:$B$196,2,0)</f>
        <v>BU23</v>
      </c>
      <c r="N838" s="297" t="s">
        <v>2544</v>
      </c>
      <c r="O838" s="381">
        <v>44197</v>
      </c>
      <c r="P838" s="371"/>
      <c r="Q838" s="176"/>
      <c r="R838" s="142" t="s">
        <v>272</v>
      </c>
    </row>
    <row r="839" spans="1:18" ht="35.25" hidden="1" customHeight="1">
      <c r="A839" s="15">
        <f t="shared" si="12"/>
        <v>829</v>
      </c>
      <c r="B839" s="144" t="s">
        <v>1378</v>
      </c>
      <c r="C839" s="150" t="s">
        <v>1306</v>
      </c>
      <c r="D839" s="156"/>
      <c r="E839" s="156"/>
      <c r="F839" s="156"/>
      <c r="G839" s="149" t="s">
        <v>438</v>
      </c>
      <c r="H839" s="141"/>
      <c r="I839" s="144" t="s">
        <v>18</v>
      </c>
      <c r="J839" s="153">
        <v>1</v>
      </c>
      <c r="K839" s="145" t="s">
        <v>730</v>
      </c>
      <c r="L839" s="142" t="s">
        <v>191</v>
      </c>
      <c r="M839" s="11" t="str">
        <f>VLOOKUP(N839,'Mã NV'!$A$3:$B$196,2,0)</f>
        <v>BU23</v>
      </c>
      <c r="N839" s="297" t="s">
        <v>2544</v>
      </c>
      <c r="O839" s="381">
        <v>44197</v>
      </c>
      <c r="P839" s="371"/>
      <c r="Q839" s="156"/>
      <c r="R839" s="142" t="s">
        <v>272</v>
      </c>
    </row>
    <row r="840" spans="1:18" ht="35.25" hidden="1" customHeight="1">
      <c r="A840" s="15">
        <f t="shared" si="12"/>
        <v>830</v>
      </c>
      <c r="B840" s="144" t="s">
        <v>1379</v>
      </c>
      <c r="C840" s="150" t="s">
        <v>1306</v>
      </c>
      <c r="D840" s="156"/>
      <c r="E840" s="156"/>
      <c r="F840" s="156"/>
      <c r="G840" s="149" t="s">
        <v>438</v>
      </c>
      <c r="H840" s="141"/>
      <c r="I840" s="144" t="s">
        <v>18</v>
      </c>
      <c r="J840" s="153">
        <v>1</v>
      </c>
      <c r="K840" s="145" t="s">
        <v>730</v>
      </c>
      <c r="L840" s="142" t="s">
        <v>191</v>
      </c>
      <c r="M840" s="11" t="str">
        <f>VLOOKUP(N840,'Mã NV'!$A$3:$B$196,2,0)</f>
        <v>BU23</v>
      </c>
      <c r="N840" s="297" t="s">
        <v>2544</v>
      </c>
      <c r="O840" s="381">
        <v>44197</v>
      </c>
      <c r="P840" s="371"/>
      <c r="Q840" s="156"/>
      <c r="R840" s="142" t="s">
        <v>272</v>
      </c>
    </row>
    <row r="841" spans="1:18" ht="35.25" hidden="1" customHeight="1">
      <c r="A841" s="15">
        <f t="shared" si="12"/>
        <v>831</v>
      </c>
      <c r="B841" s="144" t="s">
        <v>1380</v>
      </c>
      <c r="C841" s="150" t="s">
        <v>1306</v>
      </c>
      <c r="D841" s="156"/>
      <c r="E841" s="156"/>
      <c r="F841" s="156"/>
      <c r="G841" s="149" t="s">
        <v>438</v>
      </c>
      <c r="H841" s="141"/>
      <c r="I841" s="144" t="s">
        <v>18</v>
      </c>
      <c r="J841" s="153">
        <v>1</v>
      </c>
      <c r="K841" s="145" t="s">
        <v>730</v>
      </c>
      <c r="L841" s="142" t="s">
        <v>191</v>
      </c>
      <c r="M841" s="11" t="str">
        <f>VLOOKUP(N841,'Mã NV'!$A$3:$B$196,2,0)</f>
        <v>BU23</v>
      </c>
      <c r="N841" s="297" t="s">
        <v>2544</v>
      </c>
      <c r="O841" s="381">
        <v>44197</v>
      </c>
      <c r="P841" s="371"/>
      <c r="Q841" s="156"/>
      <c r="R841" s="142" t="s">
        <v>272</v>
      </c>
    </row>
    <row r="842" spans="1:18" ht="35.25" hidden="1" customHeight="1">
      <c r="A842" s="15">
        <f t="shared" si="12"/>
        <v>832</v>
      </c>
      <c r="B842" s="144" t="s">
        <v>1381</v>
      </c>
      <c r="C842" s="150" t="s">
        <v>1306</v>
      </c>
      <c r="D842" s="156"/>
      <c r="E842" s="156"/>
      <c r="F842" s="156"/>
      <c r="G842" s="149" t="s">
        <v>438</v>
      </c>
      <c r="H842" s="141"/>
      <c r="I842" s="144" t="s">
        <v>18</v>
      </c>
      <c r="J842" s="153">
        <v>1</v>
      </c>
      <c r="K842" s="145" t="s">
        <v>730</v>
      </c>
      <c r="L842" s="142" t="s">
        <v>191</v>
      </c>
      <c r="M842" s="11" t="str">
        <f>VLOOKUP(N842,'Mã NV'!$A$3:$B$196,2,0)</f>
        <v>BU23</v>
      </c>
      <c r="N842" s="297" t="s">
        <v>2544</v>
      </c>
      <c r="O842" s="381">
        <v>44197</v>
      </c>
      <c r="P842" s="371"/>
      <c r="Q842" s="156"/>
      <c r="R842" s="142" t="s">
        <v>272</v>
      </c>
    </row>
    <row r="843" spans="1:18" ht="35.25" hidden="1" customHeight="1">
      <c r="A843" s="15">
        <f t="shared" si="12"/>
        <v>833</v>
      </c>
      <c r="B843" s="144" t="s">
        <v>1382</v>
      </c>
      <c r="C843" s="150" t="s">
        <v>1306</v>
      </c>
      <c r="D843" s="156"/>
      <c r="E843" s="156"/>
      <c r="F843" s="156"/>
      <c r="G843" s="149" t="s">
        <v>438</v>
      </c>
      <c r="H843" s="141"/>
      <c r="I843" s="144" t="s">
        <v>18</v>
      </c>
      <c r="J843" s="153">
        <v>1</v>
      </c>
      <c r="K843" s="145" t="s">
        <v>730</v>
      </c>
      <c r="L843" s="142" t="s">
        <v>191</v>
      </c>
      <c r="M843" s="11" t="str">
        <f>VLOOKUP(N843,'Mã NV'!$A$3:$B$196,2,0)</f>
        <v>BU23</v>
      </c>
      <c r="N843" s="297" t="s">
        <v>2544</v>
      </c>
      <c r="O843" s="381">
        <v>44197</v>
      </c>
      <c r="P843" s="371"/>
      <c r="Q843" s="156"/>
      <c r="R843" s="142" t="s">
        <v>272</v>
      </c>
    </row>
    <row r="844" spans="1:18" ht="35.25" hidden="1" customHeight="1">
      <c r="A844" s="15">
        <f t="shared" si="12"/>
        <v>834</v>
      </c>
      <c r="B844" s="144" t="s">
        <v>1383</v>
      </c>
      <c r="C844" s="150" t="s">
        <v>1306</v>
      </c>
      <c r="D844" s="156"/>
      <c r="E844" s="156"/>
      <c r="F844" s="156"/>
      <c r="G844" s="149" t="s">
        <v>438</v>
      </c>
      <c r="H844" s="141"/>
      <c r="I844" s="144" t="s">
        <v>18</v>
      </c>
      <c r="J844" s="153">
        <v>1</v>
      </c>
      <c r="K844" s="145" t="s">
        <v>730</v>
      </c>
      <c r="L844" s="142" t="s">
        <v>191</v>
      </c>
      <c r="M844" s="11" t="str">
        <f>VLOOKUP(N844,'Mã NV'!$A$3:$B$196,2,0)</f>
        <v>BU23</v>
      </c>
      <c r="N844" s="297" t="s">
        <v>2544</v>
      </c>
      <c r="O844" s="381">
        <v>44197</v>
      </c>
      <c r="P844" s="371"/>
      <c r="Q844" s="156"/>
      <c r="R844" s="142" t="s">
        <v>272</v>
      </c>
    </row>
    <row r="845" spans="1:18" ht="35.25" hidden="1" customHeight="1">
      <c r="A845" s="15">
        <f t="shared" si="12"/>
        <v>835</v>
      </c>
      <c r="B845" s="144" t="s">
        <v>1384</v>
      </c>
      <c r="C845" s="150" t="s">
        <v>1306</v>
      </c>
      <c r="D845" s="176"/>
      <c r="E845" s="176"/>
      <c r="F845" s="176"/>
      <c r="G845" s="149" t="s">
        <v>438</v>
      </c>
      <c r="H845" s="141"/>
      <c r="I845" s="144" t="s">
        <v>18</v>
      </c>
      <c r="J845" s="153">
        <v>1</v>
      </c>
      <c r="K845" s="145" t="s">
        <v>730</v>
      </c>
      <c r="L845" s="142" t="s">
        <v>191</v>
      </c>
      <c r="M845" s="11" t="str">
        <f>VLOOKUP(N845,'Mã NV'!$A$3:$B$196,2,0)</f>
        <v>BU23</v>
      </c>
      <c r="N845" s="297" t="s">
        <v>2544</v>
      </c>
      <c r="O845" s="381">
        <v>44197</v>
      </c>
      <c r="P845" s="371"/>
      <c r="Q845" s="156"/>
      <c r="R845" s="142" t="s">
        <v>272</v>
      </c>
    </row>
    <row r="846" spans="1:18" ht="35.25" hidden="1" customHeight="1">
      <c r="A846" s="15">
        <f t="shared" si="12"/>
        <v>836</v>
      </c>
      <c r="B846" s="144" t="s">
        <v>1385</v>
      </c>
      <c r="C846" s="150" t="s">
        <v>1306</v>
      </c>
      <c r="D846" s="156"/>
      <c r="E846" s="156"/>
      <c r="F846" s="156"/>
      <c r="G846" s="149" t="s">
        <v>438</v>
      </c>
      <c r="H846" s="141"/>
      <c r="I846" s="144" t="s">
        <v>18</v>
      </c>
      <c r="J846" s="153">
        <v>1</v>
      </c>
      <c r="K846" s="145" t="s">
        <v>730</v>
      </c>
      <c r="L846" s="142" t="s">
        <v>191</v>
      </c>
      <c r="M846" s="11" t="str">
        <f>VLOOKUP(N846,'Mã NV'!$A$3:$B$196,2,0)</f>
        <v>BU23</v>
      </c>
      <c r="N846" s="297" t="s">
        <v>2544</v>
      </c>
      <c r="O846" s="381">
        <v>44197</v>
      </c>
      <c r="P846" s="371"/>
      <c r="Q846" s="156"/>
      <c r="R846" s="142" t="s">
        <v>272</v>
      </c>
    </row>
    <row r="847" spans="1:18" ht="35.25" hidden="1" customHeight="1">
      <c r="A847" s="15">
        <f t="shared" si="12"/>
        <v>837</v>
      </c>
      <c r="B847" s="144" t="s">
        <v>1386</v>
      </c>
      <c r="C847" s="150" t="s">
        <v>1306</v>
      </c>
      <c r="D847" s="156"/>
      <c r="E847" s="156"/>
      <c r="F847" s="156"/>
      <c r="G847" s="149" t="s">
        <v>438</v>
      </c>
      <c r="H847" s="141"/>
      <c r="I847" s="144" t="s">
        <v>18</v>
      </c>
      <c r="J847" s="153">
        <v>1</v>
      </c>
      <c r="K847" s="145" t="s">
        <v>730</v>
      </c>
      <c r="L847" s="142" t="s">
        <v>191</v>
      </c>
      <c r="M847" s="11" t="str">
        <f>VLOOKUP(N847,'Mã NV'!$A$3:$B$196,2,0)</f>
        <v>BU23</v>
      </c>
      <c r="N847" s="297" t="s">
        <v>2544</v>
      </c>
      <c r="O847" s="381">
        <v>44197</v>
      </c>
      <c r="P847" s="371"/>
      <c r="Q847" s="156"/>
      <c r="R847" s="142" t="s">
        <v>272</v>
      </c>
    </row>
    <row r="848" spans="1:18" ht="35.25" hidden="1" customHeight="1">
      <c r="A848" s="15">
        <f t="shared" si="12"/>
        <v>838</v>
      </c>
      <c r="B848" s="144" t="s">
        <v>1387</v>
      </c>
      <c r="C848" s="150" t="s">
        <v>1306</v>
      </c>
      <c r="D848" s="156"/>
      <c r="E848" s="156"/>
      <c r="F848" s="156"/>
      <c r="G848" s="149" t="s">
        <v>438</v>
      </c>
      <c r="H848" s="141"/>
      <c r="I848" s="144" t="s">
        <v>18</v>
      </c>
      <c r="J848" s="153">
        <v>1</v>
      </c>
      <c r="K848" s="145" t="s">
        <v>730</v>
      </c>
      <c r="L848" s="142" t="s">
        <v>191</v>
      </c>
      <c r="M848" s="11" t="str">
        <f>VLOOKUP(N848,'Mã NV'!$A$3:$B$196,2,0)</f>
        <v>BU23</v>
      </c>
      <c r="N848" s="297" t="s">
        <v>2544</v>
      </c>
      <c r="O848" s="381">
        <v>44197</v>
      </c>
      <c r="P848" s="371"/>
      <c r="Q848" s="156"/>
      <c r="R848" s="142" t="s">
        <v>272</v>
      </c>
    </row>
    <row r="849" spans="1:18" ht="35.25" hidden="1" customHeight="1">
      <c r="A849" s="15">
        <f t="shared" si="12"/>
        <v>839</v>
      </c>
      <c r="B849" s="144" t="s">
        <v>1388</v>
      </c>
      <c r="C849" s="150" t="s">
        <v>1289</v>
      </c>
      <c r="D849" s="156"/>
      <c r="E849" s="156"/>
      <c r="F849" s="156"/>
      <c r="G849" s="154"/>
      <c r="H849" s="141"/>
      <c r="I849" s="144" t="s">
        <v>18</v>
      </c>
      <c r="J849" s="153">
        <v>1</v>
      </c>
      <c r="K849" s="145" t="s">
        <v>730</v>
      </c>
      <c r="L849" s="142" t="s">
        <v>191</v>
      </c>
      <c r="M849" s="11" t="str">
        <f>VLOOKUP(N849,'Mã NV'!$A$3:$B$196,2,0)</f>
        <v>BU23</v>
      </c>
      <c r="N849" s="297" t="s">
        <v>2544</v>
      </c>
      <c r="O849" s="381">
        <v>44197</v>
      </c>
      <c r="P849" s="371"/>
      <c r="Q849" s="156"/>
      <c r="R849" s="142" t="s">
        <v>272</v>
      </c>
    </row>
    <row r="850" spans="1:18" ht="35.25" hidden="1" customHeight="1">
      <c r="A850" s="15">
        <f t="shared" ref="A850:A913" si="13">A849+1</f>
        <v>840</v>
      </c>
      <c r="B850" s="144" t="s">
        <v>1389</v>
      </c>
      <c r="C850" s="150" t="s">
        <v>1289</v>
      </c>
      <c r="D850" s="156"/>
      <c r="E850" s="156"/>
      <c r="F850" s="156"/>
      <c r="G850" s="154"/>
      <c r="H850" s="141"/>
      <c r="I850" s="144" t="s">
        <v>18</v>
      </c>
      <c r="J850" s="153">
        <v>1</v>
      </c>
      <c r="K850" s="145" t="s">
        <v>730</v>
      </c>
      <c r="L850" s="142" t="s">
        <v>191</v>
      </c>
      <c r="M850" s="11" t="str">
        <f>VLOOKUP(N850,'Mã NV'!$A$3:$B$196,2,0)</f>
        <v>BU23</v>
      </c>
      <c r="N850" s="297" t="s">
        <v>2544</v>
      </c>
      <c r="O850" s="381">
        <v>44197</v>
      </c>
      <c r="P850" s="371"/>
      <c r="Q850" s="156"/>
      <c r="R850" s="142" t="s">
        <v>272</v>
      </c>
    </row>
    <row r="851" spans="1:18" ht="35.25" hidden="1" customHeight="1">
      <c r="A851" s="15">
        <f t="shared" si="13"/>
        <v>841</v>
      </c>
      <c r="B851" s="144" t="s">
        <v>1390</v>
      </c>
      <c r="C851" s="150" t="s">
        <v>1289</v>
      </c>
      <c r="D851" s="156"/>
      <c r="E851" s="156"/>
      <c r="F851" s="156"/>
      <c r="G851" s="154"/>
      <c r="H851" s="141"/>
      <c r="I851" s="144" t="s">
        <v>18</v>
      </c>
      <c r="J851" s="153">
        <v>1</v>
      </c>
      <c r="K851" s="145" t="s">
        <v>730</v>
      </c>
      <c r="L851" s="142" t="s">
        <v>191</v>
      </c>
      <c r="M851" s="11" t="str">
        <f>VLOOKUP(N851,'Mã NV'!$A$3:$B$196,2,0)</f>
        <v>BU23</v>
      </c>
      <c r="N851" s="297" t="s">
        <v>2544</v>
      </c>
      <c r="O851" s="381">
        <v>44197</v>
      </c>
      <c r="P851" s="371"/>
      <c r="Q851" s="156"/>
      <c r="R851" s="142" t="s">
        <v>272</v>
      </c>
    </row>
    <row r="852" spans="1:18" ht="35.25" hidden="1" customHeight="1">
      <c r="A852" s="15">
        <f t="shared" si="13"/>
        <v>842</v>
      </c>
      <c r="B852" s="144" t="s">
        <v>1391</v>
      </c>
      <c r="C852" s="150" t="s">
        <v>1392</v>
      </c>
      <c r="D852" s="156"/>
      <c r="E852" s="156"/>
      <c r="F852" s="156"/>
      <c r="G852" s="144" t="s">
        <v>2401</v>
      </c>
      <c r="H852" s="141"/>
      <c r="I852" s="144" t="s">
        <v>18</v>
      </c>
      <c r="J852" s="153">
        <v>7</v>
      </c>
      <c r="K852" s="145" t="s">
        <v>730</v>
      </c>
      <c r="L852" s="142" t="s">
        <v>191</v>
      </c>
      <c r="M852" s="11" t="str">
        <f>VLOOKUP(N852,'Mã NV'!$A$3:$B$196,2,0)</f>
        <v>BU23</v>
      </c>
      <c r="N852" s="297" t="s">
        <v>2544</v>
      </c>
      <c r="O852" s="381">
        <v>44197</v>
      </c>
      <c r="P852" s="371"/>
      <c r="Q852" s="156"/>
      <c r="R852" s="142" t="s">
        <v>272</v>
      </c>
    </row>
    <row r="853" spans="1:18" ht="35.25" hidden="1" customHeight="1">
      <c r="A853" s="15">
        <f t="shared" si="13"/>
        <v>843</v>
      </c>
      <c r="B853" s="144" t="s">
        <v>1393</v>
      </c>
      <c r="C853" s="150" t="s">
        <v>1394</v>
      </c>
      <c r="D853" s="156"/>
      <c r="E853" s="156"/>
      <c r="F853" s="156"/>
      <c r="G853" s="144" t="s">
        <v>2402</v>
      </c>
      <c r="H853" s="141"/>
      <c r="I853" s="144" t="s">
        <v>18</v>
      </c>
      <c r="J853" s="153">
        <v>1</v>
      </c>
      <c r="K853" s="145" t="s">
        <v>730</v>
      </c>
      <c r="L853" s="142" t="s">
        <v>191</v>
      </c>
      <c r="M853" s="11" t="str">
        <f>VLOOKUP(N853,'Mã NV'!$A$3:$B$196,2,0)</f>
        <v>BU23</v>
      </c>
      <c r="N853" s="297" t="s">
        <v>2544</v>
      </c>
      <c r="O853" s="381">
        <v>44197</v>
      </c>
      <c r="P853" s="371"/>
      <c r="Q853" s="156"/>
      <c r="R853" s="142" t="s">
        <v>272</v>
      </c>
    </row>
    <row r="854" spans="1:18" ht="35.25" hidden="1" customHeight="1">
      <c r="A854" s="15">
        <f t="shared" si="13"/>
        <v>844</v>
      </c>
      <c r="B854" s="144" t="s">
        <v>1395</v>
      </c>
      <c r="C854" s="150" t="s">
        <v>1306</v>
      </c>
      <c r="D854" s="156"/>
      <c r="E854" s="156"/>
      <c r="F854" s="156"/>
      <c r="G854" s="149" t="s">
        <v>438</v>
      </c>
      <c r="H854" s="141"/>
      <c r="I854" s="144" t="s">
        <v>18</v>
      </c>
      <c r="J854" s="153">
        <v>1</v>
      </c>
      <c r="K854" s="145" t="s">
        <v>730</v>
      </c>
      <c r="L854" s="142" t="s">
        <v>191</v>
      </c>
      <c r="M854" s="11" t="str">
        <f>VLOOKUP(N854,'Mã NV'!$A$3:$B$196,2,0)</f>
        <v>BU34</v>
      </c>
      <c r="N854" s="297" t="s">
        <v>2559</v>
      </c>
      <c r="O854" s="381">
        <v>44197</v>
      </c>
      <c r="P854" s="371"/>
      <c r="Q854" s="156"/>
      <c r="R854" s="150"/>
    </row>
    <row r="855" spans="1:18" ht="35.25" hidden="1" customHeight="1">
      <c r="A855" s="15">
        <f t="shared" si="13"/>
        <v>845</v>
      </c>
      <c r="B855" s="144" t="s">
        <v>1396</v>
      </c>
      <c r="C855" s="150" t="s">
        <v>1308</v>
      </c>
      <c r="D855" s="156"/>
      <c r="E855" s="156"/>
      <c r="F855" s="156"/>
      <c r="G855" s="144" t="s">
        <v>2396</v>
      </c>
      <c r="H855" s="141"/>
      <c r="I855" s="144" t="s">
        <v>18</v>
      </c>
      <c r="J855" s="153">
        <v>1</v>
      </c>
      <c r="K855" s="145" t="s">
        <v>730</v>
      </c>
      <c r="L855" s="142" t="s">
        <v>191</v>
      </c>
      <c r="M855" s="11" t="str">
        <f>VLOOKUP(N855,'Mã NV'!$A$3:$B$196,2,0)</f>
        <v>BU34</v>
      </c>
      <c r="N855" s="297" t="s">
        <v>2559</v>
      </c>
      <c r="O855" s="381">
        <v>44197</v>
      </c>
      <c r="P855" s="371"/>
      <c r="Q855" s="156"/>
      <c r="R855" s="150"/>
    </row>
    <row r="856" spans="1:18" ht="35.25" hidden="1" customHeight="1">
      <c r="A856" s="15">
        <f t="shared" si="13"/>
        <v>846</v>
      </c>
      <c r="B856" s="144" t="s">
        <v>1397</v>
      </c>
      <c r="C856" s="150" t="s">
        <v>1289</v>
      </c>
      <c r="D856" s="156"/>
      <c r="E856" s="156"/>
      <c r="F856" s="156"/>
      <c r="G856" s="144"/>
      <c r="H856" s="141"/>
      <c r="I856" s="144" t="s">
        <v>18</v>
      </c>
      <c r="J856" s="153">
        <v>1</v>
      </c>
      <c r="K856" s="145" t="s">
        <v>730</v>
      </c>
      <c r="L856" s="142" t="s">
        <v>191</v>
      </c>
      <c r="M856" s="11" t="str">
        <f>VLOOKUP(N856,'Mã NV'!$A$3:$B$196,2,0)</f>
        <v>BU34</v>
      </c>
      <c r="N856" s="297" t="s">
        <v>2559</v>
      </c>
      <c r="O856" s="381">
        <v>44197</v>
      </c>
      <c r="P856" s="371"/>
      <c r="Q856" s="156"/>
      <c r="R856" s="150"/>
    </row>
    <row r="857" spans="1:18" ht="35.25" hidden="1" customHeight="1">
      <c r="A857" s="15">
        <f t="shared" si="13"/>
        <v>847</v>
      </c>
      <c r="B857" s="144" t="s">
        <v>1398</v>
      </c>
      <c r="C857" s="150" t="s">
        <v>1399</v>
      </c>
      <c r="D857" s="156"/>
      <c r="E857" s="156"/>
      <c r="F857" s="156"/>
      <c r="G857" s="144"/>
      <c r="H857" s="141"/>
      <c r="I857" s="144" t="s">
        <v>18</v>
      </c>
      <c r="J857" s="153">
        <v>1</v>
      </c>
      <c r="K857" s="145" t="s">
        <v>730</v>
      </c>
      <c r="L857" s="142" t="s">
        <v>191</v>
      </c>
      <c r="M857" s="11" t="str">
        <f>VLOOKUP(N857,'Mã NV'!$A$3:$B$196,2,0)</f>
        <v>BU34</v>
      </c>
      <c r="N857" s="297" t="s">
        <v>2559</v>
      </c>
      <c r="O857" s="381">
        <v>44977</v>
      </c>
      <c r="P857" s="371"/>
      <c r="Q857" s="156"/>
      <c r="R857" s="150"/>
    </row>
    <row r="858" spans="1:18" ht="35.25" hidden="1" customHeight="1">
      <c r="A858" s="15">
        <f t="shared" si="13"/>
        <v>848</v>
      </c>
      <c r="B858" s="144" t="s">
        <v>1400</v>
      </c>
      <c r="C858" s="150" t="s">
        <v>1401</v>
      </c>
      <c r="D858" s="156"/>
      <c r="E858" s="156"/>
      <c r="F858" s="156"/>
      <c r="G858" s="144"/>
      <c r="H858" s="141"/>
      <c r="I858" s="144" t="s">
        <v>18</v>
      </c>
      <c r="J858" s="153">
        <v>1</v>
      </c>
      <c r="K858" s="145" t="s">
        <v>730</v>
      </c>
      <c r="L858" s="142" t="s">
        <v>191</v>
      </c>
      <c r="M858" s="11" t="str">
        <f>VLOOKUP(N858,'Mã NV'!$A$3:$B$196,2,0)</f>
        <v>BU34</v>
      </c>
      <c r="N858" s="297" t="s">
        <v>2559</v>
      </c>
      <c r="O858" s="381">
        <v>44977</v>
      </c>
      <c r="P858" s="371"/>
      <c r="Q858" s="156"/>
      <c r="R858" s="150"/>
    </row>
    <row r="859" spans="1:18" ht="35.25" hidden="1" customHeight="1">
      <c r="A859" s="15">
        <f t="shared" si="13"/>
        <v>849</v>
      </c>
      <c r="B859" s="144" t="s">
        <v>1402</v>
      </c>
      <c r="C859" s="150" t="s">
        <v>1403</v>
      </c>
      <c r="D859" s="156"/>
      <c r="E859" s="156"/>
      <c r="F859" s="156"/>
      <c r="G859" s="144"/>
      <c r="H859" s="141"/>
      <c r="I859" s="144" t="s">
        <v>18</v>
      </c>
      <c r="J859" s="153">
        <v>1</v>
      </c>
      <c r="K859" s="145" t="s">
        <v>730</v>
      </c>
      <c r="L859" s="142" t="s">
        <v>191</v>
      </c>
      <c r="M859" s="11" t="str">
        <f>VLOOKUP(N859,'Mã NV'!$A$3:$B$196,2,0)</f>
        <v>BU34</v>
      </c>
      <c r="N859" s="297" t="s">
        <v>2559</v>
      </c>
      <c r="O859" s="381">
        <v>44977</v>
      </c>
      <c r="P859" s="371"/>
      <c r="Q859" s="156"/>
      <c r="R859" s="150"/>
    </row>
    <row r="860" spans="1:18" ht="35.25" hidden="1" customHeight="1">
      <c r="A860" s="15">
        <f t="shared" si="13"/>
        <v>850</v>
      </c>
      <c r="B860" s="144" t="s">
        <v>1404</v>
      </c>
      <c r="C860" s="150" t="s">
        <v>985</v>
      </c>
      <c r="D860" s="156"/>
      <c r="E860" s="156"/>
      <c r="F860" s="156"/>
      <c r="G860" s="144"/>
      <c r="H860" s="141"/>
      <c r="I860" s="144" t="s">
        <v>18</v>
      </c>
      <c r="J860" s="153">
        <v>1</v>
      </c>
      <c r="K860" s="145" t="s">
        <v>730</v>
      </c>
      <c r="L860" s="142" t="s">
        <v>191</v>
      </c>
      <c r="M860" s="11" t="str">
        <f>VLOOKUP(N860,'Mã NV'!$A$3:$B$196,2,0)</f>
        <v>NV0003</v>
      </c>
      <c r="N860" s="297" t="s">
        <v>2560</v>
      </c>
      <c r="O860" s="381">
        <v>44977</v>
      </c>
      <c r="P860" s="371"/>
      <c r="Q860" s="156"/>
      <c r="R860" s="150"/>
    </row>
    <row r="861" spans="1:18" ht="35.25" hidden="1" customHeight="1">
      <c r="A861" s="15">
        <f t="shared" si="13"/>
        <v>851</v>
      </c>
      <c r="B861" s="144" t="s">
        <v>1405</v>
      </c>
      <c r="C861" s="150" t="s">
        <v>985</v>
      </c>
      <c r="D861" s="156"/>
      <c r="E861" s="156"/>
      <c r="F861" s="156"/>
      <c r="G861" s="144"/>
      <c r="H861" s="141"/>
      <c r="I861" s="144" t="s">
        <v>18</v>
      </c>
      <c r="J861" s="153">
        <v>1</v>
      </c>
      <c r="K861" s="145" t="s">
        <v>730</v>
      </c>
      <c r="L861" s="142" t="s">
        <v>191</v>
      </c>
      <c r="M861" s="11" t="str">
        <f>VLOOKUP(N861,'Mã NV'!$A$3:$B$196,2,0)</f>
        <v>NV0008</v>
      </c>
      <c r="N861" s="297" t="s">
        <v>2561</v>
      </c>
      <c r="O861" s="381">
        <v>44977</v>
      </c>
      <c r="P861" s="371"/>
      <c r="Q861" s="156"/>
      <c r="R861" s="150"/>
    </row>
    <row r="862" spans="1:18" ht="35.25" hidden="1" customHeight="1">
      <c r="A862" s="15">
        <f t="shared" si="13"/>
        <v>852</v>
      </c>
      <c r="B862" s="144" t="s">
        <v>1406</v>
      </c>
      <c r="C862" s="150" t="s">
        <v>641</v>
      </c>
      <c r="D862" s="156"/>
      <c r="E862" s="156"/>
      <c r="F862" s="156"/>
      <c r="G862" s="154" t="s">
        <v>2403</v>
      </c>
      <c r="H862" s="141"/>
      <c r="I862" s="144" t="s">
        <v>566</v>
      </c>
      <c r="J862" s="153">
        <v>1</v>
      </c>
      <c r="K862" s="145" t="s">
        <v>730</v>
      </c>
      <c r="L862" s="43" t="s">
        <v>191</v>
      </c>
      <c r="M862" s="11" t="str">
        <f>VLOOKUP(N862,'Mã NV'!$A$3:$B$196,2,0)</f>
        <v>NV0008</v>
      </c>
      <c r="N862" s="297" t="s">
        <v>2561</v>
      </c>
      <c r="O862" s="381">
        <v>44978</v>
      </c>
      <c r="P862" s="371"/>
      <c r="Q862" s="156"/>
      <c r="R862" s="150" t="s">
        <v>2665</v>
      </c>
    </row>
    <row r="863" spans="1:18" ht="35.25" hidden="1" customHeight="1">
      <c r="A863" s="15">
        <f t="shared" si="13"/>
        <v>853</v>
      </c>
      <c r="B863" s="144" t="s">
        <v>1407</v>
      </c>
      <c r="C863" s="150" t="s">
        <v>698</v>
      </c>
      <c r="D863" s="156"/>
      <c r="E863" s="156"/>
      <c r="F863" s="156"/>
      <c r="G863" s="144"/>
      <c r="H863" s="141"/>
      <c r="I863" s="144" t="s">
        <v>566</v>
      </c>
      <c r="J863" s="153">
        <v>1</v>
      </c>
      <c r="K863" s="145" t="s">
        <v>730</v>
      </c>
      <c r="L863" s="43" t="s">
        <v>191</v>
      </c>
      <c r="M863" s="11" t="str">
        <f>VLOOKUP(N863,'Mã NV'!$A$3:$B$196,2,0)</f>
        <v>NV0008</v>
      </c>
      <c r="N863" s="297" t="s">
        <v>2561</v>
      </c>
      <c r="O863" s="381">
        <v>44978</v>
      </c>
      <c r="P863" s="371"/>
      <c r="Q863" s="156"/>
      <c r="R863" s="150"/>
    </row>
    <row r="864" spans="1:18" ht="35.25" hidden="1" customHeight="1">
      <c r="A864" s="15">
        <f t="shared" si="13"/>
        <v>854</v>
      </c>
      <c r="B864" s="144" t="s">
        <v>1408</v>
      </c>
      <c r="C864" s="150" t="s">
        <v>985</v>
      </c>
      <c r="D864" s="156"/>
      <c r="E864" s="156"/>
      <c r="F864" s="156"/>
      <c r="G864" s="144"/>
      <c r="H864" s="141"/>
      <c r="I864" s="144" t="s">
        <v>18</v>
      </c>
      <c r="J864" s="153">
        <v>1</v>
      </c>
      <c r="K864" s="145" t="s">
        <v>730</v>
      </c>
      <c r="L864" s="142" t="s">
        <v>191</v>
      </c>
      <c r="M864" s="11" t="str">
        <f>VLOOKUP(N864,'Mã NV'!$A$3:$B$196,2,0)</f>
        <v>NV0002</v>
      </c>
      <c r="N864" s="297" t="s">
        <v>2562</v>
      </c>
      <c r="O864" s="381">
        <v>44978</v>
      </c>
      <c r="P864" s="371"/>
      <c r="Q864" s="156"/>
      <c r="R864" s="150"/>
    </row>
    <row r="865" spans="1:18" ht="35.25" hidden="1" customHeight="1">
      <c r="A865" s="15">
        <f t="shared" si="13"/>
        <v>855</v>
      </c>
      <c r="B865" s="144" t="s">
        <v>1409</v>
      </c>
      <c r="C865" s="150" t="s">
        <v>723</v>
      </c>
      <c r="D865" s="156"/>
      <c r="E865" s="156"/>
      <c r="F865" s="156"/>
      <c r="G865" s="144"/>
      <c r="H865" s="141"/>
      <c r="I865" s="144" t="s">
        <v>18</v>
      </c>
      <c r="J865" s="153">
        <v>1</v>
      </c>
      <c r="K865" s="145" t="s">
        <v>730</v>
      </c>
      <c r="L865" s="142" t="s">
        <v>191</v>
      </c>
      <c r="M865" s="11" t="str">
        <f>VLOOKUP(N865,'Mã NV'!$A$3:$B$196,2,0)</f>
        <v>BU23</v>
      </c>
      <c r="N865" s="297" t="s">
        <v>2544</v>
      </c>
      <c r="O865" s="381">
        <v>44197</v>
      </c>
      <c r="P865" s="371"/>
      <c r="Q865" s="156"/>
      <c r="R865" s="142" t="s">
        <v>272</v>
      </c>
    </row>
    <row r="866" spans="1:18" ht="35.25" hidden="1" customHeight="1">
      <c r="A866" s="15">
        <f t="shared" si="13"/>
        <v>856</v>
      </c>
      <c r="B866" s="144" t="s">
        <v>1410</v>
      </c>
      <c r="C866" s="150" t="s">
        <v>723</v>
      </c>
      <c r="D866" s="156"/>
      <c r="E866" s="156"/>
      <c r="F866" s="156"/>
      <c r="G866" s="144"/>
      <c r="H866" s="141"/>
      <c r="I866" s="144" t="s">
        <v>18</v>
      </c>
      <c r="J866" s="153">
        <v>1</v>
      </c>
      <c r="K866" s="145" t="s">
        <v>730</v>
      </c>
      <c r="L866" s="142" t="s">
        <v>191</v>
      </c>
      <c r="M866" s="11" t="str">
        <f>VLOOKUP(N866,'Mã NV'!$A$3:$B$196,2,0)</f>
        <v>BU23</v>
      </c>
      <c r="N866" s="297" t="s">
        <v>2544</v>
      </c>
      <c r="O866" s="381">
        <v>44197</v>
      </c>
      <c r="P866" s="371"/>
      <c r="Q866" s="156"/>
      <c r="R866" s="142" t="s">
        <v>272</v>
      </c>
    </row>
    <row r="867" spans="1:18" ht="35.25" hidden="1" customHeight="1">
      <c r="A867" s="15">
        <f t="shared" si="13"/>
        <v>857</v>
      </c>
      <c r="B867" s="144" t="s">
        <v>1411</v>
      </c>
      <c r="C867" s="150" t="s">
        <v>723</v>
      </c>
      <c r="D867" s="156"/>
      <c r="E867" s="156"/>
      <c r="F867" s="156"/>
      <c r="G867" s="144"/>
      <c r="H867" s="141"/>
      <c r="I867" s="144" t="s">
        <v>18</v>
      </c>
      <c r="J867" s="153">
        <v>1</v>
      </c>
      <c r="K867" s="145" t="s">
        <v>730</v>
      </c>
      <c r="L867" s="142" t="s">
        <v>191</v>
      </c>
      <c r="M867" s="11" t="str">
        <f>VLOOKUP(N867,'Mã NV'!$A$3:$B$196,2,0)</f>
        <v>BU23</v>
      </c>
      <c r="N867" s="297" t="s">
        <v>2544</v>
      </c>
      <c r="O867" s="381">
        <v>44197</v>
      </c>
      <c r="P867" s="371"/>
      <c r="Q867" s="156"/>
      <c r="R867" s="142" t="s">
        <v>272</v>
      </c>
    </row>
    <row r="868" spans="1:18" ht="35.25" hidden="1" customHeight="1">
      <c r="A868" s="15">
        <f t="shared" si="13"/>
        <v>858</v>
      </c>
      <c r="B868" s="144" t="s">
        <v>1412</v>
      </c>
      <c r="C868" s="150" t="s">
        <v>723</v>
      </c>
      <c r="D868" s="156"/>
      <c r="E868" s="156"/>
      <c r="F868" s="156"/>
      <c r="G868" s="144"/>
      <c r="H868" s="141"/>
      <c r="I868" s="144" t="s">
        <v>18</v>
      </c>
      <c r="J868" s="153">
        <v>1</v>
      </c>
      <c r="K868" s="145" t="s">
        <v>730</v>
      </c>
      <c r="L868" s="142" t="s">
        <v>191</v>
      </c>
      <c r="M868" s="11" t="str">
        <f>VLOOKUP(N868,'Mã NV'!$A$3:$B$196,2,0)</f>
        <v>BU23</v>
      </c>
      <c r="N868" s="297" t="s">
        <v>2544</v>
      </c>
      <c r="O868" s="381">
        <v>44197</v>
      </c>
      <c r="P868" s="371"/>
      <c r="Q868" s="156"/>
      <c r="R868" s="142" t="s">
        <v>272</v>
      </c>
    </row>
    <row r="869" spans="1:18" ht="35.25" hidden="1" customHeight="1">
      <c r="A869" s="15">
        <f t="shared" si="13"/>
        <v>859</v>
      </c>
      <c r="B869" s="144" t="s">
        <v>1413</v>
      </c>
      <c r="C869" s="150" t="s">
        <v>723</v>
      </c>
      <c r="D869" s="156"/>
      <c r="E869" s="156"/>
      <c r="F869" s="156"/>
      <c r="G869" s="144"/>
      <c r="H869" s="141"/>
      <c r="I869" s="144" t="s">
        <v>18</v>
      </c>
      <c r="J869" s="153">
        <v>1</v>
      </c>
      <c r="K869" s="145" t="s">
        <v>730</v>
      </c>
      <c r="L869" s="142" t="s">
        <v>191</v>
      </c>
      <c r="M869" s="11" t="str">
        <f>VLOOKUP(N869,'Mã NV'!$A$3:$B$196,2,0)</f>
        <v>BU23</v>
      </c>
      <c r="N869" s="297" t="s">
        <v>2544</v>
      </c>
      <c r="O869" s="381">
        <v>44197</v>
      </c>
      <c r="P869" s="371"/>
      <c r="Q869" s="156"/>
      <c r="R869" s="142" t="s">
        <v>272</v>
      </c>
    </row>
    <row r="870" spans="1:18" ht="35.25" hidden="1" customHeight="1">
      <c r="A870" s="15">
        <f t="shared" si="13"/>
        <v>860</v>
      </c>
      <c r="B870" s="144" t="s">
        <v>1414</v>
      </c>
      <c r="C870" s="150" t="s">
        <v>723</v>
      </c>
      <c r="D870" s="156"/>
      <c r="E870" s="156"/>
      <c r="F870" s="156"/>
      <c r="G870" s="144"/>
      <c r="H870" s="141"/>
      <c r="I870" s="144" t="s">
        <v>18</v>
      </c>
      <c r="J870" s="153">
        <v>1</v>
      </c>
      <c r="K870" s="145" t="s">
        <v>730</v>
      </c>
      <c r="L870" s="142" t="s">
        <v>191</v>
      </c>
      <c r="M870" s="11" t="str">
        <f>VLOOKUP(N870,'Mã NV'!$A$3:$B$196,2,0)</f>
        <v>BU23</v>
      </c>
      <c r="N870" s="297" t="s">
        <v>2544</v>
      </c>
      <c r="O870" s="381">
        <v>44197</v>
      </c>
      <c r="P870" s="371"/>
      <c r="Q870" s="156"/>
      <c r="R870" s="142" t="s">
        <v>272</v>
      </c>
    </row>
    <row r="871" spans="1:18" ht="35.25" hidden="1" customHeight="1">
      <c r="A871" s="15">
        <f t="shared" si="13"/>
        <v>861</v>
      </c>
      <c r="B871" s="144" t="s">
        <v>1415</v>
      </c>
      <c r="C871" s="150" t="s">
        <v>723</v>
      </c>
      <c r="D871" s="156"/>
      <c r="E871" s="156"/>
      <c r="F871" s="156"/>
      <c r="G871" s="144"/>
      <c r="H871" s="141"/>
      <c r="I871" s="144" t="s">
        <v>18</v>
      </c>
      <c r="J871" s="153">
        <v>1</v>
      </c>
      <c r="K871" s="145" t="s">
        <v>730</v>
      </c>
      <c r="L871" s="142" t="s">
        <v>191</v>
      </c>
      <c r="M871" s="11" t="str">
        <f>VLOOKUP(N871,'Mã NV'!$A$3:$B$196,2,0)</f>
        <v>BU23</v>
      </c>
      <c r="N871" s="297" t="s">
        <v>2544</v>
      </c>
      <c r="O871" s="381">
        <v>44197</v>
      </c>
      <c r="P871" s="371"/>
      <c r="Q871" s="156"/>
      <c r="R871" s="142" t="s">
        <v>272</v>
      </c>
    </row>
    <row r="872" spans="1:18" ht="35.25" hidden="1" customHeight="1">
      <c r="A872" s="15">
        <f t="shared" si="13"/>
        <v>862</v>
      </c>
      <c r="B872" s="144" t="s">
        <v>1416</v>
      </c>
      <c r="C872" s="150" t="s">
        <v>723</v>
      </c>
      <c r="D872" s="156"/>
      <c r="E872" s="156"/>
      <c r="F872" s="156"/>
      <c r="G872" s="144"/>
      <c r="H872" s="141"/>
      <c r="I872" s="144" t="s">
        <v>18</v>
      </c>
      <c r="J872" s="153">
        <v>1</v>
      </c>
      <c r="K872" s="145" t="s">
        <v>730</v>
      </c>
      <c r="L872" s="142" t="s">
        <v>191</v>
      </c>
      <c r="M872" s="11" t="str">
        <f>VLOOKUP(N872,'Mã NV'!$A$3:$B$196,2,0)</f>
        <v>BU23</v>
      </c>
      <c r="N872" s="297" t="s">
        <v>2544</v>
      </c>
      <c r="O872" s="381">
        <v>44197</v>
      </c>
      <c r="P872" s="371"/>
      <c r="Q872" s="156"/>
      <c r="R872" s="142" t="s">
        <v>272</v>
      </c>
    </row>
    <row r="873" spans="1:18" ht="35.25" hidden="1" customHeight="1">
      <c r="A873" s="15">
        <f t="shared" si="13"/>
        <v>863</v>
      </c>
      <c r="B873" s="144" t="s">
        <v>1417</v>
      </c>
      <c r="C873" s="150" t="s">
        <v>723</v>
      </c>
      <c r="D873" s="156"/>
      <c r="E873" s="156"/>
      <c r="F873" s="156"/>
      <c r="G873" s="144"/>
      <c r="H873" s="141"/>
      <c r="I873" s="144" t="s">
        <v>18</v>
      </c>
      <c r="J873" s="153">
        <v>1</v>
      </c>
      <c r="K873" s="145" t="s">
        <v>730</v>
      </c>
      <c r="L873" s="142" t="s">
        <v>191</v>
      </c>
      <c r="M873" s="11" t="str">
        <f>VLOOKUP(N873,'Mã NV'!$A$3:$B$196,2,0)</f>
        <v>BU23</v>
      </c>
      <c r="N873" s="297" t="s">
        <v>2544</v>
      </c>
      <c r="O873" s="381">
        <v>44197</v>
      </c>
      <c r="P873" s="371"/>
      <c r="Q873" s="156"/>
      <c r="R873" s="142" t="s">
        <v>272</v>
      </c>
    </row>
    <row r="874" spans="1:18" ht="35.25" hidden="1" customHeight="1">
      <c r="A874" s="15">
        <f t="shared" si="13"/>
        <v>864</v>
      </c>
      <c r="B874" s="144" t="s">
        <v>1418</v>
      </c>
      <c r="C874" s="150" t="s">
        <v>723</v>
      </c>
      <c r="D874" s="156"/>
      <c r="E874" s="156"/>
      <c r="F874" s="156"/>
      <c r="G874" s="144"/>
      <c r="H874" s="141"/>
      <c r="I874" s="144" t="s">
        <v>18</v>
      </c>
      <c r="J874" s="153">
        <v>1</v>
      </c>
      <c r="K874" s="145" t="s">
        <v>730</v>
      </c>
      <c r="L874" s="142" t="s">
        <v>191</v>
      </c>
      <c r="M874" s="11" t="str">
        <f>VLOOKUP(N874,'Mã NV'!$A$3:$B$196,2,0)</f>
        <v>BU23</v>
      </c>
      <c r="N874" s="297" t="s">
        <v>2544</v>
      </c>
      <c r="O874" s="381">
        <v>44197</v>
      </c>
      <c r="P874" s="371"/>
      <c r="Q874" s="156"/>
      <c r="R874" s="142" t="s">
        <v>272</v>
      </c>
    </row>
    <row r="875" spans="1:18" ht="35.25" hidden="1" customHeight="1">
      <c r="A875" s="15">
        <f t="shared" si="13"/>
        <v>865</v>
      </c>
      <c r="B875" s="144" t="s">
        <v>1419</v>
      </c>
      <c r="C875" s="150" t="s">
        <v>723</v>
      </c>
      <c r="D875" s="156"/>
      <c r="E875" s="156"/>
      <c r="F875" s="156"/>
      <c r="G875" s="144"/>
      <c r="H875" s="141"/>
      <c r="I875" s="144" t="s">
        <v>18</v>
      </c>
      <c r="J875" s="153">
        <v>1</v>
      </c>
      <c r="K875" s="145" t="s">
        <v>730</v>
      </c>
      <c r="L875" s="142" t="s">
        <v>191</v>
      </c>
      <c r="M875" s="11" t="str">
        <f>VLOOKUP(N875,'Mã NV'!$A$3:$B$196,2,0)</f>
        <v>BU23</v>
      </c>
      <c r="N875" s="297" t="s">
        <v>2544</v>
      </c>
      <c r="O875" s="381">
        <v>44197</v>
      </c>
      <c r="P875" s="371"/>
      <c r="Q875" s="156"/>
      <c r="R875" s="142" t="s">
        <v>272</v>
      </c>
    </row>
    <row r="876" spans="1:18" ht="35.25" hidden="1" customHeight="1">
      <c r="A876" s="15">
        <f t="shared" si="13"/>
        <v>866</v>
      </c>
      <c r="B876" s="144" t="s">
        <v>1420</v>
      </c>
      <c r="C876" s="150" t="s">
        <v>723</v>
      </c>
      <c r="D876" s="156"/>
      <c r="E876" s="156"/>
      <c r="F876" s="156"/>
      <c r="G876" s="144"/>
      <c r="H876" s="141"/>
      <c r="I876" s="144" t="s">
        <v>18</v>
      </c>
      <c r="J876" s="153">
        <v>1</v>
      </c>
      <c r="K876" s="145" t="s">
        <v>730</v>
      </c>
      <c r="L876" s="142" t="s">
        <v>191</v>
      </c>
      <c r="M876" s="11" t="str">
        <f>VLOOKUP(N876,'Mã NV'!$A$3:$B$196,2,0)</f>
        <v>BU23</v>
      </c>
      <c r="N876" s="297" t="s">
        <v>2544</v>
      </c>
      <c r="O876" s="381">
        <v>44197</v>
      </c>
      <c r="P876" s="371"/>
      <c r="Q876" s="156"/>
      <c r="R876" s="142" t="s">
        <v>272</v>
      </c>
    </row>
    <row r="877" spans="1:18" ht="35.25" hidden="1" customHeight="1">
      <c r="A877" s="15">
        <f t="shared" si="13"/>
        <v>867</v>
      </c>
      <c r="B877" s="144" t="s">
        <v>1421</v>
      </c>
      <c r="C877" s="150" t="s">
        <v>723</v>
      </c>
      <c r="D877" s="156"/>
      <c r="E877" s="156"/>
      <c r="F877" s="156"/>
      <c r="G877" s="144"/>
      <c r="H877" s="141"/>
      <c r="I877" s="144" t="s">
        <v>18</v>
      </c>
      <c r="J877" s="153">
        <v>1</v>
      </c>
      <c r="K877" s="145" t="s">
        <v>730</v>
      </c>
      <c r="L877" s="142" t="s">
        <v>191</v>
      </c>
      <c r="M877" s="11" t="str">
        <f>VLOOKUP(N877,'Mã NV'!$A$3:$B$196,2,0)</f>
        <v>BU23</v>
      </c>
      <c r="N877" s="297" t="s">
        <v>2544</v>
      </c>
      <c r="O877" s="381">
        <v>44197</v>
      </c>
      <c r="P877" s="371"/>
      <c r="Q877" s="156"/>
      <c r="R877" s="142" t="s">
        <v>272</v>
      </c>
    </row>
    <row r="878" spans="1:18" ht="35.25" hidden="1" customHeight="1">
      <c r="A878" s="15">
        <f t="shared" si="13"/>
        <v>868</v>
      </c>
      <c r="B878" s="144" t="s">
        <v>1422</v>
      </c>
      <c r="C878" s="150" t="s">
        <v>723</v>
      </c>
      <c r="D878" s="156"/>
      <c r="E878" s="156"/>
      <c r="F878" s="156"/>
      <c r="G878" s="144"/>
      <c r="H878" s="141"/>
      <c r="I878" s="144" t="s">
        <v>18</v>
      </c>
      <c r="J878" s="153">
        <v>1</v>
      </c>
      <c r="K878" s="145" t="s">
        <v>730</v>
      </c>
      <c r="L878" s="142" t="s">
        <v>191</v>
      </c>
      <c r="M878" s="11" t="str">
        <f>VLOOKUP(N878,'Mã NV'!$A$3:$B$196,2,0)</f>
        <v>BU23</v>
      </c>
      <c r="N878" s="297" t="s">
        <v>2544</v>
      </c>
      <c r="O878" s="381">
        <v>44197</v>
      </c>
      <c r="P878" s="371"/>
      <c r="Q878" s="156"/>
      <c r="R878" s="142" t="s">
        <v>272</v>
      </c>
    </row>
    <row r="879" spans="1:18" ht="35.25" hidden="1" customHeight="1">
      <c r="A879" s="15">
        <f t="shared" si="13"/>
        <v>869</v>
      </c>
      <c r="B879" s="144" t="s">
        <v>1423</v>
      </c>
      <c r="C879" s="150" t="s">
        <v>723</v>
      </c>
      <c r="D879" s="156"/>
      <c r="E879" s="156"/>
      <c r="F879" s="156"/>
      <c r="G879" s="144"/>
      <c r="H879" s="141"/>
      <c r="I879" s="144" t="s">
        <v>18</v>
      </c>
      <c r="J879" s="153">
        <v>1</v>
      </c>
      <c r="K879" s="145" t="s">
        <v>730</v>
      </c>
      <c r="L879" s="142" t="s">
        <v>191</v>
      </c>
      <c r="M879" s="11" t="str">
        <f>VLOOKUP(N879,'Mã NV'!$A$3:$B$196,2,0)</f>
        <v>BU23</v>
      </c>
      <c r="N879" s="297" t="s">
        <v>2544</v>
      </c>
      <c r="O879" s="381">
        <v>44197</v>
      </c>
      <c r="P879" s="371"/>
      <c r="Q879" s="156"/>
      <c r="R879" s="142" t="s">
        <v>272</v>
      </c>
    </row>
    <row r="880" spans="1:18" ht="35.25" hidden="1" customHeight="1">
      <c r="A880" s="15">
        <f t="shared" si="13"/>
        <v>870</v>
      </c>
      <c r="B880" s="144" t="s">
        <v>1424</v>
      </c>
      <c r="C880" s="150" t="s">
        <v>723</v>
      </c>
      <c r="D880" s="156"/>
      <c r="E880" s="156"/>
      <c r="F880" s="156"/>
      <c r="G880" s="144"/>
      <c r="H880" s="141"/>
      <c r="I880" s="144" t="s">
        <v>18</v>
      </c>
      <c r="J880" s="153">
        <v>1</v>
      </c>
      <c r="K880" s="145" t="s">
        <v>730</v>
      </c>
      <c r="L880" s="142" t="s">
        <v>191</v>
      </c>
      <c r="M880" s="11" t="str">
        <f>VLOOKUP(N880,'Mã NV'!$A$3:$B$196,2,0)</f>
        <v>BU23</v>
      </c>
      <c r="N880" s="297" t="s">
        <v>2544</v>
      </c>
      <c r="O880" s="381">
        <v>44197</v>
      </c>
      <c r="P880" s="371"/>
      <c r="Q880" s="156"/>
      <c r="R880" s="142" t="s">
        <v>272</v>
      </c>
    </row>
    <row r="881" spans="1:18" ht="35.25" hidden="1" customHeight="1">
      <c r="A881" s="15">
        <f t="shared" si="13"/>
        <v>871</v>
      </c>
      <c r="B881" s="144" t="s">
        <v>1425</v>
      </c>
      <c r="C881" s="150" t="s">
        <v>723</v>
      </c>
      <c r="D881" s="156"/>
      <c r="E881" s="156"/>
      <c r="F881" s="156"/>
      <c r="G881" s="144"/>
      <c r="H881" s="141"/>
      <c r="I881" s="144" t="s">
        <v>18</v>
      </c>
      <c r="J881" s="153">
        <v>1</v>
      </c>
      <c r="K881" s="145" t="s">
        <v>730</v>
      </c>
      <c r="L881" s="142" t="s">
        <v>191</v>
      </c>
      <c r="M881" s="11" t="str">
        <f>VLOOKUP(N881,'Mã NV'!$A$3:$B$196,2,0)</f>
        <v>BU23</v>
      </c>
      <c r="N881" s="297" t="s">
        <v>2544</v>
      </c>
      <c r="O881" s="381">
        <v>44197</v>
      </c>
      <c r="P881" s="371"/>
      <c r="Q881" s="156"/>
      <c r="R881" s="142" t="s">
        <v>272</v>
      </c>
    </row>
    <row r="882" spans="1:18" ht="35.25" hidden="1" customHeight="1">
      <c r="A882" s="15">
        <f t="shared" si="13"/>
        <v>872</v>
      </c>
      <c r="B882" s="144" t="s">
        <v>1426</v>
      </c>
      <c r="C882" s="150" t="s">
        <v>723</v>
      </c>
      <c r="D882" s="156"/>
      <c r="E882" s="156"/>
      <c r="F882" s="156"/>
      <c r="G882" s="144"/>
      <c r="H882" s="141"/>
      <c r="I882" s="144" t="s">
        <v>18</v>
      </c>
      <c r="J882" s="153">
        <v>1</v>
      </c>
      <c r="K882" s="145" t="s">
        <v>730</v>
      </c>
      <c r="L882" s="142" t="s">
        <v>191</v>
      </c>
      <c r="M882" s="11" t="str">
        <f>VLOOKUP(N882,'Mã NV'!$A$3:$B$196,2,0)</f>
        <v>BU23</v>
      </c>
      <c r="N882" s="297" t="s">
        <v>2544</v>
      </c>
      <c r="O882" s="381">
        <v>44197</v>
      </c>
      <c r="P882" s="371"/>
      <c r="Q882" s="156"/>
      <c r="R882" s="142" t="s">
        <v>272</v>
      </c>
    </row>
    <row r="883" spans="1:18" ht="35.25" hidden="1" customHeight="1">
      <c r="A883" s="15">
        <f t="shared" si="13"/>
        <v>873</v>
      </c>
      <c r="B883" s="144" t="s">
        <v>1427</v>
      </c>
      <c r="C883" s="150" t="s">
        <v>723</v>
      </c>
      <c r="D883" s="156"/>
      <c r="E883" s="156"/>
      <c r="F883" s="156"/>
      <c r="G883" s="144"/>
      <c r="H883" s="141"/>
      <c r="I883" s="144" t="s">
        <v>18</v>
      </c>
      <c r="J883" s="153">
        <v>1</v>
      </c>
      <c r="K883" s="145" t="s">
        <v>730</v>
      </c>
      <c r="L883" s="142" t="s">
        <v>191</v>
      </c>
      <c r="M883" s="11" t="str">
        <f>VLOOKUP(N883,'Mã NV'!$A$3:$B$196,2,0)</f>
        <v>BU23</v>
      </c>
      <c r="N883" s="297" t="s">
        <v>2544</v>
      </c>
      <c r="O883" s="381">
        <v>44197</v>
      </c>
      <c r="P883" s="371"/>
      <c r="Q883" s="156"/>
      <c r="R883" s="142" t="s">
        <v>272</v>
      </c>
    </row>
    <row r="884" spans="1:18" ht="35.25" hidden="1" customHeight="1">
      <c r="A884" s="15">
        <f t="shared" si="13"/>
        <v>874</v>
      </c>
      <c r="B884" s="144" t="s">
        <v>1428</v>
      </c>
      <c r="C884" s="150" t="s">
        <v>723</v>
      </c>
      <c r="D884" s="156"/>
      <c r="E884" s="156"/>
      <c r="F884" s="156"/>
      <c r="G884" s="144"/>
      <c r="H884" s="141"/>
      <c r="I884" s="144" t="s">
        <v>18</v>
      </c>
      <c r="J884" s="153">
        <v>1</v>
      </c>
      <c r="K884" s="145" t="s">
        <v>730</v>
      </c>
      <c r="L884" s="142" t="s">
        <v>191</v>
      </c>
      <c r="M884" s="11" t="str">
        <f>VLOOKUP(N884,'Mã NV'!$A$3:$B$196,2,0)</f>
        <v>BU23</v>
      </c>
      <c r="N884" s="297" t="s">
        <v>2544</v>
      </c>
      <c r="O884" s="381">
        <v>44197</v>
      </c>
      <c r="P884" s="371"/>
      <c r="Q884" s="156"/>
      <c r="R884" s="142" t="s">
        <v>272</v>
      </c>
    </row>
    <row r="885" spans="1:18" ht="35.25" hidden="1" customHeight="1">
      <c r="A885" s="15">
        <f t="shared" si="13"/>
        <v>875</v>
      </c>
      <c r="B885" s="144" t="s">
        <v>1429</v>
      </c>
      <c r="C885" s="150" t="s">
        <v>723</v>
      </c>
      <c r="D885" s="156"/>
      <c r="E885" s="156"/>
      <c r="F885" s="156"/>
      <c r="G885" s="144"/>
      <c r="H885" s="141"/>
      <c r="I885" s="144" t="s">
        <v>18</v>
      </c>
      <c r="J885" s="153">
        <v>1</v>
      </c>
      <c r="K885" s="145" t="s">
        <v>730</v>
      </c>
      <c r="L885" s="142" t="s">
        <v>191</v>
      </c>
      <c r="M885" s="11" t="str">
        <f>VLOOKUP(N885,'Mã NV'!$A$3:$B$196,2,0)</f>
        <v>BU23</v>
      </c>
      <c r="N885" s="297" t="s">
        <v>2544</v>
      </c>
      <c r="O885" s="381">
        <v>44197</v>
      </c>
      <c r="P885" s="371"/>
      <c r="Q885" s="156"/>
      <c r="R885" s="142" t="s">
        <v>272</v>
      </c>
    </row>
    <row r="886" spans="1:18" ht="35.25" hidden="1" customHeight="1">
      <c r="A886" s="15">
        <f t="shared" si="13"/>
        <v>876</v>
      </c>
      <c r="B886" s="144" t="s">
        <v>1430</v>
      </c>
      <c r="C886" s="150" t="s">
        <v>723</v>
      </c>
      <c r="D886" s="156"/>
      <c r="E886" s="156"/>
      <c r="F886" s="156"/>
      <c r="G886" s="144"/>
      <c r="H886" s="141"/>
      <c r="I886" s="144" t="s">
        <v>18</v>
      </c>
      <c r="J886" s="153">
        <v>1</v>
      </c>
      <c r="K886" s="145" t="s">
        <v>730</v>
      </c>
      <c r="L886" s="142" t="s">
        <v>191</v>
      </c>
      <c r="M886" s="11" t="str">
        <f>VLOOKUP(N886,'Mã NV'!$A$3:$B$196,2,0)</f>
        <v>BU23</v>
      </c>
      <c r="N886" s="297" t="s">
        <v>2544</v>
      </c>
      <c r="O886" s="381">
        <v>44197</v>
      </c>
      <c r="P886" s="371"/>
      <c r="Q886" s="156"/>
      <c r="R886" s="142" t="s">
        <v>272</v>
      </c>
    </row>
    <row r="887" spans="1:18" ht="35.25" hidden="1" customHeight="1">
      <c r="A887" s="15">
        <f t="shared" si="13"/>
        <v>877</v>
      </c>
      <c r="B887" s="144" t="s">
        <v>1431</v>
      </c>
      <c r="C887" s="150" t="s">
        <v>723</v>
      </c>
      <c r="D887" s="156"/>
      <c r="E887" s="156"/>
      <c r="F887" s="156"/>
      <c r="G887" s="144"/>
      <c r="H887" s="141"/>
      <c r="I887" s="144" t="s">
        <v>18</v>
      </c>
      <c r="J887" s="153">
        <v>1</v>
      </c>
      <c r="K887" s="145" t="s">
        <v>730</v>
      </c>
      <c r="L887" s="142" t="s">
        <v>191</v>
      </c>
      <c r="M887" s="11" t="str">
        <f>VLOOKUP(N887,'Mã NV'!$A$3:$B$196,2,0)</f>
        <v>BU23</v>
      </c>
      <c r="N887" s="297" t="s">
        <v>2544</v>
      </c>
      <c r="O887" s="381">
        <v>44197</v>
      </c>
      <c r="P887" s="371"/>
      <c r="Q887" s="156"/>
      <c r="R887" s="142" t="s">
        <v>272</v>
      </c>
    </row>
    <row r="888" spans="1:18" ht="35.25" hidden="1" customHeight="1">
      <c r="A888" s="15">
        <f t="shared" si="13"/>
        <v>878</v>
      </c>
      <c r="B888" s="144" t="s">
        <v>1432</v>
      </c>
      <c r="C888" s="150" t="s">
        <v>723</v>
      </c>
      <c r="D888" s="156"/>
      <c r="E888" s="156"/>
      <c r="F888" s="156"/>
      <c r="G888" s="144"/>
      <c r="H888" s="141"/>
      <c r="I888" s="144" t="s">
        <v>18</v>
      </c>
      <c r="J888" s="153">
        <v>1</v>
      </c>
      <c r="K888" s="145" t="s">
        <v>730</v>
      </c>
      <c r="L888" s="142" t="s">
        <v>191</v>
      </c>
      <c r="M888" s="11" t="str">
        <f>VLOOKUP(N888,'Mã NV'!$A$3:$B$196,2,0)</f>
        <v>BU23</v>
      </c>
      <c r="N888" s="297" t="s">
        <v>2544</v>
      </c>
      <c r="O888" s="381">
        <v>44197</v>
      </c>
      <c r="P888" s="371"/>
      <c r="Q888" s="156"/>
      <c r="R888" s="142" t="s">
        <v>272</v>
      </c>
    </row>
    <row r="889" spans="1:18" ht="35.25" hidden="1" customHeight="1">
      <c r="A889" s="15">
        <f t="shared" si="13"/>
        <v>879</v>
      </c>
      <c r="B889" s="144" t="s">
        <v>1433</v>
      </c>
      <c r="C889" s="150" t="s">
        <v>723</v>
      </c>
      <c r="D889" s="156"/>
      <c r="E889" s="156"/>
      <c r="F889" s="156"/>
      <c r="G889" s="144"/>
      <c r="H889" s="141"/>
      <c r="I889" s="144" t="s">
        <v>18</v>
      </c>
      <c r="J889" s="153">
        <v>1</v>
      </c>
      <c r="K889" s="145" t="s">
        <v>730</v>
      </c>
      <c r="L889" s="142" t="s">
        <v>191</v>
      </c>
      <c r="M889" s="11" t="str">
        <f>VLOOKUP(N889,'Mã NV'!$A$3:$B$196,2,0)</f>
        <v>BU23</v>
      </c>
      <c r="N889" s="297" t="s">
        <v>2544</v>
      </c>
      <c r="O889" s="381">
        <v>44197</v>
      </c>
      <c r="P889" s="371"/>
      <c r="Q889" s="156"/>
      <c r="R889" s="142" t="s">
        <v>272</v>
      </c>
    </row>
    <row r="890" spans="1:18" ht="35.25" hidden="1" customHeight="1">
      <c r="A890" s="15">
        <f t="shared" si="13"/>
        <v>880</v>
      </c>
      <c r="B890" s="144" t="s">
        <v>1434</v>
      </c>
      <c r="C890" s="150" t="s">
        <v>723</v>
      </c>
      <c r="D890" s="156"/>
      <c r="E890" s="156"/>
      <c r="F890" s="156"/>
      <c r="G890" s="144"/>
      <c r="H890" s="141"/>
      <c r="I890" s="144" t="s">
        <v>18</v>
      </c>
      <c r="J890" s="153">
        <v>1</v>
      </c>
      <c r="K890" s="145" t="s">
        <v>730</v>
      </c>
      <c r="L890" s="142" t="s">
        <v>191</v>
      </c>
      <c r="M890" s="11" t="str">
        <f>VLOOKUP(N890,'Mã NV'!$A$3:$B$196,2,0)</f>
        <v>BU23</v>
      </c>
      <c r="N890" s="297" t="s">
        <v>2544</v>
      </c>
      <c r="O890" s="381">
        <v>44197</v>
      </c>
      <c r="P890" s="371"/>
      <c r="Q890" s="156"/>
      <c r="R890" s="142" t="s">
        <v>272</v>
      </c>
    </row>
    <row r="891" spans="1:18" ht="35.25" hidden="1" customHeight="1">
      <c r="A891" s="15">
        <f t="shared" si="13"/>
        <v>881</v>
      </c>
      <c r="B891" s="144" t="s">
        <v>1435</v>
      </c>
      <c r="C891" s="150" t="s">
        <v>723</v>
      </c>
      <c r="D891" s="156"/>
      <c r="E891" s="156"/>
      <c r="F891" s="156"/>
      <c r="G891" s="144"/>
      <c r="H891" s="141"/>
      <c r="I891" s="144" t="s">
        <v>18</v>
      </c>
      <c r="J891" s="153">
        <v>1</v>
      </c>
      <c r="K891" s="145" t="s">
        <v>730</v>
      </c>
      <c r="L891" s="142" t="s">
        <v>191</v>
      </c>
      <c r="M891" s="11" t="str">
        <f>VLOOKUP(N891,'Mã NV'!$A$3:$B$196,2,0)</f>
        <v>BU23</v>
      </c>
      <c r="N891" s="297" t="s">
        <v>2544</v>
      </c>
      <c r="O891" s="381">
        <v>44197</v>
      </c>
      <c r="P891" s="371"/>
      <c r="Q891" s="156"/>
      <c r="R891" s="142" t="s">
        <v>272</v>
      </c>
    </row>
    <row r="892" spans="1:18" ht="35.25" hidden="1" customHeight="1">
      <c r="A892" s="15">
        <f t="shared" si="13"/>
        <v>882</v>
      </c>
      <c r="B892" s="144" t="s">
        <v>1436</v>
      </c>
      <c r="C892" s="150" t="s">
        <v>723</v>
      </c>
      <c r="D892" s="156"/>
      <c r="E892" s="156"/>
      <c r="F892" s="156"/>
      <c r="G892" s="144"/>
      <c r="H892" s="141"/>
      <c r="I892" s="144" t="s">
        <v>18</v>
      </c>
      <c r="J892" s="153">
        <v>1</v>
      </c>
      <c r="K892" s="145" t="s">
        <v>730</v>
      </c>
      <c r="L892" s="142" t="s">
        <v>191</v>
      </c>
      <c r="M892" s="11" t="str">
        <f>VLOOKUP(N892,'Mã NV'!$A$3:$B$196,2,0)</f>
        <v>BU23</v>
      </c>
      <c r="N892" s="297" t="s">
        <v>2544</v>
      </c>
      <c r="O892" s="381">
        <v>44197</v>
      </c>
      <c r="P892" s="371"/>
      <c r="Q892" s="156"/>
      <c r="R892" s="142" t="s">
        <v>272</v>
      </c>
    </row>
    <row r="893" spans="1:18" ht="35.25" hidden="1" customHeight="1">
      <c r="A893" s="15">
        <f t="shared" si="13"/>
        <v>883</v>
      </c>
      <c r="B893" s="144" t="s">
        <v>1437</v>
      </c>
      <c r="C893" s="150" t="s">
        <v>723</v>
      </c>
      <c r="D893" s="156"/>
      <c r="E893" s="156"/>
      <c r="F893" s="156"/>
      <c r="G893" s="144"/>
      <c r="H893" s="141"/>
      <c r="I893" s="144" t="s">
        <v>18</v>
      </c>
      <c r="J893" s="153">
        <v>1</v>
      </c>
      <c r="K893" s="145" t="s">
        <v>730</v>
      </c>
      <c r="L893" s="142" t="s">
        <v>191</v>
      </c>
      <c r="M893" s="11" t="str">
        <f>VLOOKUP(N893,'Mã NV'!$A$3:$B$196,2,0)</f>
        <v>BU23</v>
      </c>
      <c r="N893" s="297" t="s">
        <v>2544</v>
      </c>
      <c r="O893" s="381">
        <v>44197</v>
      </c>
      <c r="P893" s="371"/>
      <c r="Q893" s="156"/>
      <c r="R893" s="142" t="s">
        <v>272</v>
      </c>
    </row>
    <row r="894" spans="1:18" ht="35.25" hidden="1" customHeight="1">
      <c r="A894" s="15">
        <f t="shared" si="13"/>
        <v>884</v>
      </c>
      <c r="B894" s="144" t="s">
        <v>1438</v>
      </c>
      <c r="C894" s="150" t="s">
        <v>723</v>
      </c>
      <c r="D894" s="156"/>
      <c r="E894" s="156"/>
      <c r="F894" s="156"/>
      <c r="G894" s="144"/>
      <c r="H894" s="141"/>
      <c r="I894" s="144" t="s">
        <v>18</v>
      </c>
      <c r="J894" s="153">
        <v>1</v>
      </c>
      <c r="K894" s="145" t="s">
        <v>730</v>
      </c>
      <c r="L894" s="142" t="s">
        <v>191</v>
      </c>
      <c r="M894" s="11" t="str">
        <f>VLOOKUP(N894,'Mã NV'!$A$3:$B$196,2,0)</f>
        <v>BU23</v>
      </c>
      <c r="N894" s="297" t="s">
        <v>2544</v>
      </c>
      <c r="O894" s="381">
        <v>44197</v>
      </c>
      <c r="P894" s="371"/>
      <c r="Q894" s="156"/>
      <c r="R894" s="142" t="s">
        <v>272</v>
      </c>
    </row>
    <row r="895" spans="1:18" ht="35.25" hidden="1" customHeight="1">
      <c r="A895" s="15">
        <f t="shared" si="13"/>
        <v>885</v>
      </c>
      <c r="B895" s="144" t="s">
        <v>1439</v>
      </c>
      <c r="C895" s="150" t="s">
        <v>723</v>
      </c>
      <c r="D895" s="156"/>
      <c r="E895" s="156"/>
      <c r="F895" s="156"/>
      <c r="G895" s="144"/>
      <c r="H895" s="141"/>
      <c r="I895" s="144" t="s">
        <v>18</v>
      </c>
      <c r="J895" s="153">
        <v>1</v>
      </c>
      <c r="K895" s="145" t="s">
        <v>730</v>
      </c>
      <c r="L895" s="142" t="s">
        <v>191</v>
      </c>
      <c r="M895" s="11" t="str">
        <f>VLOOKUP(N895,'Mã NV'!$A$3:$B$196,2,0)</f>
        <v>BU23</v>
      </c>
      <c r="N895" s="297" t="s">
        <v>2544</v>
      </c>
      <c r="O895" s="381">
        <v>44197</v>
      </c>
      <c r="P895" s="371"/>
      <c r="Q895" s="156"/>
      <c r="R895" s="142" t="s">
        <v>272</v>
      </c>
    </row>
    <row r="896" spans="1:18" ht="35.25" hidden="1" customHeight="1">
      <c r="A896" s="15">
        <f t="shared" si="13"/>
        <v>886</v>
      </c>
      <c r="B896" s="144" t="s">
        <v>1440</v>
      </c>
      <c r="C896" s="150" t="s">
        <v>723</v>
      </c>
      <c r="D896" s="156"/>
      <c r="E896" s="156"/>
      <c r="F896" s="156"/>
      <c r="G896" s="144"/>
      <c r="H896" s="141"/>
      <c r="I896" s="144" t="s">
        <v>18</v>
      </c>
      <c r="J896" s="153">
        <v>1</v>
      </c>
      <c r="K896" s="145" t="s">
        <v>730</v>
      </c>
      <c r="L896" s="142" t="s">
        <v>191</v>
      </c>
      <c r="M896" s="11" t="str">
        <f>VLOOKUP(N896,'Mã NV'!$A$3:$B$196,2,0)</f>
        <v>BU23</v>
      </c>
      <c r="N896" s="297" t="s">
        <v>2544</v>
      </c>
      <c r="O896" s="381">
        <v>44197</v>
      </c>
      <c r="P896" s="371"/>
      <c r="Q896" s="156"/>
      <c r="R896" s="142" t="s">
        <v>272</v>
      </c>
    </row>
    <row r="897" spans="1:18" ht="35.25" hidden="1" customHeight="1">
      <c r="A897" s="15">
        <f t="shared" si="13"/>
        <v>887</v>
      </c>
      <c r="B897" s="144" t="s">
        <v>1441</v>
      </c>
      <c r="C897" s="150" t="s">
        <v>723</v>
      </c>
      <c r="D897" s="156"/>
      <c r="E897" s="156"/>
      <c r="F897" s="156"/>
      <c r="G897" s="144"/>
      <c r="H897" s="141"/>
      <c r="I897" s="144" t="s">
        <v>18</v>
      </c>
      <c r="J897" s="153">
        <v>1</v>
      </c>
      <c r="K897" s="145" t="s">
        <v>730</v>
      </c>
      <c r="L897" s="142" t="s">
        <v>191</v>
      </c>
      <c r="M897" s="11" t="str">
        <f>VLOOKUP(N897,'Mã NV'!$A$3:$B$196,2,0)</f>
        <v>BU23</v>
      </c>
      <c r="N897" s="297" t="s">
        <v>2544</v>
      </c>
      <c r="O897" s="381">
        <v>44197</v>
      </c>
      <c r="P897" s="371"/>
      <c r="Q897" s="156"/>
      <c r="R897" s="142" t="s">
        <v>272</v>
      </c>
    </row>
    <row r="898" spans="1:18" ht="35.25" hidden="1" customHeight="1">
      <c r="A898" s="15">
        <f t="shared" si="13"/>
        <v>888</v>
      </c>
      <c r="B898" s="144" t="s">
        <v>1442</v>
      </c>
      <c r="C898" s="150" t="s">
        <v>723</v>
      </c>
      <c r="D898" s="156"/>
      <c r="E898" s="156"/>
      <c r="F898" s="156"/>
      <c r="G898" s="144"/>
      <c r="H898" s="141"/>
      <c r="I898" s="144" t="s">
        <v>18</v>
      </c>
      <c r="J898" s="153">
        <v>1</v>
      </c>
      <c r="K898" s="145" t="s">
        <v>730</v>
      </c>
      <c r="L898" s="142" t="s">
        <v>191</v>
      </c>
      <c r="M898" s="11" t="str">
        <f>VLOOKUP(N898,'Mã NV'!$A$3:$B$196,2,0)</f>
        <v>BU23</v>
      </c>
      <c r="N898" s="297" t="s">
        <v>2544</v>
      </c>
      <c r="O898" s="381">
        <v>44197</v>
      </c>
      <c r="P898" s="371"/>
      <c r="Q898" s="156"/>
      <c r="R898" s="142" t="s">
        <v>272</v>
      </c>
    </row>
    <row r="899" spans="1:18" ht="35.25" hidden="1" customHeight="1">
      <c r="A899" s="15">
        <f t="shared" si="13"/>
        <v>889</v>
      </c>
      <c r="B899" s="144" t="s">
        <v>1443</v>
      </c>
      <c r="C899" s="150" t="s">
        <v>723</v>
      </c>
      <c r="D899" s="156"/>
      <c r="E899" s="156"/>
      <c r="F899" s="156"/>
      <c r="G899" s="144"/>
      <c r="H899" s="141"/>
      <c r="I899" s="144" t="s">
        <v>18</v>
      </c>
      <c r="J899" s="153">
        <v>1</v>
      </c>
      <c r="K899" s="145" t="s">
        <v>730</v>
      </c>
      <c r="L899" s="142" t="s">
        <v>191</v>
      </c>
      <c r="M899" s="11" t="str">
        <f>VLOOKUP(N899,'Mã NV'!$A$3:$B$196,2,0)</f>
        <v>BU23</v>
      </c>
      <c r="N899" s="297" t="s">
        <v>2544</v>
      </c>
      <c r="O899" s="381">
        <v>44197</v>
      </c>
      <c r="P899" s="371"/>
      <c r="Q899" s="156"/>
      <c r="R899" s="142" t="s">
        <v>272</v>
      </c>
    </row>
    <row r="900" spans="1:18" ht="35.25" hidden="1" customHeight="1">
      <c r="A900" s="15">
        <f t="shared" si="13"/>
        <v>890</v>
      </c>
      <c r="B900" s="144" t="s">
        <v>1444</v>
      </c>
      <c r="C900" s="150" t="s">
        <v>723</v>
      </c>
      <c r="D900" s="156"/>
      <c r="E900" s="156"/>
      <c r="F900" s="156"/>
      <c r="G900" s="144"/>
      <c r="H900" s="141"/>
      <c r="I900" s="144" t="s">
        <v>18</v>
      </c>
      <c r="J900" s="153">
        <v>1</v>
      </c>
      <c r="K900" s="145" t="s">
        <v>730</v>
      </c>
      <c r="L900" s="142" t="s">
        <v>191</v>
      </c>
      <c r="M900" s="11" t="str">
        <f>VLOOKUP(N900,'Mã NV'!$A$3:$B$196,2,0)</f>
        <v>BU23</v>
      </c>
      <c r="N900" s="297" t="s">
        <v>2544</v>
      </c>
      <c r="O900" s="381">
        <v>44197</v>
      </c>
      <c r="P900" s="371"/>
      <c r="Q900" s="156"/>
      <c r="R900" s="142" t="s">
        <v>272</v>
      </c>
    </row>
    <row r="901" spans="1:18" ht="35.25" hidden="1" customHeight="1">
      <c r="A901" s="15">
        <f t="shared" si="13"/>
        <v>891</v>
      </c>
      <c r="B901" s="144" t="s">
        <v>1445</v>
      </c>
      <c r="C901" s="150" t="s">
        <v>723</v>
      </c>
      <c r="D901" s="156"/>
      <c r="E901" s="156"/>
      <c r="F901" s="156"/>
      <c r="G901" s="144"/>
      <c r="H901" s="141"/>
      <c r="I901" s="144" t="s">
        <v>18</v>
      </c>
      <c r="J901" s="153">
        <v>1</v>
      </c>
      <c r="K901" s="145" t="s">
        <v>730</v>
      </c>
      <c r="L901" s="142" t="s">
        <v>191</v>
      </c>
      <c r="M901" s="11" t="str">
        <f>VLOOKUP(N901,'Mã NV'!$A$3:$B$196,2,0)</f>
        <v>BU23</v>
      </c>
      <c r="N901" s="297" t="s">
        <v>2544</v>
      </c>
      <c r="O901" s="381">
        <v>44197</v>
      </c>
      <c r="P901" s="371"/>
      <c r="Q901" s="156"/>
      <c r="R901" s="142" t="s">
        <v>272</v>
      </c>
    </row>
    <row r="902" spans="1:18" ht="35.25" hidden="1" customHeight="1">
      <c r="A902" s="15">
        <f t="shared" si="13"/>
        <v>892</v>
      </c>
      <c r="B902" s="144" t="s">
        <v>1446</v>
      </c>
      <c r="C902" s="150" t="s">
        <v>723</v>
      </c>
      <c r="D902" s="156"/>
      <c r="E902" s="156"/>
      <c r="F902" s="156"/>
      <c r="G902" s="144"/>
      <c r="H902" s="141"/>
      <c r="I902" s="144" t="s">
        <v>18</v>
      </c>
      <c r="J902" s="153">
        <v>1</v>
      </c>
      <c r="K902" s="145" t="s">
        <v>730</v>
      </c>
      <c r="L902" s="142" t="s">
        <v>191</v>
      </c>
      <c r="M902" s="11" t="str">
        <f>VLOOKUP(N902,'Mã NV'!$A$3:$B$196,2,0)</f>
        <v>BU23</v>
      </c>
      <c r="N902" s="297" t="s">
        <v>2544</v>
      </c>
      <c r="O902" s="381">
        <v>44197</v>
      </c>
      <c r="P902" s="371"/>
      <c r="Q902" s="156"/>
      <c r="R902" s="142" t="s">
        <v>272</v>
      </c>
    </row>
    <row r="903" spans="1:18" ht="35.25" hidden="1" customHeight="1">
      <c r="A903" s="15">
        <f t="shared" si="13"/>
        <v>893</v>
      </c>
      <c r="B903" s="144" t="s">
        <v>1447</v>
      </c>
      <c r="C903" s="150" t="s">
        <v>723</v>
      </c>
      <c r="D903" s="156"/>
      <c r="E903" s="156"/>
      <c r="F903" s="156"/>
      <c r="G903" s="144"/>
      <c r="H903" s="141"/>
      <c r="I903" s="144" t="s">
        <v>18</v>
      </c>
      <c r="J903" s="153">
        <v>1</v>
      </c>
      <c r="K903" s="145" t="s">
        <v>730</v>
      </c>
      <c r="L903" s="142" t="s">
        <v>191</v>
      </c>
      <c r="M903" s="11" t="str">
        <f>VLOOKUP(N903,'Mã NV'!$A$3:$B$196,2,0)</f>
        <v>BU23</v>
      </c>
      <c r="N903" s="297" t="s">
        <v>2544</v>
      </c>
      <c r="O903" s="381">
        <v>44197</v>
      </c>
      <c r="P903" s="371"/>
      <c r="Q903" s="156"/>
      <c r="R903" s="142" t="s">
        <v>272</v>
      </c>
    </row>
    <row r="904" spans="1:18" ht="35.25" hidden="1" customHeight="1">
      <c r="A904" s="15">
        <f t="shared" si="13"/>
        <v>894</v>
      </c>
      <c r="B904" s="144" t="s">
        <v>1448</v>
      </c>
      <c r="C904" s="150" t="s">
        <v>723</v>
      </c>
      <c r="D904" s="156"/>
      <c r="E904" s="156"/>
      <c r="F904" s="156"/>
      <c r="G904" s="144"/>
      <c r="H904" s="141"/>
      <c r="I904" s="144" t="s">
        <v>18</v>
      </c>
      <c r="J904" s="153">
        <v>1</v>
      </c>
      <c r="K904" s="145" t="s">
        <v>730</v>
      </c>
      <c r="L904" s="142" t="s">
        <v>191</v>
      </c>
      <c r="M904" s="11" t="str">
        <f>VLOOKUP(N904,'Mã NV'!$A$3:$B$196,2,0)</f>
        <v>BU23</v>
      </c>
      <c r="N904" s="297" t="s">
        <v>2544</v>
      </c>
      <c r="O904" s="381">
        <v>44197</v>
      </c>
      <c r="P904" s="371"/>
      <c r="Q904" s="156"/>
      <c r="R904" s="142" t="s">
        <v>272</v>
      </c>
    </row>
    <row r="905" spans="1:18" ht="35.25" hidden="1" customHeight="1">
      <c r="A905" s="15">
        <f t="shared" si="13"/>
        <v>895</v>
      </c>
      <c r="B905" s="144" t="s">
        <v>1449</v>
      </c>
      <c r="C905" s="150" t="s">
        <v>723</v>
      </c>
      <c r="D905" s="156"/>
      <c r="E905" s="156"/>
      <c r="F905" s="156"/>
      <c r="G905" s="144"/>
      <c r="H905" s="141"/>
      <c r="I905" s="144" t="s">
        <v>18</v>
      </c>
      <c r="J905" s="153">
        <v>1</v>
      </c>
      <c r="K905" s="145" t="s">
        <v>730</v>
      </c>
      <c r="L905" s="142" t="s">
        <v>191</v>
      </c>
      <c r="M905" s="11" t="str">
        <f>VLOOKUP(N905,'Mã NV'!$A$3:$B$196,2,0)</f>
        <v>BU23</v>
      </c>
      <c r="N905" s="297" t="s">
        <v>2544</v>
      </c>
      <c r="O905" s="381">
        <v>44197</v>
      </c>
      <c r="P905" s="371"/>
      <c r="Q905" s="156"/>
      <c r="R905" s="142" t="s">
        <v>272</v>
      </c>
    </row>
    <row r="906" spans="1:18" ht="35.25" hidden="1" customHeight="1">
      <c r="A906" s="15">
        <f t="shared" si="13"/>
        <v>896</v>
      </c>
      <c r="B906" s="144" t="s">
        <v>1450</v>
      </c>
      <c r="C906" s="150" t="s">
        <v>723</v>
      </c>
      <c r="D906" s="156"/>
      <c r="E906" s="156"/>
      <c r="F906" s="156"/>
      <c r="G906" s="144"/>
      <c r="H906" s="141"/>
      <c r="I906" s="144" t="s">
        <v>18</v>
      </c>
      <c r="J906" s="153">
        <v>1</v>
      </c>
      <c r="K906" s="145" t="s">
        <v>730</v>
      </c>
      <c r="L906" s="142" t="s">
        <v>191</v>
      </c>
      <c r="M906" s="11" t="str">
        <f>VLOOKUP(N906,'Mã NV'!$A$3:$B$196,2,0)</f>
        <v>BU23</v>
      </c>
      <c r="N906" s="297" t="s">
        <v>2544</v>
      </c>
      <c r="O906" s="381">
        <v>44197</v>
      </c>
      <c r="P906" s="371"/>
      <c r="Q906" s="156"/>
      <c r="R906" s="142" t="s">
        <v>272</v>
      </c>
    </row>
    <row r="907" spans="1:18" ht="35.25" hidden="1" customHeight="1">
      <c r="A907" s="15">
        <f t="shared" si="13"/>
        <v>897</v>
      </c>
      <c r="B907" s="144" t="s">
        <v>1451</v>
      </c>
      <c r="C907" s="150" t="s">
        <v>723</v>
      </c>
      <c r="D907" s="156"/>
      <c r="E907" s="156"/>
      <c r="F907" s="156"/>
      <c r="G907" s="144"/>
      <c r="H907" s="141"/>
      <c r="I907" s="144" t="s">
        <v>18</v>
      </c>
      <c r="J907" s="153">
        <v>1</v>
      </c>
      <c r="K907" s="145" t="s">
        <v>730</v>
      </c>
      <c r="L907" s="142" t="s">
        <v>191</v>
      </c>
      <c r="M907" s="11" t="str">
        <f>VLOOKUP(N907,'Mã NV'!$A$3:$B$196,2,0)</f>
        <v>BU23</v>
      </c>
      <c r="N907" s="297" t="s">
        <v>2544</v>
      </c>
      <c r="O907" s="381">
        <v>44197</v>
      </c>
      <c r="P907" s="371"/>
      <c r="Q907" s="156"/>
      <c r="R907" s="142" t="s">
        <v>272</v>
      </c>
    </row>
    <row r="908" spans="1:18" ht="35.25" hidden="1" customHeight="1">
      <c r="A908" s="15">
        <f t="shared" si="13"/>
        <v>898</v>
      </c>
      <c r="B908" s="144" t="s">
        <v>1452</v>
      </c>
      <c r="C908" s="150" t="s">
        <v>723</v>
      </c>
      <c r="D908" s="156"/>
      <c r="E908" s="156"/>
      <c r="F908" s="156"/>
      <c r="G908" s="144"/>
      <c r="H908" s="141"/>
      <c r="I908" s="144" t="s">
        <v>18</v>
      </c>
      <c r="J908" s="153">
        <v>1</v>
      </c>
      <c r="K908" s="145" t="s">
        <v>730</v>
      </c>
      <c r="L908" s="142" t="s">
        <v>191</v>
      </c>
      <c r="M908" s="11" t="str">
        <f>VLOOKUP(N908,'Mã NV'!$A$3:$B$196,2,0)</f>
        <v>BU23</v>
      </c>
      <c r="N908" s="297" t="s">
        <v>2544</v>
      </c>
      <c r="O908" s="381">
        <v>44197</v>
      </c>
      <c r="P908" s="371"/>
      <c r="Q908" s="156"/>
      <c r="R908" s="142" t="s">
        <v>272</v>
      </c>
    </row>
    <row r="909" spans="1:18" ht="35.25" hidden="1" customHeight="1">
      <c r="A909" s="15">
        <f t="shared" si="13"/>
        <v>899</v>
      </c>
      <c r="B909" s="144" t="s">
        <v>1453</v>
      </c>
      <c r="C909" s="150" t="s">
        <v>723</v>
      </c>
      <c r="D909" s="156"/>
      <c r="E909" s="156"/>
      <c r="F909" s="156"/>
      <c r="G909" s="144"/>
      <c r="H909" s="141"/>
      <c r="I909" s="144" t="s">
        <v>18</v>
      </c>
      <c r="J909" s="153">
        <v>1</v>
      </c>
      <c r="K909" s="145" t="s">
        <v>730</v>
      </c>
      <c r="L909" s="142" t="s">
        <v>191</v>
      </c>
      <c r="M909" s="11" t="str">
        <f>VLOOKUP(N909,'Mã NV'!$A$3:$B$196,2,0)</f>
        <v>BU23</v>
      </c>
      <c r="N909" s="297" t="s">
        <v>2544</v>
      </c>
      <c r="O909" s="381">
        <v>44197</v>
      </c>
      <c r="P909" s="371"/>
      <c r="Q909" s="156"/>
      <c r="R909" s="142" t="s">
        <v>272</v>
      </c>
    </row>
    <row r="910" spans="1:18" ht="35.25" hidden="1" customHeight="1">
      <c r="A910" s="15">
        <f t="shared" si="13"/>
        <v>900</v>
      </c>
      <c r="B910" s="144" t="s">
        <v>1454</v>
      </c>
      <c r="C910" s="150" t="s">
        <v>723</v>
      </c>
      <c r="D910" s="156"/>
      <c r="E910" s="156"/>
      <c r="F910" s="156"/>
      <c r="G910" s="144"/>
      <c r="H910" s="141"/>
      <c r="I910" s="144" t="s">
        <v>18</v>
      </c>
      <c r="J910" s="153">
        <v>1</v>
      </c>
      <c r="K910" s="145" t="s">
        <v>730</v>
      </c>
      <c r="L910" s="142" t="s">
        <v>191</v>
      </c>
      <c r="M910" s="11" t="str">
        <f>VLOOKUP(N910,'Mã NV'!$A$3:$B$196,2,0)</f>
        <v>BU23</v>
      </c>
      <c r="N910" s="297" t="s">
        <v>2544</v>
      </c>
      <c r="O910" s="381">
        <v>44197</v>
      </c>
      <c r="P910" s="371"/>
      <c r="Q910" s="156"/>
      <c r="R910" s="142" t="s">
        <v>272</v>
      </c>
    </row>
    <row r="911" spans="1:18" ht="35.25" hidden="1" customHeight="1">
      <c r="A911" s="15">
        <f t="shared" si="13"/>
        <v>901</v>
      </c>
      <c r="B911" s="144" t="s">
        <v>1455</v>
      </c>
      <c r="C911" s="150" t="s">
        <v>723</v>
      </c>
      <c r="D911" s="156"/>
      <c r="E911" s="156"/>
      <c r="F911" s="156"/>
      <c r="G911" s="144"/>
      <c r="H911" s="141"/>
      <c r="I911" s="144" t="s">
        <v>18</v>
      </c>
      <c r="J911" s="153">
        <v>1</v>
      </c>
      <c r="K911" s="145" t="s">
        <v>730</v>
      </c>
      <c r="L911" s="142" t="s">
        <v>191</v>
      </c>
      <c r="M911" s="11" t="str">
        <f>VLOOKUP(N911,'Mã NV'!$A$3:$B$196,2,0)</f>
        <v>BU23</v>
      </c>
      <c r="N911" s="297" t="s">
        <v>2544</v>
      </c>
      <c r="O911" s="381">
        <v>44197</v>
      </c>
      <c r="P911" s="371"/>
      <c r="Q911" s="156"/>
      <c r="R911" s="142" t="s">
        <v>272</v>
      </c>
    </row>
    <row r="912" spans="1:18" ht="35.25" hidden="1" customHeight="1">
      <c r="A912" s="15">
        <f t="shared" si="13"/>
        <v>902</v>
      </c>
      <c r="B912" s="144" t="s">
        <v>1456</v>
      </c>
      <c r="C912" s="150" t="s">
        <v>723</v>
      </c>
      <c r="D912" s="156"/>
      <c r="E912" s="156"/>
      <c r="F912" s="156"/>
      <c r="G912" s="144"/>
      <c r="H912" s="141"/>
      <c r="I912" s="144" t="s">
        <v>18</v>
      </c>
      <c r="J912" s="153">
        <v>1</v>
      </c>
      <c r="K912" s="145" t="s">
        <v>730</v>
      </c>
      <c r="L912" s="142" t="s">
        <v>191</v>
      </c>
      <c r="M912" s="11" t="str">
        <f>VLOOKUP(N912,'Mã NV'!$A$3:$B$196,2,0)</f>
        <v>BU23</v>
      </c>
      <c r="N912" s="297" t="s">
        <v>2544</v>
      </c>
      <c r="O912" s="381">
        <v>44197</v>
      </c>
      <c r="P912" s="371"/>
      <c r="Q912" s="156"/>
      <c r="R912" s="142" t="s">
        <v>272</v>
      </c>
    </row>
    <row r="913" spans="1:18" ht="35.25" hidden="1" customHeight="1">
      <c r="A913" s="15">
        <f t="shared" si="13"/>
        <v>903</v>
      </c>
      <c r="B913" s="144" t="s">
        <v>1457</v>
      </c>
      <c r="C913" s="150" t="s">
        <v>723</v>
      </c>
      <c r="D913" s="156"/>
      <c r="E913" s="156"/>
      <c r="F913" s="156"/>
      <c r="G913" s="144"/>
      <c r="H913" s="141"/>
      <c r="I913" s="144" t="s">
        <v>18</v>
      </c>
      <c r="J913" s="153">
        <v>1</v>
      </c>
      <c r="K913" s="145" t="s">
        <v>730</v>
      </c>
      <c r="L913" s="142" t="s">
        <v>191</v>
      </c>
      <c r="M913" s="11" t="str">
        <f>VLOOKUP(N913,'Mã NV'!$A$3:$B$196,2,0)</f>
        <v>BU23</v>
      </c>
      <c r="N913" s="297" t="s">
        <v>2544</v>
      </c>
      <c r="O913" s="381">
        <v>44197</v>
      </c>
      <c r="P913" s="371"/>
      <c r="Q913" s="156"/>
      <c r="R913" s="142" t="s">
        <v>272</v>
      </c>
    </row>
    <row r="914" spans="1:18" ht="35.25" hidden="1" customHeight="1">
      <c r="A914" s="15">
        <f t="shared" ref="A914:A977" si="14">A913+1</f>
        <v>904</v>
      </c>
      <c r="B914" s="144" t="s">
        <v>1458</v>
      </c>
      <c r="C914" s="150" t="s">
        <v>723</v>
      </c>
      <c r="D914" s="156"/>
      <c r="E914" s="156"/>
      <c r="F914" s="156"/>
      <c r="G914" s="144"/>
      <c r="H914" s="141"/>
      <c r="I914" s="144" t="s">
        <v>18</v>
      </c>
      <c r="J914" s="153">
        <v>1</v>
      </c>
      <c r="K914" s="145" t="s">
        <v>730</v>
      </c>
      <c r="L914" s="142" t="s">
        <v>191</v>
      </c>
      <c r="M914" s="11" t="str">
        <f>VLOOKUP(N914,'Mã NV'!$A$3:$B$196,2,0)</f>
        <v>BU23</v>
      </c>
      <c r="N914" s="297" t="s">
        <v>2544</v>
      </c>
      <c r="O914" s="381">
        <v>44197</v>
      </c>
      <c r="P914" s="371"/>
      <c r="Q914" s="156"/>
      <c r="R914" s="142" t="s">
        <v>272</v>
      </c>
    </row>
    <row r="915" spans="1:18" ht="35.25" hidden="1" customHeight="1">
      <c r="A915" s="15">
        <f t="shared" si="14"/>
        <v>905</v>
      </c>
      <c r="B915" s="144" t="s">
        <v>1459</v>
      </c>
      <c r="C915" s="150" t="s">
        <v>723</v>
      </c>
      <c r="D915" s="156"/>
      <c r="E915" s="156"/>
      <c r="F915" s="156"/>
      <c r="G915" s="144"/>
      <c r="H915" s="141"/>
      <c r="I915" s="144" t="s">
        <v>18</v>
      </c>
      <c r="J915" s="153">
        <v>1</v>
      </c>
      <c r="K915" s="145" t="s">
        <v>730</v>
      </c>
      <c r="L915" s="142" t="s">
        <v>191</v>
      </c>
      <c r="M915" s="11" t="str">
        <f>VLOOKUP(N915,'Mã NV'!$A$3:$B$196,2,0)</f>
        <v>BU23</v>
      </c>
      <c r="N915" s="297" t="s">
        <v>2544</v>
      </c>
      <c r="O915" s="381">
        <v>44197</v>
      </c>
      <c r="P915" s="371"/>
      <c r="Q915" s="156"/>
      <c r="R915" s="142" t="s">
        <v>272</v>
      </c>
    </row>
    <row r="916" spans="1:18" ht="35.25" hidden="1" customHeight="1">
      <c r="A916" s="15">
        <f t="shared" si="14"/>
        <v>906</v>
      </c>
      <c r="B916" s="144" t="s">
        <v>1460</v>
      </c>
      <c r="C916" s="150" t="s">
        <v>723</v>
      </c>
      <c r="D916" s="156"/>
      <c r="E916" s="156"/>
      <c r="F916" s="156"/>
      <c r="G916" s="144"/>
      <c r="H916" s="141"/>
      <c r="I916" s="144" t="s">
        <v>18</v>
      </c>
      <c r="J916" s="153">
        <v>1</v>
      </c>
      <c r="K916" s="145" t="s">
        <v>730</v>
      </c>
      <c r="L916" s="142" t="s">
        <v>191</v>
      </c>
      <c r="M916" s="11" t="str">
        <f>VLOOKUP(N916,'Mã NV'!$A$3:$B$196,2,0)</f>
        <v>BU23</v>
      </c>
      <c r="N916" s="297" t="s">
        <v>2544</v>
      </c>
      <c r="O916" s="381">
        <v>44197</v>
      </c>
      <c r="P916" s="371"/>
      <c r="Q916" s="156"/>
      <c r="R916" s="142" t="s">
        <v>272</v>
      </c>
    </row>
    <row r="917" spans="1:18" ht="35.25" hidden="1" customHeight="1">
      <c r="A917" s="15">
        <f t="shared" si="14"/>
        <v>907</v>
      </c>
      <c r="B917" s="144" t="s">
        <v>1461</v>
      </c>
      <c r="C917" s="150" t="s">
        <v>723</v>
      </c>
      <c r="D917" s="156"/>
      <c r="E917" s="156"/>
      <c r="F917" s="156"/>
      <c r="G917" s="144"/>
      <c r="H917" s="141"/>
      <c r="I917" s="144" t="s">
        <v>18</v>
      </c>
      <c r="J917" s="153">
        <v>1</v>
      </c>
      <c r="K917" s="145" t="s">
        <v>730</v>
      </c>
      <c r="L917" s="142" t="s">
        <v>191</v>
      </c>
      <c r="M917" s="11" t="str">
        <f>VLOOKUP(N917,'Mã NV'!$A$3:$B$196,2,0)</f>
        <v>BU23</v>
      </c>
      <c r="N917" s="297" t="s">
        <v>2544</v>
      </c>
      <c r="O917" s="381">
        <v>44197</v>
      </c>
      <c r="P917" s="371"/>
      <c r="Q917" s="156"/>
      <c r="R917" s="142" t="s">
        <v>272</v>
      </c>
    </row>
    <row r="918" spans="1:18" ht="35.25" hidden="1" customHeight="1">
      <c r="A918" s="15">
        <f t="shared" si="14"/>
        <v>908</v>
      </c>
      <c r="B918" s="144" t="s">
        <v>1462</v>
      </c>
      <c r="C918" s="150" t="s">
        <v>723</v>
      </c>
      <c r="D918" s="156"/>
      <c r="E918" s="156"/>
      <c r="F918" s="156"/>
      <c r="G918" s="144"/>
      <c r="H918" s="141"/>
      <c r="I918" s="144" t="s">
        <v>18</v>
      </c>
      <c r="J918" s="153">
        <v>1</v>
      </c>
      <c r="K918" s="145" t="s">
        <v>730</v>
      </c>
      <c r="L918" s="142" t="s">
        <v>191</v>
      </c>
      <c r="M918" s="11" t="str">
        <f>VLOOKUP(N918,'Mã NV'!$A$3:$B$196,2,0)</f>
        <v>BU23</v>
      </c>
      <c r="N918" s="297" t="s">
        <v>2544</v>
      </c>
      <c r="O918" s="381">
        <v>44197</v>
      </c>
      <c r="P918" s="371"/>
      <c r="Q918" s="156"/>
      <c r="R918" s="142" t="s">
        <v>272</v>
      </c>
    </row>
    <row r="919" spans="1:18" ht="35.25" hidden="1" customHeight="1">
      <c r="A919" s="15">
        <f t="shared" si="14"/>
        <v>909</v>
      </c>
      <c r="B919" s="144" t="s">
        <v>1463</v>
      </c>
      <c r="C919" s="150" t="s">
        <v>723</v>
      </c>
      <c r="D919" s="156"/>
      <c r="E919" s="156"/>
      <c r="F919" s="156"/>
      <c r="G919" s="144"/>
      <c r="H919" s="141"/>
      <c r="I919" s="144" t="s">
        <v>18</v>
      </c>
      <c r="J919" s="153">
        <v>1</v>
      </c>
      <c r="K919" s="145" t="s">
        <v>730</v>
      </c>
      <c r="L919" s="142" t="s">
        <v>191</v>
      </c>
      <c r="M919" s="11" t="str">
        <f>VLOOKUP(N919,'Mã NV'!$A$3:$B$196,2,0)</f>
        <v>BU23</v>
      </c>
      <c r="N919" s="297" t="s">
        <v>2544</v>
      </c>
      <c r="O919" s="381">
        <v>44197</v>
      </c>
      <c r="P919" s="371"/>
      <c r="Q919" s="156"/>
      <c r="R919" s="142" t="s">
        <v>272</v>
      </c>
    </row>
    <row r="920" spans="1:18" ht="35.25" hidden="1" customHeight="1">
      <c r="A920" s="15">
        <f t="shared" si="14"/>
        <v>910</v>
      </c>
      <c r="B920" s="144" t="s">
        <v>1464</v>
      </c>
      <c r="C920" s="150" t="s">
        <v>723</v>
      </c>
      <c r="D920" s="156"/>
      <c r="E920" s="156"/>
      <c r="F920" s="156"/>
      <c r="G920" s="144"/>
      <c r="H920" s="141"/>
      <c r="I920" s="144" t="s">
        <v>18</v>
      </c>
      <c r="J920" s="153">
        <v>1</v>
      </c>
      <c r="K920" s="145" t="s">
        <v>730</v>
      </c>
      <c r="L920" s="142" t="s">
        <v>191</v>
      </c>
      <c r="M920" s="11" t="str">
        <f>VLOOKUP(N920,'Mã NV'!$A$3:$B$196,2,0)</f>
        <v>BU23</v>
      </c>
      <c r="N920" s="297" t="s">
        <v>2544</v>
      </c>
      <c r="O920" s="381">
        <v>44197</v>
      </c>
      <c r="P920" s="371"/>
      <c r="Q920" s="156"/>
      <c r="R920" s="142" t="s">
        <v>272</v>
      </c>
    </row>
    <row r="921" spans="1:18" ht="35.25" hidden="1" customHeight="1">
      <c r="A921" s="15">
        <f t="shared" si="14"/>
        <v>911</v>
      </c>
      <c r="B921" s="144" t="s">
        <v>1465</v>
      </c>
      <c r="C921" s="150" t="s">
        <v>723</v>
      </c>
      <c r="D921" s="156"/>
      <c r="E921" s="156"/>
      <c r="F921" s="156"/>
      <c r="G921" s="144"/>
      <c r="H921" s="141"/>
      <c r="I921" s="144" t="s">
        <v>18</v>
      </c>
      <c r="J921" s="153">
        <v>1</v>
      </c>
      <c r="K921" s="145" t="s">
        <v>730</v>
      </c>
      <c r="L921" s="142" t="s">
        <v>191</v>
      </c>
      <c r="M921" s="11" t="str">
        <f>VLOOKUP(N921,'Mã NV'!$A$3:$B$196,2,0)</f>
        <v>BU23</v>
      </c>
      <c r="N921" s="297" t="s">
        <v>2544</v>
      </c>
      <c r="O921" s="381">
        <v>44197</v>
      </c>
      <c r="P921" s="371"/>
      <c r="Q921" s="156"/>
      <c r="R921" s="142" t="s">
        <v>272</v>
      </c>
    </row>
    <row r="922" spans="1:18" ht="35.25" hidden="1" customHeight="1">
      <c r="A922" s="15">
        <f t="shared" si="14"/>
        <v>912</v>
      </c>
      <c r="B922" s="144" t="s">
        <v>1466</v>
      </c>
      <c r="C922" s="150" t="s">
        <v>723</v>
      </c>
      <c r="D922" s="156"/>
      <c r="E922" s="156"/>
      <c r="F922" s="156"/>
      <c r="G922" s="144"/>
      <c r="H922" s="141"/>
      <c r="I922" s="144" t="s">
        <v>18</v>
      </c>
      <c r="J922" s="153">
        <v>1</v>
      </c>
      <c r="K922" s="145" t="s">
        <v>730</v>
      </c>
      <c r="L922" s="142" t="s">
        <v>191</v>
      </c>
      <c r="M922" s="11" t="str">
        <f>VLOOKUP(N922,'Mã NV'!$A$3:$B$196,2,0)</f>
        <v>BU23</v>
      </c>
      <c r="N922" s="297" t="s">
        <v>2544</v>
      </c>
      <c r="O922" s="381">
        <v>44197</v>
      </c>
      <c r="P922" s="371"/>
      <c r="Q922" s="156"/>
      <c r="R922" s="142" t="s">
        <v>272</v>
      </c>
    </row>
    <row r="923" spans="1:18" ht="35.25" hidden="1" customHeight="1">
      <c r="A923" s="15">
        <f t="shared" si="14"/>
        <v>913</v>
      </c>
      <c r="B923" s="144" t="s">
        <v>1467</v>
      </c>
      <c r="C923" s="150" t="s">
        <v>723</v>
      </c>
      <c r="D923" s="156"/>
      <c r="E923" s="156"/>
      <c r="F923" s="156"/>
      <c r="G923" s="144"/>
      <c r="H923" s="141"/>
      <c r="I923" s="144" t="s">
        <v>18</v>
      </c>
      <c r="J923" s="153">
        <v>1</v>
      </c>
      <c r="K923" s="145" t="s">
        <v>730</v>
      </c>
      <c r="L923" s="142" t="s">
        <v>191</v>
      </c>
      <c r="M923" s="11" t="str">
        <f>VLOOKUP(N923,'Mã NV'!$A$3:$B$196,2,0)</f>
        <v>BU23</v>
      </c>
      <c r="N923" s="297" t="s">
        <v>2544</v>
      </c>
      <c r="O923" s="381">
        <v>44197</v>
      </c>
      <c r="P923" s="371"/>
      <c r="Q923" s="156"/>
      <c r="R923" s="142" t="s">
        <v>272</v>
      </c>
    </row>
    <row r="924" spans="1:18" ht="35.25" hidden="1" customHeight="1">
      <c r="A924" s="15">
        <f t="shared" si="14"/>
        <v>914</v>
      </c>
      <c r="B924" s="144" t="s">
        <v>1468</v>
      </c>
      <c r="C924" s="150" t="s">
        <v>723</v>
      </c>
      <c r="D924" s="156"/>
      <c r="E924" s="156"/>
      <c r="F924" s="156"/>
      <c r="G924" s="144"/>
      <c r="H924" s="141"/>
      <c r="I924" s="144" t="s">
        <v>18</v>
      </c>
      <c r="J924" s="153">
        <v>1</v>
      </c>
      <c r="K924" s="145" t="s">
        <v>730</v>
      </c>
      <c r="L924" s="142" t="s">
        <v>191</v>
      </c>
      <c r="M924" s="11" t="str">
        <f>VLOOKUP(N924,'Mã NV'!$A$3:$B$196,2,0)</f>
        <v>BU23</v>
      </c>
      <c r="N924" s="297" t="s">
        <v>2544</v>
      </c>
      <c r="O924" s="381">
        <v>44197</v>
      </c>
      <c r="P924" s="371"/>
      <c r="Q924" s="156"/>
      <c r="R924" s="142" t="s">
        <v>272</v>
      </c>
    </row>
    <row r="925" spans="1:18" ht="35.25" hidden="1" customHeight="1">
      <c r="A925" s="15">
        <f t="shared" si="14"/>
        <v>915</v>
      </c>
      <c r="B925" s="144" t="s">
        <v>1469</v>
      </c>
      <c r="C925" s="150" t="s">
        <v>723</v>
      </c>
      <c r="D925" s="156"/>
      <c r="E925" s="156"/>
      <c r="F925" s="156"/>
      <c r="G925" s="144"/>
      <c r="H925" s="141"/>
      <c r="I925" s="144" t="s">
        <v>18</v>
      </c>
      <c r="J925" s="153">
        <v>1</v>
      </c>
      <c r="K925" s="145" t="s">
        <v>730</v>
      </c>
      <c r="L925" s="142" t="s">
        <v>191</v>
      </c>
      <c r="M925" s="11" t="str">
        <f>VLOOKUP(N925,'Mã NV'!$A$3:$B$196,2,0)</f>
        <v>BU23</v>
      </c>
      <c r="N925" s="297" t="s">
        <v>2544</v>
      </c>
      <c r="O925" s="381">
        <v>44197</v>
      </c>
      <c r="P925" s="371"/>
      <c r="Q925" s="156"/>
      <c r="R925" s="142" t="s">
        <v>272</v>
      </c>
    </row>
    <row r="926" spans="1:18" ht="35.25" hidden="1" customHeight="1">
      <c r="A926" s="15">
        <f t="shared" si="14"/>
        <v>916</v>
      </c>
      <c r="B926" s="144" t="s">
        <v>1470</v>
      </c>
      <c r="C926" s="150" t="s">
        <v>723</v>
      </c>
      <c r="D926" s="156"/>
      <c r="E926" s="156"/>
      <c r="F926" s="156"/>
      <c r="G926" s="144"/>
      <c r="H926" s="141"/>
      <c r="I926" s="144" t="s">
        <v>18</v>
      </c>
      <c r="J926" s="153">
        <v>1</v>
      </c>
      <c r="K926" s="145" t="s">
        <v>730</v>
      </c>
      <c r="L926" s="142" t="s">
        <v>191</v>
      </c>
      <c r="M926" s="11" t="str">
        <f>VLOOKUP(N926,'Mã NV'!$A$3:$B$196,2,0)</f>
        <v>BU23</v>
      </c>
      <c r="N926" s="297" t="s">
        <v>2544</v>
      </c>
      <c r="O926" s="381">
        <v>44197</v>
      </c>
      <c r="P926" s="371"/>
      <c r="Q926" s="184"/>
      <c r="R926" s="142" t="s">
        <v>272</v>
      </c>
    </row>
    <row r="927" spans="1:18" ht="35.25" hidden="1" customHeight="1">
      <c r="A927" s="15">
        <f t="shared" si="14"/>
        <v>917</v>
      </c>
      <c r="B927" s="144" t="s">
        <v>1471</v>
      </c>
      <c r="C927" s="150" t="s">
        <v>723</v>
      </c>
      <c r="D927" s="156"/>
      <c r="E927" s="156"/>
      <c r="F927" s="156"/>
      <c r="G927" s="144"/>
      <c r="H927" s="141"/>
      <c r="I927" s="144" t="s">
        <v>18</v>
      </c>
      <c r="J927" s="153">
        <v>1</v>
      </c>
      <c r="K927" s="145" t="s">
        <v>730</v>
      </c>
      <c r="L927" s="142" t="s">
        <v>191</v>
      </c>
      <c r="M927" s="11" t="str">
        <f>VLOOKUP(N927,'Mã NV'!$A$3:$B$196,2,0)</f>
        <v>BU23</v>
      </c>
      <c r="N927" s="297" t="s">
        <v>2544</v>
      </c>
      <c r="O927" s="381">
        <v>44197</v>
      </c>
      <c r="P927" s="371"/>
      <c r="Q927" s="184"/>
      <c r="R927" s="142" t="s">
        <v>272</v>
      </c>
    </row>
    <row r="928" spans="1:18" ht="35.25" hidden="1" customHeight="1">
      <c r="A928" s="15">
        <f t="shared" si="14"/>
        <v>918</v>
      </c>
      <c r="B928" s="144" t="s">
        <v>1472</v>
      </c>
      <c r="C928" s="150" t="s">
        <v>723</v>
      </c>
      <c r="D928" s="156"/>
      <c r="E928" s="156"/>
      <c r="F928" s="156"/>
      <c r="G928" s="144"/>
      <c r="H928" s="141"/>
      <c r="I928" s="144" t="s">
        <v>18</v>
      </c>
      <c r="J928" s="153">
        <v>1</v>
      </c>
      <c r="K928" s="145" t="s">
        <v>730</v>
      </c>
      <c r="L928" s="142" t="s">
        <v>191</v>
      </c>
      <c r="M928" s="11" t="str">
        <f>VLOOKUP(N928,'Mã NV'!$A$3:$B$196,2,0)</f>
        <v>BU23</v>
      </c>
      <c r="N928" s="297" t="s">
        <v>2544</v>
      </c>
      <c r="O928" s="381">
        <v>44197</v>
      </c>
      <c r="P928" s="371"/>
      <c r="Q928" s="184"/>
      <c r="R928" s="142" t="s">
        <v>272</v>
      </c>
    </row>
    <row r="929" spans="1:39" ht="35.25" hidden="1" customHeight="1">
      <c r="A929" s="15">
        <f t="shared" si="14"/>
        <v>919</v>
      </c>
      <c r="B929" s="144" t="s">
        <v>1473</v>
      </c>
      <c r="C929" s="150" t="s">
        <v>723</v>
      </c>
      <c r="D929" s="156"/>
      <c r="E929" s="156"/>
      <c r="F929" s="156"/>
      <c r="G929" s="144"/>
      <c r="H929" s="141"/>
      <c r="I929" s="144" t="s">
        <v>18</v>
      </c>
      <c r="J929" s="153">
        <v>1</v>
      </c>
      <c r="K929" s="145" t="s">
        <v>730</v>
      </c>
      <c r="L929" s="142" t="s">
        <v>191</v>
      </c>
      <c r="M929" s="11" t="str">
        <f>VLOOKUP(N929,'Mã NV'!$A$3:$B$196,2,0)</f>
        <v>BU23</v>
      </c>
      <c r="N929" s="297" t="s">
        <v>2544</v>
      </c>
      <c r="O929" s="381">
        <v>44197</v>
      </c>
      <c r="P929" s="371"/>
      <c r="Q929" s="184"/>
      <c r="R929" s="142" t="s">
        <v>272</v>
      </c>
    </row>
    <row r="930" spans="1:39" ht="35.25" hidden="1" customHeight="1">
      <c r="A930" s="15">
        <f t="shared" si="14"/>
        <v>920</v>
      </c>
      <c r="B930" s="144" t="s">
        <v>1474</v>
      </c>
      <c r="C930" s="150" t="s">
        <v>723</v>
      </c>
      <c r="D930" s="156"/>
      <c r="E930" s="156"/>
      <c r="F930" s="156"/>
      <c r="G930" s="144"/>
      <c r="H930" s="141"/>
      <c r="I930" s="144" t="s">
        <v>18</v>
      </c>
      <c r="J930" s="153">
        <v>1</v>
      </c>
      <c r="K930" s="145" t="s">
        <v>730</v>
      </c>
      <c r="L930" s="142" t="s">
        <v>191</v>
      </c>
      <c r="M930" s="11" t="str">
        <f>VLOOKUP(N930,'Mã NV'!$A$3:$B$196,2,0)</f>
        <v>BU23</v>
      </c>
      <c r="N930" s="297" t="s">
        <v>2544</v>
      </c>
      <c r="O930" s="381">
        <v>44197</v>
      </c>
      <c r="P930" s="371"/>
      <c r="Q930" s="184"/>
      <c r="R930" s="142" t="s">
        <v>272</v>
      </c>
    </row>
    <row r="931" spans="1:39" s="136" customFormat="1" ht="35.25" hidden="1" customHeight="1">
      <c r="A931" s="15">
        <f t="shared" si="14"/>
        <v>921</v>
      </c>
      <c r="B931" s="144" t="s">
        <v>1475</v>
      </c>
      <c r="C931" s="150" t="s">
        <v>723</v>
      </c>
      <c r="D931" s="156"/>
      <c r="E931" s="156"/>
      <c r="F931" s="156"/>
      <c r="G931" s="144"/>
      <c r="H931" s="141"/>
      <c r="I931" s="144" t="s">
        <v>18</v>
      </c>
      <c r="J931" s="153">
        <v>1</v>
      </c>
      <c r="K931" s="145" t="s">
        <v>730</v>
      </c>
      <c r="L931" s="142" t="s">
        <v>191</v>
      </c>
      <c r="M931" s="11" t="str">
        <f>VLOOKUP(N931,'Mã NV'!$A$3:$B$196,2,0)</f>
        <v>BU23</v>
      </c>
      <c r="N931" s="297" t="s">
        <v>2544</v>
      </c>
      <c r="O931" s="381">
        <v>44197</v>
      </c>
      <c r="P931" s="371"/>
      <c r="Q931" s="156"/>
      <c r="R931" s="142" t="s">
        <v>272</v>
      </c>
      <c r="S931"/>
      <c r="T931"/>
      <c r="U931"/>
      <c r="V931"/>
      <c r="W931"/>
      <c r="X931"/>
      <c r="Y931"/>
      <c r="Z931"/>
      <c r="AA931"/>
      <c r="AB931"/>
      <c r="AC931"/>
      <c r="AD931"/>
      <c r="AE931"/>
      <c r="AF931"/>
      <c r="AG931"/>
      <c r="AH931"/>
      <c r="AI931"/>
      <c r="AJ931"/>
      <c r="AK931"/>
      <c r="AL931"/>
      <c r="AM931"/>
    </row>
    <row r="932" spans="1:39" s="136" customFormat="1" ht="35.25" hidden="1" customHeight="1">
      <c r="A932" s="15">
        <f t="shared" si="14"/>
        <v>922</v>
      </c>
      <c r="B932" s="144" t="s">
        <v>1476</v>
      </c>
      <c r="C932" s="150" t="s">
        <v>723</v>
      </c>
      <c r="D932" s="156"/>
      <c r="E932" s="156"/>
      <c r="F932" s="156"/>
      <c r="G932" s="144"/>
      <c r="H932" s="141"/>
      <c r="I932" s="144" t="s">
        <v>18</v>
      </c>
      <c r="J932" s="153">
        <v>1</v>
      </c>
      <c r="K932" s="145" t="s">
        <v>730</v>
      </c>
      <c r="L932" s="142" t="s">
        <v>191</v>
      </c>
      <c r="M932" s="11" t="str">
        <f>VLOOKUP(N932,'Mã NV'!$A$3:$B$196,2,0)</f>
        <v>BU23</v>
      </c>
      <c r="N932" s="297" t="s">
        <v>2544</v>
      </c>
      <c r="O932" s="381">
        <v>44197</v>
      </c>
      <c r="P932" s="371"/>
      <c r="Q932" s="156"/>
      <c r="R932" s="142" t="s">
        <v>272</v>
      </c>
      <c r="S932"/>
      <c r="T932"/>
      <c r="U932"/>
      <c r="V932"/>
      <c r="W932"/>
      <c r="X932"/>
      <c r="Y932"/>
      <c r="Z932"/>
      <c r="AA932"/>
      <c r="AB932"/>
      <c r="AC932"/>
      <c r="AD932"/>
      <c r="AE932"/>
      <c r="AF932"/>
      <c r="AG932"/>
      <c r="AH932"/>
      <c r="AI932"/>
      <c r="AJ932"/>
      <c r="AK932"/>
      <c r="AL932"/>
      <c r="AM932"/>
    </row>
    <row r="933" spans="1:39" s="136" customFormat="1" ht="35.25" hidden="1" customHeight="1">
      <c r="A933" s="15">
        <f t="shared" si="14"/>
        <v>923</v>
      </c>
      <c r="B933" s="144" t="s">
        <v>1477</v>
      </c>
      <c r="C933" s="150" t="s">
        <v>723</v>
      </c>
      <c r="D933" s="156"/>
      <c r="E933" s="156"/>
      <c r="F933" s="156"/>
      <c r="G933" s="144"/>
      <c r="H933" s="141"/>
      <c r="I933" s="144" t="s">
        <v>18</v>
      </c>
      <c r="J933" s="153">
        <v>1</v>
      </c>
      <c r="K933" s="145" t="s">
        <v>730</v>
      </c>
      <c r="L933" s="142" t="s">
        <v>191</v>
      </c>
      <c r="M933" s="11" t="str">
        <f>VLOOKUP(N933,'Mã NV'!$A$3:$B$196,2,0)</f>
        <v>BU23</v>
      </c>
      <c r="N933" s="297" t="s">
        <v>2544</v>
      </c>
      <c r="O933" s="381">
        <v>44197</v>
      </c>
      <c r="P933" s="371"/>
      <c r="Q933" s="156"/>
      <c r="R933" s="142" t="s">
        <v>272</v>
      </c>
      <c r="S933"/>
      <c r="T933"/>
      <c r="U933"/>
      <c r="V933"/>
      <c r="W933"/>
      <c r="X933"/>
      <c r="Y933"/>
      <c r="Z933"/>
      <c r="AA933"/>
      <c r="AB933"/>
      <c r="AC933"/>
      <c r="AD933"/>
      <c r="AE933"/>
      <c r="AF933"/>
      <c r="AG933"/>
      <c r="AH933"/>
      <c r="AI933"/>
      <c r="AJ933"/>
      <c r="AK933"/>
      <c r="AL933"/>
      <c r="AM933"/>
    </row>
    <row r="934" spans="1:39" s="136" customFormat="1" ht="35.25" hidden="1" customHeight="1">
      <c r="A934" s="15">
        <f t="shared" si="14"/>
        <v>924</v>
      </c>
      <c r="B934" s="144" t="s">
        <v>1478</v>
      </c>
      <c r="C934" s="150" t="s">
        <v>723</v>
      </c>
      <c r="D934" s="156"/>
      <c r="E934" s="156"/>
      <c r="F934" s="156"/>
      <c r="G934" s="144"/>
      <c r="H934" s="141"/>
      <c r="I934" s="144" t="s">
        <v>18</v>
      </c>
      <c r="J934" s="153">
        <v>1</v>
      </c>
      <c r="K934" s="145" t="s">
        <v>730</v>
      </c>
      <c r="L934" s="142" t="s">
        <v>191</v>
      </c>
      <c r="M934" s="11" t="str">
        <f>VLOOKUP(N934,'Mã NV'!$A$3:$B$196,2,0)</f>
        <v>BU23</v>
      </c>
      <c r="N934" s="297" t="s">
        <v>2544</v>
      </c>
      <c r="O934" s="381">
        <v>44197</v>
      </c>
      <c r="P934" s="371"/>
      <c r="Q934" s="156"/>
      <c r="R934" s="142" t="s">
        <v>272</v>
      </c>
      <c r="S934"/>
      <c r="T934"/>
      <c r="U934"/>
      <c r="V934"/>
      <c r="W934"/>
      <c r="X934"/>
      <c r="Y934"/>
      <c r="Z934"/>
      <c r="AA934"/>
      <c r="AB934"/>
      <c r="AC934"/>
      <c r="AD934"/>
      <c r="AE934"/>
      <c r="AF934"/>
      <c r="AG934"/>
      <c r="AH934"/>
      <c r="AI934"/>
      <c r="AJ934"/>
      <c r="AK934"/>
      <c r="AL934"/>
      <c r="AM934"/>
    </row>
    <row r="935" spans="1:39" s="136" customFormat="1" ht="35.25" hidden="1" customHeight="1">
      <c r="A935" s="15">
        <f t="shared" si="14"/>
        <v>925</v>
      </c>
      <c r="B935" s="144" t="s">
        <v>1479</v>
      </c>
      <c r="C935" s="150" t="s">
        <v>723</v>
      </c>
      <c r="D935" s="156"/>
      <c r="E935" s="156"/>
      <c r="F935" s="156"/>
      <c r="G935" s="144"/>
      <c r="H935" s="141"/>
      <c r="I935" s="144" t="s">
        <v>18</v>
      </c>
      <c r="J935" s="153">
        <v>1</v>
      </c>
      <c r="K935" s="145" t="s">
        <v>730</v>
      </c>
      <c r="L935" s="142" t="s">
        <v>191</v>
      </c>
      <c r="M935" s="11" t="str">
        <f>VLOOKUP(N935,'Mã NV'!$A$3:$B$196,2,0)</f>
        <v>BU23</v>
      </c>
      <c r="N935" s="297" t="s">
        <v>2544</v>
      </c>
      <c r="O935" s="381">
        <v>44197</v>
      </c>
      <c r="P935" s="371"/>
      <c r="Q935" s="156"/>
      <c r="R935" s="142" t="s">
        <v>272</v>
      </c>
      <c r="S935"/>
      <c r="T935"/>
      <c r="U935"/>
      <c r="V935"/>
      <c r="W935"/>
      <c r="X935"/>
      <c r="Y935"/>
      <c r="Z935"/>
      <c r="AA935"/>
      <c r="AB935"/>
      <c r="AC935"/>
      <c r="AD935"/>
      <c r="AE935"/>
      <c r="AF935"/>
      <c r="AG935"/>
      <c r="AH935"/>
      <c r="AI935"/>
      <c r="AJ935"/>
      <c r="AK935"/>
      <c r="AL935"/>
      <c r="AM935"/>
    </row>
    <row r="936" spans="1:39" s="136" customFormat="1" ht="35.25" hidden="1" customHeight="1">
      <c r="A936" s="15">
        <f t="shared" si="14"/>
        <v>926</v>
      </c>
      <c r="B936" s="144" t="s">
        <v>1480</v>
      </c>
      <c r="C936" s="150" t="s">
        <v>723</v>
      </c>
      <c r="D936" s="156"/>
      <c r="E936" s="156"/>
      <c r="F936" s="156"/>
      <c r="G936" s="144"/>
      <c r="H936" s="141"/>
      <c r="I936" s="144" t="s">
        <v>18</v>
      </c>
      <c r="J936" s="153">
        <v>1</v>
      </c>
      <c r="K936" s="145" t="s">
        <v>730</v>
      </c>
      <c r="L936" s="142" t="s">
        <v>191</v>
      </c>
      <c r="M936" s="11" t="str">
        <f>VLOOKUP(N936,'Mã NV'!$A$3:$B$196,2,0)</f>
        <v>BU23</v>
      </c>
      <c r="N936" s="297" t="s">
        <v>2544</v>
      </c>
      <c r="O936" s="381">
        <v>44197</v>
      </c>
      <c r="P936" s="371"/>
      <c r="Q936" s="156"/>
      <c r="R936" s="142" t="s">
        <v>272</v>
      </c>
      <c r="S936"/>
      <c r="T936"/>
      <c r="U936"/>
      <c r="V936"/>
      <c r="W936"/>
      <c r="X936"/>
      <c r="Y936"/>
      <c r="Z936"/>
      <c r="AA936"/>
      <c r="AB936"/>
      <c r="AC936"/>
      <c r="AD936"/>
      <c r="AE936"/>
      <c r="AF936"/>
      <c r="AG936"/>
      <c r="AH936"/>
      <c r="AI936"/>
      <c r="AJ936"/>
      <c r="AK936"/>
      <c r="AL936"/>
      <c r="AM936"/>
    </row>
    <row r="937" spans="1:39" ht="35.25" hidden="1" customHeight="1">
      <c r="A937" s="15">
        <f t="shared" si="14"/>
        <v>927</v>
      </c>
      <c r="B937" s="144" t="s">
        <v>1481</v>
      </c>
      <c r="C937" s="150" t="s">
        <v>723</v>
      </c>
      <c r="D937" s="156"/>
      <c r="E937" s="156"/>
      <c r="F937" s="156"/>
      <c r="G937" s="144"/>
      <c r="H937" s="141"/>
      <c r="I937" s="144" t="s">
        <v>18</v>
      </c>
      <c r="J937" s="153">
        <v>1</v>
      </c>
      <c r="K937" s="145" t="s">
        <v>730</v>
      </c>
      <c r="L937" s="142" t="s">
        <v>191</v>
      </c>
      <c r="M937" s="11" t="str">
        <f>VLOOKUP(N937,'Mã NV'!$A$3:$B$196,2,0)</f>
        <v>BU23</v>
      </c>
      <c r="N937" s="297" t="s">
        <v>2544</v>
      </c>
      <c r="O937" s="381">
        <v>44197</v>
      </c>
      <c r="P937" s="371"/>
      <c r="Q937" s="156"/>
      <c r="R937" s="142" t="s">
        <v>272</v>
      </c>
    </row>
    <row r="938" spans="1:39" ht="35.25" hidden="1" customHeight="1">
      <c r="A938" s="15">
        <f t="shared" si="14"/>
        <v>928</v>
      </c>
      <c r="B938" s="144" t="s">
        <v>1482</v>
      </c>
      <c r="C938" s="150" t="s">
        <v>723</v>
      </c>
      <c r="D938" s="156"/>
      <c r="E938" s="156"/>
      <c r="F938" s="156"/>
      <c r="G938" s="144"/>
      <c r="H938" s="141"/>
      <c r="I938" s="144" t="s">
        <v>18</v>
      </c>
      <c r="J938" s="153">
        <v>1</v>
      </c>
      <c r="K938" s="145" t="s">
        <v>730</v>
      </c>
      <c r="L938" s="142" t="s">
        <v>191</v>
      </c>
      <c r="M938" s="11" t="str">
        <f>VLOOKUP(N938,'Mã NV'!$A$3:$B$196,2,0)</f>
        <v>BU23</v>
      </c>
      <c r="N938" s="297" t="s">
        <v>2544</v>
      </c>
      <c r="O938" s="381">
        <v>44197</v>
      </c>
      <c r="P938" s="371"/>
      <c r="Q938" s="156"/>
      <c r="R938" s="142" t="s">
        <v>272</v>
      </c>
    </row>
    <row r="939" spans="1:39" ht="35.25" hidden="1" customHeight="1">
      <c r="A939" s="15">
        <f t="shared" si="14"/>
        <v>929</v>
      </c>
      <c r="B939" s="144" t="s">
        <v>1483</v>
      </c>
      <c r="C939" s="150" t="s">
        <v>723</v>
      </c>
      <c r="D939" s="156"/>
      <c r="E939" s="156"/>
      <c r="F939" s="156"/>
      <c r="G939" s="144"/>
      <c r="H939" s="141"/>
      <c r="I939" s="144" t="s">
        <v>18</v>
      </c>
      <c r="J939" s="153">
        <v>1</v>
      </c>
      <c r="K939" s="145" t="s">
        <v>730</v>
      </c>
      <c r="L939" s="142" t="s">
        <v>191</v>
      </c>
      <c r="M939" s="11" t="str">
        <f>VLOOKUP(N939,'Mã NV'!$A$3:$B$196,2,0)</f>
        <v>BU23</v>
      </c>
      <c r="N939" s="297" t="s">
        <v>2544</v>
      </c>
      <c r="O939" s="381">
        <v>44197</v>
      </c>
      <c r="P939" s="371"/>
      <c r="Q939" s="156"/>
      <c r="R939" s="142" t="s">
        <v>272</v>
      </c>
    </row>
    <row r="940" spans="1:39" ht="35.25" hidden="1" customHeight="1">
      <c r="A940" s="15">
        <f t="shared" si="14"/>
        <v>930</v>
      </c>
      <c r="B940" s="144" t="s">
        <v>1484</v>
      </c>
      <c r="C940" s="150" t="s">
        <v>723</v>
      </c>
      <c r="D940" s="156"/>
      <c r="E940" s="156"/>
      <c r="F940" s="156"/>
      <c r="G940" s="144"/>
      <c r="H940" s="141"/>
      <c r="I940" s="144" t="s">
        <v>18</v>
      </c>
      <c r="J940" s="153">
        <v>1</v>
      </c>
      <c r="K940" s="145" t="s">
        <v>730</v>
      </c>
      <c r="L940" s="142" t="s">
        <v>191</v>
      </c>
      <c r="M940" s="11" t="str">
        <f>VLOOKUP(N940,'Mã NV'!$A$3:$B$196,2,0)</f>
        <v>BU23</v>
      </c>
      <c r="N940" s="297" t="s">
        <v>2544</v>
      </c>
      <c r="O940" s="381">
        <v>44197</v>
      </c>
      <c r="P940" s="371"/>
      <c r="Q940" s="156"/>
      <c r="R940" s="142" t="s">
        <v>272</v>
      </c>
    </row>
    <row r="941" spans="1:39" ht="35.25" hidden="1" customHeight="1">
      <c r="A941" s="15">
        <f t="shared" si="14"/>
        <v>931</v>
      </c>
      <c r="B941" s="144" t="s">
        <v>1485</v>
      </c>
      <c r="C941" s="150" t="s">
        <v>723</v>
      </c>
      <c r="D941" s="156"/>
      <c r="E941" s="156"/>
      <c r="F941" s="156"/>
      <c r="G941" s="144"/>
      <c r="H941" s="141"/>
      <c r="I941" s="144" t="s">
        <v>18</v>
      </c>
      <c r="J941" s="153">
        <v>1</v>
      </c>
      <c r="K941" s="145" t="s">
        <v>730</v>
      </c>
      <c r="L941" s="142" t="s">
        <v>191</v>
      </c>
      <c r="M941" s="11" t="str">
        <f>VLOOKUP(N941,'Mã NV'!$A$3:$B$196,2,0)</f>
        <v>BU23</v>
      </c>
      <c r="N941" s="297" t="s">
        <v>2544</v>
      </c>
      <c r="O941" s="381">
        <v>44197</v>
      </c>
      <c r="P941" s="371"/>
      <c r="Q941" s="156"/>
      <c r="R941" s="142" t="s">
        <v>272</v>
      </c>
    </row>
    <row r="942" spans="1:39" ht="35.25" hidden="1" customHeight="1">
      <c r="A942" s="15">
        <f t="shared" si="14"/>
        <v>932</v>
      </c>
      <c r="B942" s="144" t="s">
        <v>1486</v>
      </c>
      <c r="C942" s="150" t="s">
        <v>723</v>
      </c>
      <c r="D942" s="156"/>
      <c r="E942" s="156"/>
      <c r="F942" s="156"/>
      <c r="G942" s="144"/>
      <c r="H942" s="141"/>
      <c r="I942" s="144" t="s">
        <v>18</v>
      </c>
      <c r="J942" s="153">
        <v>1</v>
      </c>
      <c r="K942" s="145" t="s">
        <v>730</v>
      </c>
      <c r="L942" s="142" t="s">
        <v>191</v>
      </c>
      <c r="M942" s="11" t="str">
        <f>VLOOKUP(N942,'Mã NV'!$A$3:$B$196,2,0)</f>
        <v>BU23</v>
      </c>
      <c r="N942" s="297" t="s">
        <v>2544</v>
      </c>
      <c r="O942" s="381">
        <v>44197</v>
      </c>
      <c r="P942" s="371"/>
      <c r="Q942" s="156"/>
      <c r="R942" s="142" t="s">
        <v>272</v>
      </c>
    </row>
    <row r="943" spans="1:39" ht="35.25" hidden="1" customHeight="1">
      <c r="A943" s="15">
        <f t="shared" si="14"/>
        <v>933</v>
      </c>
      <c r="B943" s="144" t="s">
        <v>1487</v>
      </c>
      <c r="C943" s="150" t="s">
        <v>723</v>
      </c>
      <c r="D943" s="156"/>
      <c r="E943" s="156"/>
      <c r="F943" s="156"/>
      <c r="G943" s="144"/>
      <c r="H943" s="141"/>
      <c r="I943" s="144" t="s">
        <v>18</v>
      </c>
      <c r="J943" s="153">
        <v>1</v>
      </c>
      <c r="K943" s="145" t="s">
        <v>730</v>
      </c>
      <c r="L943" s="142" t="s">
        <v>191</v>
      </c>
      <c r="M943" s="11" t="str">
        <f>VLOOKUP(N943,'Mã NV'!$A$3:$B$196,2,0)</f>
        <v>BU23</v>
      </c>
      <c r="N943" s="297" t="s">
        <v>2544</v>
      </c>
      <c r="O943" s="381">
        <v>44197</v>
      </c>
      <c r="P943" s="371"/>
      <c r="Q943" s="156"/>
      <c r="R943" s="142" t="s">
        <v>272</v>
      </c>
    </row>
    <row r="944" spans="1:39" ht="35.25" hidden="1" customHeight="1">
      <c r="A944" s="15">
        <f t="shared" si="14"/>
        <v>934</v>
      </c>
      <c r="B944" s="144" t="s">
        <v>1488</v>
      </c>
      <c r="C944" s="150" t="s">
        <v>723</v>
      </c>
      <c r="D944" s="156"/>
      <c r="E944" s="156"/>
      <c r="F944" s="156"/>
      <c r="G944" s="144"/>
      <c r="H944" s="141"/>
      <c r="I944" s="144" t="s">
        <v>18</v>
      </c>
      <c r="J944" s="153">
        <v>1</v>
      </c>
      <c r="K944" s="145" t="s">
        <v>730</v>
      </c>
      <c r="L944" s="142" t="s">
        <v>191</v>
      </c>
      <c r="M944" s="11" t="str">
        <f>VLOOKUP(N944,'Mã NV'!$A$3:$B$196,2,0)</f>
        <v>BU23</v>
      </c>
      <c r="N944" s="297" t="s">
        <v>2544</v>
      </c>
      <c r="O944" s="381">
        <v>44197</v>
      </c>
      <c r="P944" s="371"/>
      <c r="Q944" s="156"/>
      <c r="R944" s="142" t="s">
        <v>272</v>
      </c>
    </row>
    <row r="945" spans="1:18" ht="35.25" hidden="1" customHeight="1">
      <c r="A945" s="15">
        <f t="shared" si="14"/>
        <v>935</v>
      </c>
      <c r="B945" s="144" t="s">
        <v>1489</v>
      </c>
      <c r="C945" s="150" t="s">
        <v>723</v>
      </c>
      <c r="D945" s="156"/>
      <c r="E945" s="156"/>
      <c r="F945" s="156"/>
      <c r="G945" s="144"/>
      <c r="H945" s="141"/>
      <c r="I945" s="144" t="s">
        <v>18</v>
      </c>
      <c r="J945" s="153">
        <v>1</v>
      </c>
      <c r="K945" s="145" t="s">
        <v>730</v>
      </c>
      <c r="L945" s="142" t="s">
        <v>191</v>
      </c>
      <c r="M945" s="11" t="str">
        <f>VLOOKUP(N945,'Mã NV'!$A$3:$B$196,2,0)</f>
        <v>BU23</v>
      </c>
      <c r="N945" s="297" t="s">
        <v>2544</v>
      </c>
      <c r="O945" s="381">
        <v>44197</v>
      </c>
      <c r="P945" s="371"/>
      <c r="Q945" s="156"/>
      <c r="R945" s="142" t="s">
        <v>272</v>
      </c>
    </row>
    <row r="946" spans="1:18" ht="35.25" hidden="1" customHeight="1">
      <c r="A946" s="15">
        <f t="shared" si="14"/>
        <v>936</v>
      </c>
      <c r="B946" s="144" t="s">
        <v>1490</v>
      </c>
      <c r="C946" s="150" t="s">
        <v>723</v>
      </c>
      <c r="D946" s="156"/>
      <c r="E946" s="156"/>
      <c r="F946" s="156"/>
      <c r="G946" s="144"/>
      <c r="H946" s="141"/>
      <c r="I946" s="144" t="s">
        <v>18</v>
      </c>
      <c r="J946" s="153">
        <v>1</v>
      </c>
      <c r="K946" s="145" t="s">
        <v>730</v>
      </c>
      <c r="L946" s="142" t="s">
        <v>191</v>
      </c>
      <c r="M946" s="11" t="str">
        <f>VLOOKUP(N946,'Mã NV'!$A$3:$B$196,2,0)</f>
        <v>BU23</v>
      </c>
      <c r="N946" s="297" t="s">
        <v>2544</v>
      </c>
      <c r="O946" s="381">
        <v>44197</v>
      </c>
      <c r="P946" s="371"/>
      <c r="Q946" s="156"/>
      <c r="R946" s="142" t="s">
        <v>272</v>
      </c>
    </row>
    <row r="947" spans="1:18" ht="35.25" hidden="1" customHeight="1">
      <c r="A947" s="15">
        <f t="shared" si="14"/>
        <v>937</v>
      </c>
      <c r="B947" s="144" t="s">
        <v>1491</v>
      </c>
      <c r="C947" s="150" t="s">
        <v>723</v>
      </c>
      <c r="D947" s="156"/>
      <c r="E947" s="156"/>
      <c r="F947" s="156"/>
      <c r="G947" s="144"/>
      <c r="H947" s="141"/>
      <c r="I947" s="144" t="s">
        <v>18</v>
      </c>
      <c r="J947" s="153">
        <v>1</v>
      </c>
      <c r="K947" s="145" t="s">
        <v>730</v>
      </c>
      <c r="L947" s="142" t="s">
        <v>191</v>
      </c>
      <c r="M947" s="11" t="str">
        <f>VLOOKUP(N947,'Mã NV'!$A$3:$B$196,2,0)</f>
        <v>BU23</v>
      </c>
      <c r="N947" s="297" t="s">
        <v>2544</v>
      </c>
      <c r="O947" s="381">
        <v>44197</v>
      </c>
      <c r="P947" s="371"/>
      <c r="Q947" s="156"/>
      <c r="R947" s="142" t="s">
        <v>272</v>
      </c>
    </row>
    <row r="948" spans="1:18" ht="35.25" hidden="1" customHeight="1">
      <c r="A948" s="15">
        <f t="shared" si="14"/>
        <v>938</v>
      </c>
      <c r="B948" s="144" t="s">
        <v>1492</v>
      </c>
      <c r="C948" s="150" t="s">
        <v>723</v>
      </c>
      <c r="D948" s="156"/>
      <c r="E948" s="156"/>
      <c r="F948" s="156"/>
      <c r="G948" s="144"/>
      <c r="H948" s="141"/>
      <c r="I948" s="144" t="s">
        <v>18</v>
      </c>
      <c r="J948" s="153">
        <v>1</v>
      </c>
      <c r="K948" s="145" t="s">
        <v>730</v>
      </c>
      <c r="L948" s="142" t="s">
        <v>191</v>
      </c>
      <c r="M948" s="11" t="str">
        <f>VLOOKUP(N948,'Mã NV'!$A$3:$B$196,2,0)</f>
        <v>BU23</v>
      </c>
      <c r="N948" s="297" t="s">
        <v>2544</v>
      </c>
      <c r="O948" s="381">
        <v>44197</v>
      </c>
      <c r="P948" s="371"/>
      <c r="Q948" s="156"/>
      <c r="R948" s="142" t="s">
        <v>272</v>
      </c>
    </row>
    <row r="949" spans="1:18" ht="35.25" hidden="1" customHeight="1">
      <c r="A949" s="15">
        <f t="shared" si="14"/>
        <v>939</v>
      </c>
      <c r="B949" s="144" t="s">
        <v>1493</v>
      </c>
      <c r="C949" s="150" t="s">
        <v>723</v>
      </c>
      <c r="D949" s="156"/>
      <c r="E949" s="156"/>
      <c r="F949" s="156"/>
      <c r="G949" s="144"/>
      <c r="H949" s="141"/>
      <c r="I949" s="144" t="s">
        <v>18</v>
      </c>
      <c r="J949" s="153">
        <v>1</v>
      </c>
      <c r="K949" s="145" t="s">
        <v>730</v>
      </c>
      <c r="L949" s="142" t="s">
        <v>191</v>
      </c>
      <c r="M949" s="11" t="str">
        <f>VLOOKUP(N949,'Mã NV'!$A$3:$B$196,2,0)</f>
        <v>BU23</v>
      </c>
      <c r="N949" s="297" t="s">
        <v>2544</v>
      </c>
      <c r="O949" s="381">
        <v>44197</v>
      </c>
      <c r="P949" s="371"/>
      <c r="Q949" s="156"/>
      <c r="R949" s="142" t="s">
        <v>272</v>
      </c>
    </row>
    <row r="950" spans="1:18" ht="35.25" hidden="1" customHeight="1">
      <c r="A950" s="15">
        <f t="shared" si="14"/>
        <v>940</v>
      </c>
      <c r="B950" s="144" t="s">
        <v>1494</v>
      </c>
      <c r="C950" s="150" t="s">
        <v>723</v>
      </c>
      <c r="D950" s="156"/>
      <c r="E950" s="156"/>
      <c r="F950" s="156"/>
      <c r="G950" s="144"/>
      <c r="H950" s="141"/>
      <c r="I950" s="144" t="s">
        <v>18</v>
      </c>
      <c r="J950" s="153">
        <v>1</v>
      </c>
      <c r="K950" s="145" t="s">
        <v>730</v>
      </c>
      <c r="L950" s="142" t="s">
        <v>191</v>
      </c>
      <c r="M950" s="11" t="str">
        <f>VLOOKUP(N950,'Mã NV'!$A$3:$B$196,2,0)</f>
        <v>BU23</v>
      </c>
      <c r="N950" s="297" t="s">
        <v>2544</v>
      </c>
      <c r="O950" s="381">
        <v>44197</v>
      </c>
      <c r="P950" s="371"/>
      <c r="Q950" s="156"/>
      <c r="R950" s="142" t="s">
        <v>272</v>
      </c>
    </row>
    <row r="951" spans="1:18" ht="35.25" hidden="1" customHeight="1">
      <c r="A951" s="15">
        <f t="shared" si="14"/>
        <v>941</v>
      </c>
      <c r="B951" s="144" t="s">
        <v>1495</v>
      </c>
      <c r="C951" s="150" t="s">
        <v>723</v>
      </c>
      <c r="D951" s="156"/>
      <c r="E951" s="156"/>
      <c r="F951" s="156"/>
      <c r="G951" s="144"/>
      <c r="H951" s="141"/>
      <c r="I951" s="144" t="s">
        <v>18</v>
      </c>
      <c r="J951" s="153">
        <v>1</v>
      </c>
      <c r="K951" s="145" t="s">
        <v>730</v>
      </c>
      <c r="L951" s="142" t="s">
        <v>191</v>
      </c>
      <c r="M951" s="11" t="str">
        <f>VLOOKUP(N951,'Mã NV'!$A$3:$B$196,2,0)</f>
        <v>BU23</v>
      </c>
      <c r="N951" s="297" t="s">
        <v>2544</v>
      </c>
      <c r="O951" s="381">
        <v>44197</v>
      </c>
      <c r="P951" s="371"/>
      <c r="Q951" s="156"/>
      <c r="R951" s="142" t="s">
        <v>272</v>
      </c>
    </row>
    <row r="952" spans="1:18" ht="35.25" hidden="1" customHeight="1">
      <c r="A952" s="15">
        <f t="shared" si="14"/>
        <v>942</v>
      </c>
      <c r="B952" s="144" t="s">
        <v>1496</v>
      </c>
      <c r="C952" s="150" t="s">
        <v>723</v>
      </c>
      <c r="D952" s="156"/>
      <c r="E952" s="156"/>
      <c r="F952" s="156"/>
      <c r="G952" s="144"/>
      <c r="H952" s="141"/>
      <c r="I952" s="144" t="s">
        <v>18</v>
      </c>
      <c r="J952" s="153">
        <v>1</v>
      </c>
      <c r="K952" s="145" t="s">
        <v>730</v>
      </c>
      <c r="L952" s="142" t="s">
        <v>191</v>
      </c>
      <c r="M952" s="11" t="str">
        <f>VLOOKUP(N952,'Mã NV'!$A$3:$B$196,2,0)</f>
        <v>BU23</v>
      </c>
      <c r="N952" s="297" t="s">
        <v>2544</v>
      </c>
      <c r="O952" s="381">
        <v>44197</v>
      </c>
      <c r="P952" s="371"/>
      <c r="Q952" s="156"/>
      <c r="R952" s="142" t="s">
        <v>272</v>
      </c>
    </row>
    <row r="953" spans="1:18" ht="35.25" hidden="1" customHeight="1">
      <c r="A953" s="15">
        <f t="shared" si="14"/>
        <v>943</v>
      </c>
      <c r="B953" s="144" t="s">
        <v>1497</v>
      </c>
      <c r="C953" s="150" t="s">
        <v>723</v>
      </c>
      <c r="D953" s="156"/>
      <c r="E953" s="156"/>
      <c r="F953" s="156"/>
      <c r="G953" s="144"/>
      <c r="H953" s="141"/>
      <c r="I953" s="144" t="s">
        <v>18</v>
      </c>
      <c r="J953" s="153">
        <v>1</v>
      </c>
      <c r="K953" s="145" t="s">
        <v>730</v>
      </c>
      <c r="L953" s="142" t="s">
        <v>191</v>
      </c>
      <c r="M953" s="11" t="str">
        <f>VLOOKUP(N953,'Mã NV'!$A$3:$B$196,2,0)</f>
        <v>BU23</v>
      </c>
      <c r="N953" s="297" t="s">
        <v>2544</v>
      </c>
      <c r="O953" s="381">
        <v>44197</v>
      </c>
      <c r="P953" s="371"/>
      <c r="Q953" s="156"/>
      <c r="R953" s="142" t="s">
        <v>272</v>
      </c>
    </row>
    <row r="954" spans="1:18" ht="35.25" hidden="1" customHeight="1">
      <c r="A954" s="15">
        <f t="shared" si="14"/>
        <v>944</v>
      </c>
      <c r="B954" s="144" t="s">
        <v>1498</v>
      </c>
      <c r="C954" s="150" t="s">
        <v>723</v>
      </c>
      <c r="D954" s="156"/>
      <c r="E954" s="156"/>
      <c r="F954" s="156"/>
      <c r="G954" s="144"/>
      <c r="H954" s="141"/>
      <c r="I954" s="144" t="s">
        <v>18</v>
      </c>
      <c r="J954" s="153">
        <v>1</v>
      </c>
      <c r="K954" s="145" t="s">
        <v>730</v>
      </c>
      <c r="L954" s="142" t="s">
        <v>191</v>
      </c>
      <c r="M954" s="11" t="str">
        <f>VLOOKUP(N954,'Mã NV'!$A$3:$B$196,2,0)</f>
        <v>BU23</v>
      </c>
      <c r="N954" s="297" t="s">
        <v>2544</v>
      </c>
      <c r="O954" s="381">
        <v>44197</v>
      </c>
      <c r="P954" s="371"/>
      <c r="Q954" s="233"/>
      <c r="R954" s="142" t="s">
        <v>272</v>
      </c>
    </row>
    <row r="955" spans="1:18" ht="35.25" hidden="1" customHeight="1">
      <c r="A955" s="15">
        <f t="shared" si="14"/>
        <v>945</v>
      </c>
      <c r="B955" s="144" t="s">
        <v>1499</v>
      </c>
      <c r="C955" s="150" t="s">
        <v>723</v>
      </c>
      <c r="D955" s="156"/>
      <c r="E955" s="156"/>
      <c r="F955" s="156"/>
      <c r="G955" s="144"/>
      <c r="H955" s="141"/>
      <c r="I955" s="144" t="s">
        <v>18</v>
      </c>
      <c r="J955" s="153">
        <v>1</v>
      </c>
      <c r="K955" s="145" t="s">
        <v>730</v>
      </c>
      <c r="L955" s="142" t="s">
        <v>191</v>
      </c>
      <c r="M955" s="11" t="str">
        <f>VLOOKUP(N955,'Mã NV'!$A$3:$B$196,2,0)</f>
        <v>BU23</v>
      </c>
      <c r="N955" s="297" t="s">
        <v>2544</v>
      </c>
      <c r="O955" s="381">
        <v>44197</v>
      </c>
      <c r="P955" s="371"/>
      <c r="Q955" s="233"/>
      <c r="R955" s="142" t="s">
        <v>272</v>
      </c>
    </row>
    <row r="956" spans="1:18" ht="35.25" hidden="1" customHeight="1">
      <c r="A956" s="15">
        <f t="shared" si="14"/>
        <v>946</v>
      </c>
      <c r="B956" s="144" t="s">
        <v>1500</v>
      </c>
      <c r="C956" s="150" t="s">
        <v>723</v>
      </c>
      <c r="D956" s="156"/>
      <c r="E956" s="156"/>
      <c r="F956" s="156"/>
      <c r="G956" s="144"/>
      <c r="H956" s="141"/>
      <c r="I956" s="144" t="s">
        <v>18</v>
      </c>
      <c r="J956" s="153">
        <v>1</v>
      </c>
      <c r="K956" s="145" t="s">
        <v>730</v>
      </c>
      <c r="L956" s="142" t="s">
        <v>191</v>
      </c>
      <c r="M956" s="11" t="str">
        <f>VLOOKUP(N956,'Mã NV'!$A$3:$B$196,2,0)</f>
        <v>BU23</v>
      </c>
      <c r="N956" s="297" t="s">
        <v>2544</v>
      </c>
      <c r="O956" s="381">
        <v>44197</v>
      </c>
      <c r="P956" s="371"/>
      <c r="Q956" s="233"/>
      <c r="R956" s="142" t="s">
        <v>272</v>
      </c>
    </row>
    <row r="957" spans="1:18" ht="35.25" hidden="1" customHeight="1">
      <c r="A957" s="15">
        <f t="shared" si="14"/>
        <v>947</v>
      </c>
      <c r="B957" s="144" t="s">
        <v>1501</v>
      </c>
      <c r="C957" s="150" t="s">
        <v>723</v>
      </c>
      <c r="D957" s="156"/>
      <c r="E957" s="156"/>
      <c r="F957" s="156"/>
      <c r="G957" s="144"/>
      <c r="H957" s="141"/>
      <c r="I957" s="144" t="s">
        <v>18</v>
      </c>
      <c r="J957" s="153">
        <v>1</v>
      </c>
      <c r="K957" s="145" t="s">
        <v>730</v>
      </c>
      <c r="L957" s="142" t="s">
        <v>191</v>
      </c>
      <c r="M957" s="11" t="str">
        <f>VLOOKUP(N957,'Mã NV'!$A$3:$B$196,2,0)</f>
        <v>BU23</v>
      </c>
      <c r="N957" s="297" t="s">
        <v>2544</v>
      </c>
      <c r="O957" s="381">
        <v>44197</v>
      </c>
      <c r="P957" s="371"/>
      <c r="Q957" s="233"/>
      <c r="R957" s="142" t="s">
        <v>272</v>
      </c>
    </row>
    <row r="958" spans="1:18" ht="35.25" hidden="1" customHeight="1">
      <c r="A958" s="15">
        <f t="shared" si="14"/>
        <v>948</v>
      </c>
      <c r="B958" s="144" t="s">
        <v>1502</v>
      </c>
      <c r="C958" s="150" t="s">
        <v>723</v>
      </c>
      <c r="D958" s="156"/>
      <c r="E958" s="156"/>
      <c r="F958" s="156"/>
      <c r="G958" s="144"/>
      <c r="H958" s="141"/>
      <c r="I958" s="144" t="s">
        <v>18</v>
      </c>
      <c r="J958" s="153">
        <v>1</v>
      </c>
      <c r="K958" s="145" t="s">
        <v>730</v>
      </c>
      <c r="L958" s="142" t="s">
        <v>191</v>
      </c>
      <c r="M958" s="11" t="str">
        <f>VLOOKUP(N958,'Mã NV'!$A$3:$B$196,2,0)</f>
        <v>BU23</v>
      </c>
      <c r="N958" s="297" t="s">
        <v>2544</v>
      </c>
      <c r="O958" s="381">
        <v>44197</v>
      </c>
      <c r="P958" s="371"/>
      <c r="Q958" s="233"/>
      <c r="R958" s="142" t="s">
        <v>272</v>
      </c>
    </row>
    <row r="959" spans="1:18" ht="35.25" hidden="1" customHeight="1">
      <c r="A959" s="15">
        <f t="shared" si="14"/>
        <v>949</v>
      </c>
      <c r="B959" s="144" t="s">
        <v>1503</v>
      </c>
      <c r="C959" s="150" t="s">
        <v>723</v>
      </c>
      <c r="D959" s="156"/>
      <c r="E959" s="156"/>
      <c r="F959" s="156"/>
      <c r="G959" s="144"/>
      <c r="H959" s="141"/>
      <c r="I959" s="144" t="s">
        <v>18</v>
      </c>
      <c r="J959" s="153">
        <v>1</v>
      </c>
      <c r="K959" s="145" t="s">
        <v>730</v>
      </c>
      <c r="L959" s="142" t="s">
        <v>191</v>
      </c>
      <c r="M959" s="11" t="str">
        <f>VLOOKUP(N959,'Mã NV'!$A$3:$B$196,2,0)</f>
        <v>BU23</v>
      </c>
      <c r="N959" s="297" t="s">
        <v>2544</v>
      </c>
      <c r="O959" s="381">
        <v>44197</v>
      </c>
      <c r="P959" s="371"/>
      <c r="Q959" s="233"/>
      <c r="R959" s="142" t="s">
        <v>272</v>
      </c>
    </row>
    <row r="960" spans="1:18" ht="35.25" hidden="1" customHeight="1">
      <c r="A960" s="15">
        <f t="shared" si="14"/>
        <v>950</v>
      </c>
      <c r="B960" s="144" t="s">
        <v>1504</v>
      </c>
      <c r="C960" s="150" t="s">
        <v>723</v>
      </c>
      <c r="D960" s="156"/>
      <c r="E960" s="156"/>
      <c r="F960" s="156"/>
      <c r="G960" s="144"/>
      <c r="H960" s="141"/>
      <c r="I960" s="144" t="s">
        <v>18</v>
      </c>
      <c r="J960" s="153">
        <v>1</v>
      </c>
      <c r="K960" s="145" t="s">
        <v>730</v>
      </c>
      <c r="L960" s="142" t="s">
        <v>191</v>
      </c>
      <c r="M960" s="11" t="str">
        <f>VLOOKUP(N960,'Mã NV'!$A$3:$B$196,2,0)</f>
        <v>BU23</v>
      </c>
      <c r="N960" s="297" t="s">
        <v>2544</v>
      </c>
      <c r="O960" s="381">
        <v>44197</v>
      </c>
      <c r="P960" s="371"/>
      <c r="Q960" s="156"/>
      <c r="R960" s="142" t="s">
        <v>272</v>
      </c>
    </row>
    <row r="961" spans="1:18" ht="35.25" hidden="1" customHeight="1">
      <c r="A961" s="15">
        <f t="shared" si="14"/>
        <v>951</v>
      </c>
      <c r="B961" s="144" t="s">
        <v>1505</v>
      </c>
      <c r="C961" s="150" t="s">
        <v>723</v>
      </c>
      <c r="D961" s="156"/>
      <c r="E961" s="156"/>
      <c r="F961" s="156"/>
      <c r="G961" s="144"/>
      <c r="H961" s="141"/>
      <c r="I961" s="144" t="s">
        <v>18</v>
      </c>
      <c r="J961" s="153">
        <v>1</v>
      </c>
      <c r="K961" s="145" t="s">
        <v>730</v>
      </c>
      <c r="L961" s="142" t="s">
        <v>191</v>
      </c>
      <c r="M961" s="11" t="str">
        <f>VLOOKUP(N961,'Mã NV'!$A$3:$B$196,2,0)</f>
        <v>BU23</v>
      </c>
      <c r="N961" s="297" t="s">
        <v>2544</v>
      </c>
      <c r="O961" s="381">
        <v>44197</v>
      </c>
      <c r="P961" s="371"/>
      <c r="Q961" s="156"/>
      <c r="R961" s="142" t="s">
        <v>272</v>
      </c>
    </row>
    <row r="962" spans="1:18" ht="35.25" hidden="1" customHeight="1">
      <c r="A962" s="15">
        <f t="shared" si="14"/>
        <v>952</v>
      </c>
      <c r="B962" s="144" t="s">
        <v>1506</v>
      </c>
      <c r="C962" s="150" t="s">
        <v>723</v>
      </c>
      <c r="D962" s="156"/>
      <c r="E962" s="156"/>
      <c r="F962" s="156"/>
      <c r="G962" s="144"/>
      <c r="H962" s="141"/>
      <c r="I962" s="144" t="s">
        <v>18</v>
      </c>
      <c r="J962" s="153">
        <v>1</v>
      </c>
      <c r="K962" s="145" t="s">
        <v>730</v>
      </c>
      <c r="L962" s="142" t="s">
        <v>191</v>
      </c>
      <c r="M962" s="11" t="str">
        <f>VLOOKUP(N962,'Mã NV'!$A$3:$B$196,2,0)</f>
        <v>BU23</v>
      </c>
      <c r="N962" s="297" t="s">
        <v>2544</v>
      </c>
      <c r="O962" s="381">
        <v>44197</v>
      </c>
      <c r="P962" s="371"/>
      <c r="Q962" s="156"/>
      <c r="R962" s="142" t="s">
        <v>272</v>
      </c>
    </row>
    <row r="963" spans="1:18" ht="35.25" hidden="1" customHeight="1">
      <c r="A963" s="15">
        <f t="shared" si="14"/>
        <v>953</v>
      </c>
      <c r="B963" s="144" t="s">
        <v>1507</v>
      </c>
      <c r="C963" s="150" t="s">
        <v>723</v>
      </c>
      <c r="D963" s="156"/>
      <c r="E963" s="156"/>
      <c r="F963" s="156"/>
      <c r="G963" s="144"/>
      <c r="H963" s="141"/>
      <c r="I963" s="144" t="s">
        <v>18</v>
      </c>
      <c r="J963" s="153">
        <v>1</v>
      </c>
      <c r="K963" s="145" t="s">
        <v>730</v>
      </c>
      <c r="L963" s="142" t="s">
        <v>191</v>
      </c>
      <c r="M963" s="11" t="str">
        <f>VLOOKUP(N963,'Mã NV'!$A$3:$B$196,2,0)</f>
        <v>BU23</v>
      </c>
      <c r="N963" s="297" t="s">
        <v>2544</v>
      </c>
      <c r="O963" s="381">
        <v>44197</v>
      </c>
      <c r="P963" s="371"/>
      <c r="Q963" s="156"/>
      <c r="R963" s="142" t="s">
        <v>272</v>
      </c>
    </row>
    <row r="964" spans="1:18" ht="35.25" hidden="1" customHeight="1">
      <c r="A964" s="15">
        <f t="shared" si="14"/>
        <v>954</v>
      </c>
      <c r="B964" s="144" t="s">
        <v>1508</v>
      </c>
      <c r="C964" s="150" t="s">
        <v>723</v>
      </c>
      <c r="D964" s="156"/>
      <c r="E964" s="156"/>
      <c r="F964" s="156"/>
      <c r="G964" s="144"/>
      <c r="H964" s="141"/>
      <c r="I964" s="144" t="s">
        <v>18</v>
      </c>
      <c r="J964" s="153">
        <v>1</v>
      </c>
      <c r="K964" s="145" t="s">
        <v>730</v>
      </c>
      <c r="L964" s="142" t="s">
        <v>191</v>
      </c>
      <c r="M964" s="11" t="str">
        <f>VLOOKUP(N964,'Mã NV'!$A$3:$B$196,2,0)</f>
        <v>BU23</v>
      </c>
      <c r="N964" s="297" t="s">
        <v>2544</v>
      </c>
      <c r="O964" s="381">
        <v>44197</v>
      </c>
      <c r="P964" s="371"/>
      <c r="Q964" s="156"/>
      <c r="R964" s="142" t="s">
        <v>272</v>
      </c>
    </row>
    <row r="965" spans="1:18" ht="35.25" hidden="1" customHeight="1">
      <c r="A965" s="15">
        <f t="shared" si="14"/>
        <v>955</v>
      </c>
      <c r="B965" s="144" t="s">
        <v>1509</v>
      </c>
      <c r="C965" s="150" t="s">
        <v>723</v>
      </c>
      <c r="D965" s="156"/>
      <c r="E965" s="156"/>
      <c r="F965" s="156"/>
      <c r="G965" s="144"/>
      <c r="H965" s="141"/>
      <c r="I965" s="144" t="s">
        <v>18</v>
      </c>
      <c r="J965" s="153">
        <v>1</v>
      </c>
      <c r="K965" s="145" t="s">
        <v>730</v>
      </c>
      <c r="L965" s="142" t="s">
        <v>191</v>
      </c>
      <c r="M965" s="11" t="str">
        <f>VLOOKUP(N965,'Mã NV'!$A$3:$B$196,2,0)</f>
        <v>BU23</v>
      </c>
      <c r="N965" s="297" t="s">
        <v>2544</v>
      </c>
      <c r="O965" s="381">
        <v>44197</v>
      </c>
      <c r="P965" s="371"/>
      <c r="Q965" s="156"/>
      <c r="R965" s="142" t="s">
        <v>272</v>
      </c>
    </row>
    <row r="966" spans="1:18" ht="35.25" hidden="1" customHeight="1">
      <c r="A966" s="15">
        <f t="shared" si="14"/>
        <v>956</v>
      </c>
      <c r="B966" s="144" t="s">
        <v>1510</v>
      </c>
      <c r="C966" s="150" t="s">
        <v>723</v>
      </c>
      <c r="D966" s="156"/>
      <c r="E966" s="156"/>
      <c r="F966" s="156"/>
      <c r="G966" s="144"/>
      <c r="H966" s="141"/>
      <c r="I966" s="144" t="s">
        <v>18</v>
      </c>
      <c r="J966" s="153">
        <v>1</v>
      </c>
      <c r="K966" s="145" t="s">
        <v>730</v>
      </c>
      <c r="L966" s="142" t="s">
        <v>191</v>
      </c>
      <c r="M966" s="11" t="str">
        <f>VLOOKUP(N966,'Mã NV'!$A$3:$B$196,2,0)</f>
        <v>BU23</v>
      </c>
      <c r="N966" s="297" t="s">
        <v>2544</v>
      </c>
      <c r="O966" s="381">
        <v>44197</v>
      </c>
      <c r="P966" s="371"/>
      <c r="Q966" s="156"/>
      <c r="R966" s="142" t="s">
        <v>272</v>
      </c>
    </row>
    <row r="967" spans="1:18" ht="35.25" hidden="1" customHeight="1">
      <c r="A967" s="15">
        <f t="shared" si="14"/>
        <v>957</v>
      </c>
      <c r="B967" s="144" t="s">
        <v>1511</v>
      </c>
      <c r="C967" s="150" t="s">
        <v>723</v>
      </c>
      <c r="D967" s="176"/>
      <c r="E967" s="176"/>
      <c r="F967" s="176"/>
      <c r="G967" s="144"/>
      <c r="H967" s="141"/>
      <c r="I967" s="144" t="s">
        <v>18</v>
      </c>
      <c r="J967" s="153">
        <v>1</v>
      </c>
      <c r="K967" s="145" t="s">
        <v>730</v>
      </c>
      <c r="L967" s="142" t="s">
        <v>191</v>
      </c>
      <c r="M967" s="11" t="str">
        <f>VLOOKUP(N967,'Mã NV'!$A$3:$B$196,2,0)</f>
        <v>BU23</v>
      </c>
      <c r="N967" s="297" t="s">
        <v>2544</v>
      </c>
      <c r="O967" s="381">
        <v>44197</v>
      </c>
      <c r="P967" s="371"/>
      <c r="Q967" s="156"/>
      <c r="R967" s="142" t="s">
        <v>272</v>
      </c>
    </row>
    <row r="968" spans="1:18" ht="35.25" hidden="1" customHeight="1">
      <c r="A968" s="15">
        <f t="shared" si="14"/>
        <v>958</v>
      </c>
      <c r="B968" s="144" t="s">
        <v>1512</v>
      </c>
      <c r="C968" s="150" t="s">
        <v>723</v>
      </c>
      <c r="D968" s="156"/>
      <c r="E968" s="156"/>
      <c r="F968" s="156"/>
      <c r="G968" s="144"/>
      <c r="H968" s="141"/>
      <c r="I968" s="144" t="s">
        <v>18</v>
      </c>
      <c r="J968" s="153">
        <v>1</v>
      </c>
      <c r="K968" s="145" t="s">
        <v>730</v>
      </c>
      <c r="L968" s="142" t="s">
        <v>191</v>
      </c>
      <c r="M968" s="11" t="str">
        <f>VLOOKUP(N968,'Mã NV'!$A$3:$B$196,2,0)</f>
        <v>BU23</v>
      </c>
      <c r="N968" s="297" t="s">
        <v>2544</v>
      </c>
      <c r="O968" s="381">
        <v>44197</v>
      </c>
      <c r="P968" s="371"/>
      <c r="Q968" s="156"/>
      <c r="R968" s="142" t="s">
        <v>272</v>
      </c>
    </row>
    <row r="969" spans="1:18" ht="35.25" hidden="1" customHeight="1">
      <c r="A969" s="15">
        <f t="shared" si="14"/>
        <v>959</v>
      </c>
      <c r="B969" s="144" t="s">
        <v>1513</v>
      </c>
      <c r="C969" s="150" t="s">
        <v>723</v>
      </c>
      <c r="D969" s="156"/>
      <c r="E969" s="156"/>
      <c r="F969" s="156"/>
      <c r="G969" s="144"/>
      <c r="H969" s="141"/>
      <c r="I969" s="144" t="s">
        <v>18</v>
      </c>
      <c r="J969" s="153">
        <v>1</v>
      </c>
      <c r="K969" s="145" t="s">
        <v>730</v>
      </c>
      <c r="L969" s="142" t="s">
        <v>191</v>
      </c>
      <c r="M969" s="11" t="str">
        <f>VLOOKUP(N969,'Mã NV'!$A$3:$B$196,2,0)</f>
        <v>BU23</v>
      </c>
      <c r="N969" s="297" t="s">
        <v>2544</v>
      </c>
      <c r="O969" s="381">
        <v>44197</v>
      </c>
      <c r="P969" s="371"/>
      <c r="Q969" s="156"/>
      <c r="R969" s="142" t="s">
        <v>272</v>
      </c>
    </row>
    <row r="970" spans="1:18" ht="35.25" hidden="1" customHeight="1">
      <c r="A970" s="15">
        <f t="shared" si="14"/>
        <v>960</v>
      </c>
      <c r="B970" s="144" t="s">
        <v>1514</v>
      </c>
      <c r="C970" s="150" t="s">
        <v>723</v>
      </c>
      <c r="D970" s="156"/>
      <c r="E970" s="156"/>
      <c r="F970" s="156"/>
      <c r="G970" s="144"/>
      <c r="H970" s="141"/>
      <c r="I970" s="144" t="s">
        <v>18</v>
      </c>
      <c r="J970" s="153">
        <v>1</v>
      </c>
      <c r="K970" s="145" t="s">
        <v>730</v>
      </c>
      <c r="L970" s="142" t="s">
        <v>191</v>
      </c>
      <c r="M970" s="11" t="str">
        <f>VLOOKUP(N970,'Mã NV'!$A$3:$B$196,2,0)</f>
        <v>BU23</v>
      </c>
      <c r="N970" s="297" t="s">
        <v>2544</v>
      </c>
      <c r="O970" s="381">
        <v>44197</v>
      </c>
      <c r="P970" s="371"/>
      <c r="Q970" s="156"/>
      <c r="R970" s="142" t="s">
        <v>272</v>
      </c>
    </row>
    <row r="971" spans="1:18" ht="35.25" hidden="1" customHeight="1">
      <c r="A971" s="15">
        <f t="shared" si="14"/>
        <v>961</v>
      </c>
      <c r="B971" s="144" t="s">
        <v>1515</v>
      </c>
      <c r="C971" s="150" t="s">
        <v>723</v>
      </c>
      <c r="D971" s="156"/>
      <c r="E971" s="156"/>
      <c r="F971" s="156"/>
      <c r="G971" s="144"/>
      <c r="H971" s="141"/>
      <c r="I971" s="144" t="s">
        <v>18</v>
      </c>
      <c r="J971" s="153">
        <v>1</v>
      </c>
      <c r="K971" s="145" t="s">
        <v>730</v>
      </c>
      <c r="L971" s="142" t="s">
        <v>191</v>
      </c>
      <c r="M971" s="11" t="str">
        <f>VLOOKUP(N971,'Mã NV'!$A$3:$B$196,2,0)</f>
        <v>BU23</v>
      </c>
      <c r="N971" s="297" t="s">
        <v>2544</v>
      </c>
      <c r="O971" s="381">
        <v>44197</v>
      </c>
      <c r="P971" s="371"/>
      <c r="Q971" s="156"/>
      <c r="R971" s="142" t="s">
        <v>272</v>
      </c>
    </row>
    <row r="972" spans="1:18" ht="35.25" hidden="1" customHeight="1">
      <c r="A972" s="15">
        <f t="shared" si="14"/>
        <v>962</v>
      </c>
      <c r="B972" s="144" t="s">
        <v>1516</v>
      </c>
      <c r="C972" s="150" t="s">
        <v>451</v>
      </c>
      <c r="D972" s="156"/>
      <c r="E972" s="156"/>
      <c r="F972" s="156"/>
      <c r="G972" s="144" t="s">
        <v>2404</v>
      </c>
      <c r="H972" s="141"/>
      <c r="I972" s="153" t="s">
        <v>566</v>
      </c>
      <c r="J972" s="153">
        <v>1</v>
      </c>
      <c r="K972" s="145" t="s">
        <v>730</v>
      </c>
      <c r="L972" s="142" t="s">
        <v>191</v>
      </c>
      <c r="M972" s="11" t="str">
        <f>VLOOKUP(N972,'Mã NV'!$A$3:$B$196,2,0)</f>
        <v>NV0015</v>
      </c>
      <c r="N972" s="310" t="s">
        <v>2563</v>
      </c>
      <c r="O972" s="380">
        <f>VLOOKUP(B972,'Tổng hợp (3)'!$C$4:$E$985,3,0)</f>
        <v>44760</v>
      </c>
      <c r="P972" s="378"/>
      <c r="Q972" s="184"/>
      <c r="R972" s="144" t="s">
        <v>2666</v>
      </c>
    </row>
    <row r="973" spans="1:18" ht="35.25" hidden="1" customHeight="1">
      <c r="A973" s="15">
        <f t="shared" si="14"/>
        <v>963</v>
      </c>
      <c r="B973" s="144" t="s">
        <v>1517</v>
      </c>
      <c r="C973" s="150" t="s">
        <v>570</v>
      </c>
      <c r="D973" s="156"/>
      <c r="E973" s="156"/>
      <c r="F973" s="156"/>
      <c r="G973" s="144"/>
      <c r="H973" s="141"/>
      <c r="I973" s="153" t="s">
        <v>566</v>
      </c>
      <c r="J973" s="153">
        <v>1</v>
      </c>
      <c r="K973" s="145" t="s">
        <v>730</v>
      </c>
      <c r="L973" s="142" t="s">
        <v>191</v>
      </c>
      <c r="M973" s="11" t="str">
        <f>VLOOKUP(N973,'Mã NV'!$A$3:$B$196,2,0)</f>
        <v>NV0015</v>
      </c>
      <c r="N973" s="310" t="s">
        <v>2563</v>
      </c>
      <c r="O973" s="380">
        <f>VLOOKUP(B973,'Tổng hợp (3)'!$C$4:$E$985,3,0)</f>
        <v>44761</v>
      </c>
      <c r="P973" s="378"/>
      <c r="Q973" s="184"/>
      <c r="R973" s="144" t="s">
        <v>2666</v>
      </c>
    </row>
    <row r="974" spans="1:18" ht="35.25" hidden="1" customHeight="1">
      <c r="A974" s="15">
        <f t="shared" si="14"/>
        <v>964</v>
      </c>
      <c r="B974" s="144" t="s">
        <v>1518</v>
      </c>
      <c r="C974" s="150" t="s">
        <v>32</v>
      </c>
      <c r="D974" s="156"/>
      <c r="E974" s="156"/>
      <c r="F974" s="156"/>
      <c r="G974" s="144"/>
      <c r="H974" s="141"/>
      <c r="I974" s="153" t="s">
        <v>566</v>
      </c>
      <c r="J974" s="153">
        <v>1</v>
      </c>
      <c r="K974" s="145" t="s">
        <v>730</v>
      </c>
      <c r="L974" s="142" t="s">
        <v>191</v>
      </c>
      <c r="M974" s="11" t="str">
        <f>VLOOKUP(N974,'Mã NV'!$A$3:$B$196,2,0)</f>
        <v>NV0015</v>
      </c>
      <c r="N974" s="310" t="s">
        <v>2563</v>
      </c>
      <c r="O974" s="380">
        <f>VLOOKUP(B974,'Tổng hợp (3)'!$C$4:$E$985,3,0)</f>
        <v>44774</v>
      </c>
      <c r="P974" s="378"/>
      <c r="Q974" s="184"/>
      <c r="R974" s="144" t="s">
        <v>2666</v>
      </c>
    </row>
    <row r="975" spans="1:18" ht="35.25" hidden="1" customHeight="1">
      <c r="A975" s="15">
        <f t="shared" si="14"/>
        <v>965</v>
      </c>
      <c r="B975" s="144" t="s">
        <v>1519</v>
      </c>
      <c r="C975" s="150" t="s">
        <v>582</v>
      </c>
      <c r="D975" s="156"/>
      <c r="E975" s="156"/>
      <c r="F975" s="156"/>
      <c r="G975" s="150"/>
      <c r="H975" s="141"/>
      <c r="I975" s="153" t="s">
        <v>566</v>
      </c>
      <c r="J975" s="153">
        <v>1</v>
      </c>
      <c r="K975" s="145" t="s">
        <v>730</v>
      </c>
      <c r="L975" s="142" t="s">
        <v>191</v>
      </c>
      <c r="M975" s="11" t="str">
        <f>VLOOKUP(N975,'Mã NV'!$A$3:$B$196,2,0)</f>
        <v>NV0015</v>
      </c>
      <c r="N975" s="310" t="s">
        <v>2563</v>
      </c>
      <c r="O975" s="381">
        <v>44197</v>
      </c>
      <c r="P975" s="371"/>
      <c r="Q975" s="156"/>
      <c r="R975" s="144" t="s">
        <v>2666</v>
      </c>
    </row>
    <row r="976" spans="1:18" ht="35.25" hidden="1" customHeight="1">
      <c r="A976" s="15">
        <f t="shared" si="14"/>
        <v>966</v>
      </c>
      <c r="B976" s="144" t="s">
        <v>1520</v>
      </c>
      <c r="C976" s="150" t="s">
        <v>1306</v>
      </c>
      <c r="D976" s="156"/>
      <c r="E976" s="156"/>
      <c r="F976" s="156"/>
      <c r="G976" s="150"/>
      <c r="H976" s="141"/>
      <c r="I976" s="153" t="s">
        <v>566</v>
      </c>
      <c r="J976" s="153">
        <v>1</v>
      </c>
      <c r="K976" s="145" t="s">
        <v>730</v>
      </c>
      <c r="L976" s="142" t="s">
        <v>2520</v>
      </c>
      <c r="M976" s="11" t="str">
        <f>VLOOKUP(N976,'Mã NV'!$A$3:$B$196,2,0)</f>
        <v>TE77</v>
      </c>
      <c r="N976" s="310" t="s">
        <v>2597</v>
      </c>
      <c r="O976" s="381">
        <v>44197</v>
      </c>
      <c r="P976" s="371"/>
      <c r="Q976" s="156"/>
      <c r="R976" s="144" t="s">
        <v>2666</v>
      </c>
    </row>
    <row r="977" spans="1:18" ht="35.25" hidden="1" customHeight="1">
      <c r="A977" s="15">
        <f t="shared" si="14"/>
        <v>967</v>
      </c>
      <c r="B977" s="144" t="s">
        <v>1521</v>
      </c>
      <c r="C977" s="150" t="s">
        <v>445</v>
      </c>
      <c r="D977" s="156"/>
      <c r="E977" s="156"/>
      <c r="F977" s="156"/>
      <c r="G977" s="150"/>
      <c r="H977" s="141"/>
      <c r="I977" s="153" t="s">
        <v>566</v>
      </c>
      <c r="J977" s="153">
        <v>1</v>
      </c>
      <c r="K977" s="145" t="s">
        <v>730</v>
      </c>
      <c r="L977" s="142" t="s">
        <v>191</v>
      </c>
      <c r="M977" s="11" t="str">
        <f>VLOOKUP(N977,'Mã NV'!$A$3:$B$196,2,0)</f>
        <v>NV0015</v>
      </c>
      <c r="N977" s="310" t="s">
        <v>2563</v>
      </c>
      <c r="O977" s="380">
        <f>VLOOKUP(B977,'Tổng hợp (3)'!$C$4:$E$985,3,0)</f>
        <v>44756</v>
      </c>
      <c r="P977" s="378"/>
      <c r="Q977" s="156"/>
      <c r="R977" s="144" t="s">
        <v>2666</v>
      </c>
    </row>
    <row r="978" spans="1:18" ht="35.25" hidden="1" customHeight="1">
      <c r="A978" s="15">
        <f t="shared" ref="A978:A1041" si="15">A977+1</f>
        <v>968</v>
      </c>
      <c r="B978" s="144" t="s">
        <v>1522</v>
      </c>
      <c r="C978" s="150" t="s">
        <v>575</v>
      </c>
      <c r="D978" s="156"/>
      <c r="E978" s="156"/>
      <c r="F978" s="156"/>
      <c r="G978" s="144"/>
      <c r="H978" s="141"/>
      <c r="I978" s="153" t="s">
        <v>566</v>
      </c>
      <c r="J978" s="153">
        <v>1</v>
      </c>
      <c r="K978" s="145" t="s">
        <v>730</v>
      </c>
      <c r="L978" s="142" t="s">
        <v>191</v>
      </c>
      <c r="M978" s="11" t="str">
        <f>VLOOKUP(N978,'Mã NV'!$A$3:$B$196,2,0)</f>
        <v>NV0015</v>
      </c>
      <c r="N978" s="310" t="s">
        <v>2563</v>
      </c>
      <c r="O978" s="381">
        <v>44197</v>
      </c>
      <c r="P978" s="371"/>
      <c r="Q978" s="156"/>
      <c r="R978" s="144" t="s">
        <v>2666</v>
      </c>
    </row>
    <row r="979" spans="1:18" ht="35.25" hidden="1" customHeight="1">
      <c r="A979" s="15">
        <f t="shared" si="15"/>
        <v>969</v>
      </c>
      <c r="B979" s="144" t="s">
        <v>1523</v>
      </c>
      <c r="C979" s="150" t="s">
        <v>115</v>
      </c>
      <c r="D979" s="156"/>
      <c r="E979" s="156"/>
      <c r="F979" s="156"/>
      <c r="G979" s="144"/>
      <c r="H979" s="141"/>
      <c r="I979" s="153" t="s">
        <v>566</v>
      </c>
      <c r="J979" s="153">
        <v>1</v>
      </c>
      <c r="K979" s="145" t="s">
        <v>730</v>
      </c>
      <c r="L979" s="142" t="s">
        <v>191</v>
      </c>
      <c r="M979" s="11" t="str">
        <f>VLOOKUP(N979,'Mã NV'!$A$3:$B$196,2,0)</f>
        <v>NV0015</v>
      </c>
      <c r="N979" s="310" t="s">
        <v>2563</v>
      </c>
      <c r="O979" s="381">
        <v>44197</v>
      </c>
      <c r="P979" s="371"/>
      <c r="Q979" s="156"/>
      <c r="R979" s="144" t="s">
        <v>2666</v>
      </c>
    </row>
    <row r="980" spans="1:18" ht="35.25" hidden="1" customHeight="1">
      <c r="A980" s="15">
        <f t="shared" si="15"/>
        <v>970</v>
      </c>
      <c r="B980" s="144" t="s">
        <v>1524</v>
      </c>
      <c r="C980" s="150" t="s">
        <v>1525</v>
      </c>
      <c r="D980" s="156"/>
      <c r="E980" s="156"/>
      <c r="F980" s="156"/>
      <c r="G980" s="144"/>
      <c r="H980" s="141"/>
      <c r="I980" s="153" t="s">
        <v>566</v>
      </c>
      <c r="J980" s="153">
        <v>1</v>
      </c>
      <c r="K980" s="145" t="s">
        <v>730</v>
      </c>
      <c r="L980" s="142" t="s">
        <v>191</v>
      </c>
      <c r="M980" s="11" t="str">
        <f>VLOOKUP(N980,'Mã NV'!$A$3:$B$196,2,0)</f>
        <v>NV0015</v>
      </c>
      <c r="N980" s="310" t="s">
        <v>2563</v>
      </c>
      <c r="O980" s="381">
        <v>44197</v>
      </c>
      <c r="P980" s="371"/>
      <c r="Q980" s="156"/>
      <c r="R980" s="144" t="s">
        <v>2666</v>
      </c>
    </row>
    <row r="981" spans="1:18" ht="35.25" hidden="1" customHeight="1">
      <c r="A981" s="15">
        <f t="shared" si="15"/>
        <v>971</v>
      </c>
      <c r="B981" s="144" t="s">
        <v>1526</v>
      </c>
      <c r="C981" s="150" t="s">
        <v>633</v>
      </c>
      <c r="D981" s="156"/>
      <c r="E981" s="156"/>
      <c r="F981" s="156"/>
      <c r="G981" s="144"/>
      <c r="H981" s="141"/>
      <c r="I981" s="153" t="s">
        <v>566</v>
      </c>
      <c r="J981" s="153">
        <v>1</v>
      </c>
      <c r="K981" s="145" t="s">
        <v>730</v>
      </c>
      <c r="L981" s="142" t="s">
        <v>2521</v>
      </c>
      <c r="M981" s="11" t="str">
        <f>VLOOKUP(N981,'Mã NV'!$A$3:$B$196,2,0)</f>
        <v>TE31</v>
      </c>
      <c r="N981" s="310" t="s">
        <v>3735</v>
      </c>
      <c r="O981" s="381">
        <v>44197</v>
      </c>
      <c r="P981" s="371"/>
      <c r="Q981" s="156"/>
      <c r="R981" s="150"/>
    </row>
    <row r="982" spans="1:18" ht="35.25" hidden="1" customHeight="1">
      <c r="A982" s="15">
        <f t="shared" si="15"/>
        <v>972</v>
      </c>
      <c r="B982" s="144" t="s">
        <v>1527</v>
      </c>
      <c r="C982" s="150" t="s">
        <v>120</v>
      </c>
      <c r="D982" s="156"/>
      <c r="E982" s="156"/>
      <c r="F982" s="156"/>
      <c r="G982" s="144"/>
      <c r="H982" s="141"/>
      <c r="I982" s="153" t="s">
        <v>566</v>
      </c>
      <c r="J982" s="153">
        <v>1</v>
      </c>
      <c r="K982" s="145" t="s">
        <v>730</v>
      </c>
      <c r="L982" s="142" t="s">
        <v>2521</v>
      </c>
      <c r="M982" s="11" t="str">
        <f>VLOOKUP(N982,'Mã NV'!$A$3:$B$196,2,0)</f>
        <v>TE31</v>
      </c>
      <c r="N982" s="310" t="s">
        <v>3735</v>
      </c>
      <c r="O982" s="381">
        <v>44197</v>
      </c>
      <c r="P982" s="371"/>
      <c r="Q982" s="156"/>
      <c r="R982" s="150"/>
    </row>
    <row r="983" spans="1:18" ht="35.25" hidden="1" customHeight="1">
      <c r="A983" s="15">
        <f t="shared" si="15"/>
        <v>973</v>
      </c>
      <c r="B983" s="144" t="s">
        <v>1528</v>
      </c>
      <c r="C983" s="150" t="s">
        <v>1529</v>
      </c>
      <c r="D983" s="156"/>
      <c r="E983" s="156"/>
      <c r="F983" s="156"/>
      <c r="G983" s="144"/>
      <c r="H983" s="141"/>
      <c r="I983" s="153" t="s">
        <v>566</v>
      </c>
      <c r="J983" s="153">
        <v>1</v>
      </c>
      <c r="K983" s="145" t="s">
        <v>730</v>
      </c>
      <c r="L983" s="142" t="s">
        <v>2521</v>
      </c>
      <c r="M983" s="11" t="str">
        <f>VLOOKUP(N983,'Mã NV'!$A$3:$B$196,2,0)</f>
        <v>TE31</v>
      </c>
      <c r="N983" s="310" t="s">
        <v>3735</v>
      </c>
      <c r="O983" s="381">
        <v>44197</v>
      </c>
      <c r="P983" s="371"/>
      <c r="Q983" s="180"/>
      <c r="R983" s="150"/>
    </row>
    <row r="984" spans="1:18" ht="35.25" hidden="1" customHeight="1">
      <c r="A984" s="15">
        <f t="shared" si="15"/>
        <v>974</v>
      </c>
      <c r="B984" s="144" t="s">
        <v>1530</v>
      </c>
      <c r="C984" s="150" t="s">
        <v>1531</v>
      </c>
      <c r="D984" s="156"/>
      <c r="E984" s="156"/>
      <c r="F984" s="156"/>
      <c r="G984" s="144"/>
      <c r="H984" s="141"/>
      <c r="I984" s="153" t="s">
        <v>566</v>
      </c>
      <c r="J984" s="153">
        <v>1</v>
      </c>
      <c r="K984" s="145" t="s">
        <v>730</v>
      </c>
      <c r="L984" s="142" t="s">
        <v>2521</v>
      </c>
      <c r="M984" s="11" t="str">
        <f>VLOOKUP(N984,'Mã NV'!$A$3:$B$196,2,0)</f>
        <v>TE31</v>
      </c>
      <c r="N984" s="310" t="s">
        <v>3735</v>
      </c>
      <c r="O984" s="381">
        <v>44197</v>
      </c>
      <c r="P984" s="371"/>
      <c r="Q984" s="180"/>
      <c r="R984" s="150"/>
    </row>
    <row r="985" spans="1:18" ht="35.25" hidden="1" customHeight="1">
      <c r="A985" s="15">
        <f t="shared" si="15"/>
        <v>975</v>
      </c>
      <c r="B985" s="144" t="s">
        <v>1532</v>
      </c>
      <c r="C985" s="150" t="s">
        <v>1533</v>
      </c>
      <c r="D985" s="156"/>
      <c r="E985" s="156"/>
      <c r="F985" s="156"/>
      <c r="G985" s="144"/>
      <c r="H985" s="141"/>
      <c r="I985" s="153" t="s">
        <v>566</v>
      </c>
      <c r="J985" s="153">
        <v>1</v>
      </c>
      <c r="K985" s="145" t="s">
        <v>730</v>
      </c>
      <c r="L985" s="142" t="s">
        <v>2521</v>
      </c>
      <c r="M985" s="11" t="str">
        <f>VLOOKUP(N985,'Mã NV'!$A$3:$B$196,2,0)</f>
        <v>TE31</v>
      </c>
      <c r="N985" s="310" t="s">
        <v>3735</v>
      </c>
      <c r="O985" s="381">
        <v>44197</v>
      </c>
      <c r="P985" s="371"/>
      <c r="Q985" s="180"/>
      <c r="R985" s="144" t="s">
        <v>2505</v>
      </c>
    </row>
    <row r="986" spans="1:18" ht="35.25" hidden="1" customHeight="1">
      <c r="A986" s="15">
        <f t="shared" si="15"/>
        <v>976</v>
      </c>
      <c r="B986" s="144" t="s">
        <v>1534</v>
      </c>
      <c r="C986" s="150" t="s">
        <v>1535</v>
      </c>
      <c r="D986" s="156"/>
      <c r="E986" s="156"/>
      <c r="F986" s="156"/>
      <c r="G986" s="144"/>
      <c r="H986" s="141"/>
      <c r="I986" s="153" t="s">
        <v>566</v>
      </c>
      <c r="J986" s="153">
        <v>1</v>
      </c>
      <c r="K986" s="145" t="s">
        <v>730</v>
      </c>
      <c r="L986" s="142" t="s">
        <v>2521</v>
      </c>
      <c r="M986" s="11" t="str">
        <f>VLOOKUP(N986,'Mã NV'!$A$3:$B$196,2,0)</f>
        <v>TE31</v>
      </c>
      <c r="N986" s="310" t="s">
        <v>3735</v>
      </c>
      <c r="O986" s="381">
        <v>44197</v>
      </c>
      <c r="P986" s="371"/>
      <c r="Q986" s="180"/>
      <c r="R986" s="150"/>
    </row>
    <row r="987" spans="1:18" ht="35.25" hidden="1" customHeight="1">
      <c r="A987" s="15">
        <f t="shared" si="15"/>
        <v>977</v>
      </c>
      <c r="B987" s="144" t="s">
        <v>1536</v>
      </c>
      <c r="C987" s="150" t="s">
        <v>1537</v>
      </c>
      <c r="D987" s="156"/>
      <c r="E987" s="156"/>
      <c r="F987" s="156"/>
      <c r="G987" s="144"/>
      <c r="H987" s="141"/>
      <c r="I987" s="153" t="s">
        <v>566</v>
      </c>
      <c r="J987" s="153">
        <v>1</v>
      </c>
      <c r="K987" s="145" t="s">
        <v>730</v>
      </c>
      <c r="L987" s="142" t="s">
        <v>2521</v>
      </c>
      <c r="M987" s="11" t="str">
        <f>VLOOKUP(N987,'Mã NV'!$A$3:$B$196,2,0)</f>
        <v>TE31</v>
      </c>
      <c r="N987" s="310" t="s">
        <v>3735</v>
      </c>
      <c r="O987" s="381">
        <v>44197</v>
      </c>
      <c r="P987" s="371"/>
      <c r="Q987" s="156"/>
      <c r="R987" s="150"/>
    </row>
    <row r="988" spans="1:18" ht="35.25" hidden="1" customHeight="1">
      <c r="A988" s="15">
        <f t="shared" si="15"/>
        <v>978</v>
      </c>
      <c r="B988" s="144" t="s">
        <v>1538</v>
      </c>
      <c r="C988" s="150" t="s">
        <v>578</v>
      </c>
      <c r="D988" s="156"/>
      <c r="E988" s="156"/>
      <c r="F988" s="156"/>
      <c r="G988" s="144"/>
      <c r="H988" s="141"/>
      <c r="I988" s="153" t="s">
        <v>566</v>
      </c>
      <c r="J988" s="153">
        <v>1</v>
      </c>
      <c r="K988" s="145" t="s">
        <v>730</v>
      </c>
      <c r="L988" s="142" t="s">
        <v>2521</v>
      </c>
      <c r="M988" s="11" t="str">
        <f>VLOOKUP(N988,'Mã NV'!$A$3:$B$196,2,0)</f>
        <v>TE31</v>
      </c>
      <c r="N988" s="310" t="s">
        <v>3735</v>
      </c>
      <c r="O988" s="381">
        <v>44197</v>
      </c>
      <c r="P988" s="371"/>
      <c r="Q988" s="156"/>
      <c r="R988" s="144" t="s">
        <v>2498</v>
      </c>
    </row>
    <row r="989" spans="1:18" ht="35.25" hidden="1" customHeight="1">
      <c r="A989" s="15">
        <f t="shared" si="15"/>
        <v>979</v>
      </c>
      <c r="B989" s="144" t="s">
        <v>1539</v>
      </c>
      <c r="C989" s="150" t="s">
        <v>582</v>
      </c>
      <c r="D989" s="156"/>
      <c r="E989" s="156"/>
      <c r="F989" s="156"/>
      <c r="G989" s="144"/>
      <c r="H989" s="141"/>
      <c r="I989" s="153" t="s">
        <v>566</v>
      </c>
      <c r="J989" s="153">
        <v>1</v>
      </c>
      <c r="K989" s="145" t="s">
        <v>730</v>
      </c>
      <c r="L989" s="142" t="s">
        <v>2521</v>
      </c>
      <c r="M989" s="11" t="str">
        <f>VLOOKUP(N989,'Mã NV'!$A$3:$B$196,2,0)</f>
        <v>TE31</v>
      </c>
      <c r="N989" s="310" t="s">
        <v>3735</v>
      </c>
      <c r="O989" s="381">
        <v>44197</v>
      </c>
      <c r="P989" s="371"/>
      <c r="Q989" s="156"/>
      <c r="R989" s="150"/>
    </row>
    <row r="990" spans="1:18" ht="35.25" hidden="1" customHeight="1">
      <c r="A990" s="15">
        <f t="shared" si="15"/>
        <v>980</v>
      </c>
      <c r="B990" s="144" t="s">
        <v>1540</v>
      </c>
      <c r="C990" s="150" t="s">
        <v>445</v>
      </c>
      <c r="D990" s="156"/>
      <c r="E990" s="156"/>
      <c r="F990" s="156"/>
      <c r="G990" s="144"/>
      <c r="H990" s="141"/>
      <c r="I990" s="153" t="s">
        <v>566</v>
      </c>
      <c r="J990" s="153">
        <v>1</v>
      </c>
      <c r="K990" s="145" t="s">
        <v>730</v>
      </c>
      <c r="L990" s="142" t="s">
        <v>2521</v>
      </c>
      <c r="M990" s="11" t="str">
        <f>VLOOKUP(N990,'Mã NV'!$A$3:$B$196,2,0)</f>
        <v>TE31</v>
      </c>
      <c r="N990" s="310" t="s">
        <v>3735</v>
      </c>
      <c r="O990" s="380">
        <f>VLOOKUP(B990,'Tổng hợp (3)'!$C$4:$E$985,3,0)</f>
        <v>44749</v>
      </c>
      <c r="P990" s="378"/>
      <c r="Q990" s="156"/>
      <c r="R990" s="150"/>
    </row>
    <row r="991" spans="1:18" ht="35.25" hidden="1" customHeight="1">
      <c r="A991" s="15">
        <f t="shared" si="15"/>
        <v>981</v>
      </c>
      <c r="B991" s="156" t="s">
        <v>1541</v>
      </c>
      <c r="C991" s="169" t="s">
        <v>1542</v>
      </c>
      <c r="D991" s="156"/>
      <c r="E991" s="156"/>
      <c r="F991" s="156"/>
      <c r="G991" s="156"/>
      <c r="H991" s="141"/>
      <c r="I991" s="158" t="s">
        <v>566</v>
      </c>
      <c r="J991" s="158">
        <v>1</v>
      </c>
      <c r="K991" s="145" t="s">
        <v>730</v>
      </c>
      <c r="L991" s="145" t="s">
        <v>2521</v>
      </c>
      <c r="M991" s="11" t="str">
        <f>VLOOKUP(N991,'Mã NV'!$A$3:$B$196,2,0)</f>
        <v>TE111</v>
      </c>
      <c r="N991" s="302" t="s">
        <v>2565</v>
      </c>
      <c r="O991" s="381">
        <v>44197</v>
      </c>
      <c r="P991" s="371"/>
      <c r="Q991" s="156"/>
      <c r="R991" s="169"/>
    </row>
    <row r="992" spans="1:18" ht="35.25" hidden="1" customHeight="1">
      <c r="A992" s="15">
        <f t="shared" si="15"/>
        <v>982</v>
      </c>
      <c r="B992" s="156" t="s">
        <v>1543</v>
      </c>
      <c r="C992" s="169" t="s">
        <v>120</v>
      </c>
      <c r="D992" s="156"/>
      <c r="E992" s="156"/>
      <c r="F992" s="156"/>
      <c r="G992" s="156"/>
      <c r="H992" s="141"/>
      <c r="I992" s="158" t="s">
        <v>566</v>
      </c>
      <c r="J992" s="158">
        <v>1</v>
      </c>
      <c r="K992" s="145" t="s">
        <v>730</v>
      </c>
      <c r="L992" s="145" t="s">
        <v>2521</v>
      </c>
      <c r="M992" s="11" t="str">
        <f>VLOOKUP(N992,'Mã NV'!$A$3:$B$196,2,0)</f>
        <v>TE111</v>
      </c>
      <c r="N992" s="302" t="s">
        <v>2565</v>
      </c>
      <c r="O992" s="380">
        <f>VLOOKUP(B992,'Tổng hợp (3)'!$C$4:$E$985,3,0)</f>
        <v>44956</v>
      </c>
      <c r="P992" s="378"/>
      <c r="Q992" s="156"/>
      <c r="R992" s="169"/>
    </row>
    <row r="993" spans="1:18" ht="35.25" hidden="1" customHeight="1">
      <c r="A993" s="15">
        <f t="shared" si="15"/>
        <v>983</v>
      </c>
      <c r="B993" s="156" t="s">
        <v>1544</v>
      </c>
      <c r="C993" s="169" t="s">
        <v>1535</v>
      </c>
      <c r="D993" s="156"/>
      <c r="E993" s="156"/>
      <c r="F993" s="156"/>
      <c r="G993" s="156"/>
      <c r="H993" s="141"/>
      <c r="I993" s="158" t="s">
        <v>566</v>
      </c>
      <c r="J993" s="158">
        <v>1</v>
      </c>
      <c r="K993" s="145" t="s">
        <v>730</v>
      </c>
      <c r="L993" s="145" t="s">
        <v>2521</v>
      </c>
      <c r="M993" s="11" t="str">
        <f>VLOOKUP(N993,'Mã NV'!$A$3:$B$196,2,0)</f>
        <v>TE111</v>
      </c>
      <c r="N993" s="302" t="s">
        <v>2565</v>
      </c>
      <c r="O993" s="381">
        <v>44197</v>
      </c>
      <c r="P993" s="371"/>
      <c r="Q993" s="156"/>
      <c r="R993" s="169"/>
    </row>
    <row r="994" spans="1:18" ht="35.25" hidden="1" customHeight="1">
      <c r="A994" s="15">
        <f t="shared" si="15"/>
        <v>984</v>
      </c>
      <c r="B994" s="156" t="s">
        <v>1545</v>
      </c>
      <c r="C994" s="189" t="s">
        <v>1546</v>
      </c>
      <c r="D994" s="156"/>
      <c r="E994" s="156"/>
      <c r="F994" s="156"/>
      <c r="G994" s="176"/>
      <c r="H994" s="141"/>
      <c r="I994" s="158" t="s">
        <v>566</v>
      </c>
      <c r="J994" s="158">
        <v>1</v>
      </c>
      <c r="K994" s="145" t="s">
        <v>730</v>
      </c>
      <c r="L994" s="145" t="s">
        <v>2521</v>
      </c>
      <c r="M994" s="11" t="str">
        <f>VLOOKUP(N994,'Mã NV'!$A$3:$B$196,2,0)</f>
        <v>TE111</v>
      </c>
      <c r="N994" s="311" t="s">
        <v>2565</v>
      </c>
      <c r="O994" s="380">
        <f>VLOOKUP(B994,'Tổng hợp (3)'!$C$4:$E$985,3,0)</f>
        <v>44812</v>
      </c>
      <c r="P994" s="378"/>
      <c r="Q994" s="156"/>
      <c r="R994" s="169"/>
    </row>
    <row r="995" spans="1:18" ht="35.25" hidden="1" customHeight="1">
      <c r="A995" s="15">
        <f t="shared" si="15"/>
        <v>985</v>
      </c>
      <c r="B995" s="156" t="s">
        <v>1547</v>
      </c>
      <c r="C995" s="189" t="s">
        <v>1548</v>
      </c>
      <c r="D995" s="156"/>
      <c r="E995" s="156"/>
      <c r="F995" s="156"/>
      <c r="G995" s="176" t="s">
        <v>2405</v>
      </c>
      <c r="H995" s="141"/>
      <c r="I995" s="158" t="s">
        <v>566</v>
      </c>
      <c r="J995" s="158">
        <v>1</v>
      </c>
      <c r="K995" s="145" t="s">
        <v>730</v>
      </c>
      <c r="L995" s="145" t="s">
        <v>2521</v>
      </c>
      <c r="M995" s="11" t="str">
        <f>VLOOKUP(N995,'Mã NV'!$A$3:$B$196,2,0)</f>
        <v>TE111</v>
      </c>
      <c r="N995" s="311" t="s">
        <v>2565</v>
      </c>
      <c r="O995" s="380">
        <f>VLOOKUP(B995,'Tổng hợp (3)'!$C$4:$E$985,3,0)</f>
        <v>44819</v>
      </c>
      <c r="P995" s="378"/>
      <c r="Q995" s="156"/>
      <c r="R995" s="169"/>
    </row>
    <row r="996" spans="1:18" ht="35.25" hidden="1" customHeight="1">
      <c r="A996" s="15">
        <f t="shared" si="15"/>
        <v>986</v>
      </c>
      <c r="B996" s="156" t="s">
        <v>1549</v>
      </c>
      <c r="C996" s="189" t="s">
        <v>582</v>
      </c>
      <c r="D996" s="156"/>
      <c r="E996" s="156"/>
      <c r="F996" s="156"/>
      <c r="G996" s="176"/>
      <c r="H996" s="141"/>
      <c r="I996" s="158" t="s">
        <v>566</v>
      </c>
      <c r="J996" s="158">
        <v>1</v>
      </c>
      <c r="K996" s="145" t="s">
        <v>730</v>
      </c>
      <c r="L996" s="145" t="s">
        <v>2521</v>
      </c>
      <c r="M996" s="11" t="str">
        <f>VLOOKUP(N996,'Mã NV'!$A$3:$B$196,2,0)</f>
        <v>TE111</v>
      </c>
      <c r="N996" s="311" t="s">
        <v>2565</v>
      </c>
      <c r="O996" s="380">
        <f>VLOOKUP(B996,'Tổng hợp (3)'!$C$4:$E$985,3,0)</f>
        <v>44905</v>
      </c>
      <c r="P996" s="378"/>
      <c r="Q996" s="156"/>
      <c r="R996" s="169"/>
    </row>
    <row r="997" spans="1:18" ht="35.25" hidden="1" customHeight="1">
      <c r="A997" s="15">
        <f t="shared" si="15"/>
        <v>987</v>
      </c>
      <c r="B997" s="144" t="s">
        <v>1550</v>
      </c>
      <c r="C997" s="191" t="s">
        <v>451</v>
      </c>
      <c r="D997" s="156"/>
      <c r="E997" s="156"/>
      <c r="F997" s="156"/>
      <c r="G997" s="161"/>
      <c r="H997" s="141"/>
      <c r="I997" s="153" t="s">
        <v>566</v>
      </c>
      <c r="J997" s="153">
        <v>1</v>
      </c>
      <c r="K997" s="145" t="s">
        <v>730</v>
      </c>
      <c r="L997" s="142" t="s">
        <v>2521</v>
      </c>
      <c r="M997" s="11" t="str">
        <f>VLOOKUP(N997,'Mã NV'!$A$3:$B$196,2,0)</f>
        <v>TE109</v>
      </c>
      <c r="N997" s="312" t="s">
        <v>2566</v>
      </c>
      <c r="O997" s="380">
        <f>VLOOKUP(B997,'Tổng hợp (3)'!$C$4:$E$985,3,0)</f>
        <v>44558</v>
      </c>
      <c r="P997" s="378"/>
      <c r="Q997" s="156"/>
      <c r="R997" s="150"/>
    </row>
    <row r="998" spans="1:18" ht="35.25" hidden="1" customHeight="1">
      <c r="A998" s="15">
        <f t="shared" si="15"/>
        <v>988</v>
      </c>
      <c r="B998" s="144" t="s">
        <v>1551</v>
      </c>
      <c r="C998" s="191" t="s">
        <v>570</v>
      </c>
      <c r="D998" s="156"/>
      <c r="E998" s="156"/>
      <c r="F998" s="156"/>
      <c r="G998" s="161" t="s">
        <v>2406</v>
      </c>
      <c r="H998" s="141"/>
      <c r="I998" s="153" t="s">
        <v>566</v>
      </c>
      <c r="J998" s="153">
        <v>1</v>
      </c>
      <c r="K998" s="145" t="s">
        <v>730</v>
      </c>
      <c r="L998" s="142" t="s">
        <v>2521</v>
      </c>
      <c r="M998" s="11" t="str">
        <f>VLOOKUP(N998,'Mã NV'!$A$3:$B$196,2,0)</f>
        <v>TE109</v>
      </c>
      <c r="N998" s="312" t="s">
        <v>2566</v>
      </c>
      <c r="O998" s="380">
        <f>VLOOKUP(B998,'Tổng hợp (3)'!$C$4:$E$985,3,0)</f>
        <v>44748</v>
      </c>
      <c r="P998" s="378"/>
      <c r="Q998" s="156"/>
      <c r="R998" s="150"/>
    </row>
    <row r="999" spans="1:18" ht="35.25" hidden="1" customHeight="1">
      <c r="A999" s="15">
        <f t="shared" si="15"/>
        <v>989</v>
      </c>
      <c r="B999" s="161" t="s">
        <v>1552</v>
      </c>
      <c r="C999" s="150" t="s">
        <v>445</v>
      </c>
      <c r="D999" s="156"/>
      <c r="E999" s="156"/>
      <c r="F999" s="156"/>
      <c r="G999" s="144"/>
      <c r="H999" s="141"/>
      <c r="I999" s="153" t="s">
        <v>566</v>
      </c>
      <c r="J999" s="153">
        <v>1</v>
      </c>
      <c r="K999" s="145" t="s">
        <v>730</v>
      </c>
      <c r="L999" s="142" t="s">
        <v>2521</v>
      </c>
      <c r="M999" s="11" t="str">
        <f>VLOOKUP(N999,'Mã NV'!$A$3:$B$196,2,0)</f>
        <v>TE109</v>
      </c>
      <c r="N999" s="312" t="s">
        <v>2566</v>
      </c>
      <c r="O999" s="380">
        <f>VLOOKUP(B999,'Tổng hợp (3)'!$C$4:$E$985,3,0)</f>
        <v>44747</v>
      </c>
      <c r="P999" s="378"/>
      <c r="Q999" s="156"/>
      <c r="R999" s="150"/>
    </row>
    <row r="1000" spans="1:18" ht="35.25" hidden="1" customHeight="1">
      <c r="A1000" s="15">
        <f t="shared" si="15"/>
        <v>990</v>
      </c>
      <c r="B1000" s="144" t="s">
        <v>1553</v>
      </c>
      <c r="C1000" s="191" t="s">
        <v>32</v>
      </c>
      <c r="D1000" s="156"/>
      <c r="E1000" s="156"/>
      <c r="F1000" s="156"/>
      <c r="G1000" s="161"/>
      <c r="H1000" s="141"/>
      <c r="I1000" s="153" t="s">
        <v>566</v>
      </c>
      <c r="J1000" s="153">
        <v>1</v>
      </c>
      <c r="K1000" s="145" t="s">
        <v>730</v>
      </c>
      <c r="L1000" s="142" t="s">
        <v>2521</v>
      </c>
      <c r="M1000" s="11" t="str">
        <f>VLOOKUP(N1000,'Mã NV'!$A$3:$B$196,2,0)</f>
        <v>TE109</v>
      </c>
      <c r="N1000" s="312" t="s">
        <v>2566</v>
      </c>
      <c r="O1000" s="380">
        <f>VLOOKUP(B1000,'Tổng hợp (3)'!$C$4:$E$985,3,0)</f>
        <v>44819</v>
      </c>
      <c r="P1000" s="378"/>
      <c r="Q1000" s="156"/>
      <c r="R1000" s="150"/>
    </row>
    <row r="1001" spans="1:18" ht="35.25" hidden="1" customHeight="1">
      <c r="A1001" s="15">
        <f t="shared" si="15"/>
        <v>991</v>
      </c>
      <c r="B1001" s="144" t="s">
        <v>1554</v>
      </c>
      <c r="C1001" s="191" t="s">
        <v>582</v>
      </c>
      <c r="D1001" s="169"/>
      <c r="E1001" s="169"/>
      <c r="F1001" s="169"/>
      <c r="G1001" s="161"/>
      <c r="H1001" s="141"/>
      <c r="I1001" s="153" t="s">
        <v>566</v>
      </c>
      <c r="J1001" s="153">
        <v>1</v>
      </c>
      <c r="K1001" s="145" t="s">
        <v>730</v>
      </c>
      <c r="L1001" s="142" t="s">
        <v>2521</v>
      </c>
      <c r="M1001" s="11" t="str">
        <f>VLOOKUP(N1001,'Mã NV'!$A$3:$B$196,2,0)</f>
        <v>TE109</v>
      </c>
      <c r="N1001" s="312" t="s">
        <v>2566</v>
      </c>
      <c r="O1001" s="381">
        <v>44197</v>
      </c>
      <c r="P1001" s="371"/>
      <c r="Q1001" s="180"/>
      <c r="R1001" s="150"/>
    </row>
    <row r="1002" spans="1:18" ht="35.25" hidden="1" customHeight="1">
      <c r="A1002" s="15">
        <f t="shared" si="15"/>
        <v>992</v>
      </c>
      <c r="B1002" s="144" t="s">
        <v>1555</v>
      </c>
      <c r="C1002" s="191" t="s">
        <v>605</v>
      </c>
      <c r="D1002" s="156"/>
      <c r="E1002" s="156"/>
      <c r="F1002" s="156"/>
      <c r="G1002" s="161"/>
      <c r="H1002" s="141"/>
      <c r="I1002" s="153" t="s">
        <v>566</v>
      </c>
      <c r="J1002" s="153">
        <v>1</v>
      </c>
      <c r="K1002" s="145" t="s">
        <v>730</v>
      </c>
      <c r="L1002" s="142" t="s">
        <v>2521</v>
      </c>
      <c r="M1002" s="11" t="str">
        <f>VLOOKUP(N1002,'Mã NV'!$A$3:$B$196,2,0)</f>
        <v>TE109</v>
      </c>
      <c r="N1002" s="312" t="s">
        <v>2566</v>
      </c>
      <c r="O1002" s="381">
        <v>44197</v>
      </c>
      <c r="P1002" s="371"/>
      <c r="Q1002" s="180"/>
      <c r="R1002" s="150"/>
    </row>
    <row r="1003" spans="1:18" ht="35.25" hidden="1" customHeight="1">
      <c r="A1003" s="15">
        <f t="shared" si="15"/>
        <v>993</v>
      </c>
      <c r="B1003" s="144" t="s">
        <v>1556</v>
      </c>
      <c r="C1003" s="191" t="s">
        <v>1202</v>
      </c>
      <c r="D1003" s="156"/>
      <c r="E1003" s="156"/>
      <c r="F1003" s="156"/>
      <c r="G1003" s="161"/>
      <c r="H1003" s="141"/>
      <c r="I1003" s="153" t="s">
        <v>566</v>
      </c>
      <c r="J1003" s="153">
        <v>1</v>
      </c>
      <c r="K1003" s="145" t="s">
        <v>730</v>
      </c>
      <c r="L1003" s="142" t="s">
        <v>2521</v>
      </c>
      <c r="M1003" s="11" t="str">
        <f>VLOOKUP(N1003,'Mã NV'!$A$3:$B$196,2,0)</f>
        <v>TE109</v>
      </c>
      <c r="N1003" s="312" t="s">
        <v>2566</v>
      </c>
      <c r="O1003" s="381">
        <v>44197</v>
      </c>
      <c r="P1003" s="371"/>
      <c r="Q1003" s="180"/>
      <c r="R1003" s="150"/>
    </row>
    <row r="1004" spans="1:18" ht="35.25" hidden="1" customHeight="1">
      <c r="A1004" s="15">
        <f t="shared" si="15"/>
        <v>994</v>
      </c>
      <c r="B1004" s="144" t="s">
        <v>1557</v>
      </c>
      <c r="C1004" s="191" t="s">
        <v>1306</v>
      </c>
      <c r="D1004" s="46"/>
      <c r="E1004" s="46"/>
      <c r="F1004" s="46"/>
      <c r="G1004" s="161"/>
      <c r="H1004" s="141"/>
      <c r="I1004" s="153" t="s">
        <v>566</v>
      </c>
      <c r="J1004" s="153">
        <v>1</v>
      </c>
      <c r="K1004" s="145" t="s">
        <v>730</v>
      </c>
      <c r="L1004" s="142" t="s">
        <v>2521</v>
      </c>
      <c r="M1004" s="11" t="str">
        <f>VLOOKUP(N1004,'Mã NV'!$A$3:$B$196,2,0)</f>
        <v>TE109</v>
      </c>
      <c r="N1004" s="312" t="s">
        <v>2566</v>
      </c>
      <c r="O1004" s="381">
        <v>44197</v>
      </c>
      <c r="P1004" s="371"/>
      <c r="Q1004" s="43"/>
      <c r="R1004" s="150"/>
    </row>
    <row r="1005" spans="1:18" ht="35.25" hidden="1" customHeight="1">
      <c r="A1005" s="15">
        <f t="shared" si="15"/>
        <v>995</v>
      </c>
      <c r="B1005" s="36" t="s">
        <v>1558</v>
      </c>
      <c r="C1005" s="150" t="s">
        <v>1559</v>
      </c>
      <c r="D1005" s="156"/>
      <c r="E1005" s="156"/>
      <c r="F1005" s="156"/>
      <c r="G1005" s="161"/>
      <c r="H1005" s="141"/>
      <c r="I1005" s="153" t="s">
        <v>566</v>
      </c>
      <c r="J1005" s="153">
        <v>1</v>
      </c>
      <c r="K1005" s="145" t="s">
        <v>730</v>
      </c>
      <c r="L1005" s="142" t="s">
        <v>2521</v>
      </c>
      <c r="M1005" s="11" t="str">
        <f>VLOOKUP(N1005,'Mã NV'!$A$3:$B$196,2,0)</f>
        <v>TE109</v>
      </c>
      <c r="N1005" s="312" t="s">
        <v>2566</v>
      </c>
      <c r="O1005" s="380">
        <f>VLOOKUP(B1005,'Tổng hợp (3)'!$C$4:$E$985,3,0)</f>
        <v>44939</v>
      </c>
      <c r="P1005" s="378"/>
      <c r="Q1005" s="156"/>
      <c r="R1005" s="150"/>
    </row>
    <row r="1006" spans="1:18" ht="35.25" hidden="1" customHeight="1">
      <c r="A1006" s="15">
        <f t="shared" si="15"/>
        <v>996</v>
      </c>
      <c r="B1006" s="144" t="s">
        <v>1560</v>
      </c>
      <c r="C1006" s="150" t="s">
        <v>1561</v>
      </c>
      <c r="D1006" s="156"/>
      <c r="E1006" s="156"/>
      <c r="F1006" s="156"/>
      <c r="G1006" s="149" t="s">
        <v>2407</v>
      </c>
      <c r="H1006" s="141"/>
      <c r="I1006" s="153" t="s">
        <v>566</v>
      </c>
      <c r="J1006" s="153">
        <v>1</v>
      </c>
      <c r="K1006" s="145" t="s">
        <v>730</v>
      </c>
      <c r="L1006" s="142" t="s">
        <v>2521</v>
      </c>
      <c r="M1006" s="11" t="str">
        <f>VLOOKUP(N1006,'Mã NV'!$A$3:$B$196,2,0)</f>
        <v>TE33</v>
      </c>
      <c r="N1006" s="310" t="s">
        <v>2567</v>
      </c>
      <c r="O1006" s="381">
        <v>44197</v>
      </c>
      <c r="P1006" s="371"/>
      <c r="Q1006" s="156"/>
      <c r="R1006" s="150"/>
    </row>
    <row r="1007" spans="1:18" ht="35.25" hidden="1" customHeight="1">
      <c r="A1007" s="15">
        <f t="shared" si="15"/>
        <v>997</v>
      </c>
      <c r="B1007" s="144" t="s">
        <v>1562</v>
      </c>
      <c r="C1007" s="150" t="s">
        <v>605</v>
      </c>
      <c r="D1007" s="156"/>
      <c r="E1007" s="156"/>
      <c r="F1007" s="156"/>
      <c r="G1007" s="144" t="s">
        <v>2408</v>
      </c>
      <c r="H1007" s="141"/>
      <c r="I1007" s="153" t="s">
        <v>566</v>
      </c>
      <c r="J1007" s="153">
        <v>1</v>
      </c>
      <c r="K1007" s="145" t="s">
        <v>730</v>
      </c>
      <c r="L1007" s="142" t="s">
        <v>2521</v>
      </c>
      <c r="M1007" s="11" t="str">
        <f>VLOOKUP(N1007,'Mã NV'!$A$3:$B$196,2,0)</f>
        <v>TE33</v>
      </c>
      <c r="N1007" s="310" t="s">
        <v>2567</v>
      </c>
      <c r="O1007" s="381">
        <v>44197</v>
      </c>
      <c r="P1007" s="371"/>
      <c r="Q1007" s="156"/>
      <c r="R1007" s="150"/>
    </row>
    <row r="1008" spans="1:18" ht="35.25" hidden="1" customHeight="1">
      <c r="A1008" s="15">
        <f t="shared" si="15"/>
        <v>998</v>
      </c>
      <c r="B1008" s="144" t="s">
        <v>1563</v>
      </c>
      <c r="C1008" s="150" t="s">
        <v>582</v>
      </c>
      <c r="D1008" s="156"/>
      <c r="E1008" s="156"/>
      <c r="F1008" s="156"/>
      <c r="G1008" s="144"/>
      <c r="H1008" s="141"/>
      <c r="I1008" s="153" t="s">
        <v>566</v>
      </c>
      <c r="J1008" s="153">
        <v>1</v>
      </c>
      <c r="K1008" s="145" t="s">
        <v>730</v>
      </c>
      <c r="L1008" s="142" t="s">
        <v>2521</v>
      </c>
      <c r="M1008" s="11" t="str">
        <f>VLOOKUP(N1008,'Mã NV'!$A$3:$B$196,2,0)</f>
        <v>TE33</v>
      </c>
      <c r="N1008" s="310" t="s">
        <v>2567</v>
      </c>
      <c r="O1008" s="381">
        <v>44197</v>
      </c>
      <c r="P1008" s="371"/>
      <c r="Q1008" s="156"/>
      <c r="R1008" s="144" t="s">
        <v>2506</v>
      </c>
    </row>
    <row r="1009" spans="1:18" ht="35.25" hidden="1" customHeight="1">
      <c r="A1009" s="15">
        <f t="shared" si="15"/>
        <v>999</v>
      </c>
      <c r="B1009" s="144" t="s">
        <v>1564</v>
      </c>
      <c r="C1009" s="150" t="s">
        <v>451</v>
      </c>
      <c r="D1009" s="156"/>
      <c r="E1009" s="156"/>
      <c r="F1009" s="156"/>
      <c r="G1009" s="144" t="s">
        <v>2409</v>
      </c>
      <c r="H1009" s="141"/>
      <c r="I1009" s="153" t="s">
        <v>566</v>
      </c>
      <c r="J1009" s="153">
        <v>1</v>
      </c>
      <c r="K1009" s="145" t="s">
        <v>730</v>
      </c>
      <c r="L1009" s="142" t="s">
        <v>2521</v>
      </c>
      <c r="M1009" s="11" t="str">
        <f>VLOOKUP(N1009,'Mã NV'!$A$3:$B$196,2,0)</f>
        <v>TE33</v>
      </c>
      <c r="N1009" s="310" t="s">
        <v>2567</v>
      </c>
      <c r="O1009" s="381">
        <v>44197</v>
      </c>
      <c r="P1009" s="371"/>
      <c r="Q1009" s="156"/>
      <c r="R1009" s="150"/>
    </row>
    <row r="1010" spans="1:18" ht="35.25" hidden="1" customHeight="1">
      <c r="A1010" s="15">
        <f t="shared" si="15"/>
        <v>1000</v>
      </c>
      <c r="B1010" s="144" t="s">
        <v>1565</v>
      </c>
      <c r="C1010" s="150" t="s">
        <v>578</v>
      </c>
      <c r="D1010" s="156"/>
      <c r="E1010" s="156"/>
      <c r="F1010" s="156"/>
      <c r="G1010" s="144"/>
      <c r="H1010" s="141"/>
      <c r="I1010" s="153" t="s">
        <v>566</v>
      </c>
      <c r="J1010" s="153">
        <v>1</v>
      </c>
      <c r="K1010" s="145" t="s">
        <v>730</v>
      </c>
      <c r="L1010" s="142" t="s">
        <v>2521</v>
      </c>
      <c r="M1010" s="11" t="str">
        <f>VLOOKUP(N1010,'Mã NV'!$A$3:$B$196,2,0)</f>
        <v>TE33</v>
      </c>
      <c r="N1010" s="310" t="s">
        <v>2567</v>
      </c>
      <c r="O1010" s="381">
        <v>44197</v>
      </c>
      <c r="P1010" s="371"/>
      <c r="Q1010" s="156"/>
      <c r="R1010" s="150"/>
    </row>
    <row r="1011" spans="1:18" ht="35.25" hidden="1" customHeight="1">
      <c r="A1011" s="15">
        <f t="shared" si="15"/>
        <v>1001</v>
      </c>
      <c r="B1011" s="144" t="s">
        <v>1566</v>
      </c>
      <c r="C1011" s="150" t="s">
        <v>445</v>
      </c>
      <c r="D1011" s="156"/>
      <c r="E1011" s="156"/>
      <c r="F1011" s="156"/>
      <c r="G1011" s="144"/>
      <c r="H1011" s="141"/>
      <c r="I1011" s="153" t="s">
        <v>566</v>
      </c>
      <c r="J1011" s="153">
        <v>1</v>
      </c>
      <c r="K1011" s="145" t="s">
        <v>730</v>
      </c>
      <c r="L1011" s="142" t="s">
        <v>2521</v>
      </c>
      <c r="M1011" s="11" t="str">
        <f>VLOOKUP(N1011,'Mã NV'!$A$3:$B$196,2,0)</f>
        <v>TE33</v>
      </c>
      <c r="N1011" s="310" t="s">
        <v>2567</v>
      </c>
      <c r="O1011" s="380">
        <f>VLOOKUP(B1011,'Tổng hợp (3)'!$C$4:$E$985,3,0)</f>
        <v>44745</v>
      </c>
      <c r="P1011" s="378"/>
      <c r="Q1011" s="156"/>
      <c r="R1011" s="150"/>
    </row>
    <row r="1012" spans="1:18" ht="35.25" hidden="1" customHeight="1">
      <c r="A1012" s="15">
        <f t="shared" si="15"/>
        <v>1002</v>
      </c>
      <c r="B1012" s="144" t="s">
        <v>1567</v>
      </c>
      <c r="C1012" s="191" t="s">
        <v>1306</v>
      </c>
      <c r="D1012" s="19"/>
      <c r="E1012" s="19"/>
      <c r="F1012" s="19"/>
      <c r="G1012" s="144"/>
      <c r="H1012" s="141"/>
      <c r="I1012" s="153" t="s">
        <v>566</v>
      </c>
      <c r="J1012" s="153">
        <v>1</v>
      </c>
      <c r="K1012" s="145" t="s">
        <v>730</v>
      </c>
      <c r="L1012" s="142" t="s">
        <v>2521</v>
      </c>
      <c r="M1012" s="11" t="str">
        <f>VLOOKUP(N1012,'Mã NV'!$A$3:$B$196,2,0)</f>
        <v>TE33</v>
      </c>
      <c r="N1012" s="310" t="s">
        <v>2567</v>
      </c>
      <c r="O1012" s="381">
        <v>44197</v>
      </c>
      <c r="P1012" s="371"/>
      <c r="Q1012" s="156"/>
      <c r="R1012" s="150"/>
    </row>
    <row r="1013" spans="1:18" ht="35.25" hidden="1" customHeight="1">
      <c r="A1013" s="15">
        <f t="shared" si="15"/>
        <v>1003</v>
      </c>
      <c r="B1013" s="144" t="s">
        <v>1568</v>
      </c>
      <c r="C1013" s="150" t="s">
        <v>1569</v>
      </c>
      <c r="D1013" s="19"/>
      <c r="E1013" s="19"/>
      <c r="F1013" s="19"/>
      <c r="G1013" s="144"/>
      <c r="H1013" s="141"/>
      <c r="I1013" s="153" t="s">
        <v>566</v>
      </c>
      <c r="J1013" s="153">
        <v>1</v>
      </c>
      <c r="K1013" s="145" t="s">
        <v>730</v>
      </c>
      <c r="L1013" s="142" t="s">
        <v>2521</v>
      </c>
      <c r="M1013" s="11" t="str">
        <f>VLOOKUP(N1013,'Mã NV'!$A$3:$B$196,2,0)</f>
        <v>TE33</v>
      </c>
      <c r="N1013" s="310" t="s">
        <v>2567</v>
      </c>
      <c r="O1013" s="381">
        <v>44197</v>
      </c>
      <c r="P1013" s="371"/>
      <c r="Q1013" s="156"/>
      <c r="R1013" s="150"/>
    </row>
    <row r="1014" spans="1:18" ht="35.25" hidden="1" customHeight="1">
      <c r="A1014" s="15">
        <f t="shared" si="15"/>
        <v>1004</v>
      </c>
      <c r="B1014" s="144" t="s">
        <v>1570</v>
      </c>
      <c r="C1014" s="150" t="s">
        <v>570</v>
      </c>
      <c r="D1014" s="181"/>
      <c r="E1014" s="181"/>
      <c r="F1014" s="181"/>
      <c r="G1014" s="144"/>
      <c r="H1014" s="141"/>
      <c r="I1014" s="153" t="s">
        <v>566</v>
      </c>
      <c r="J1014" s="153">
        <v>1</v>
      </c>
      <c r="K1014" s="145" t="s">
        <v>730</v>
      </c>
      <c r="L1014" s="142" t="s">
        <v>2521</v>
      </c>
      <c r="M1014" s="11" t="str">
        <f>VLOOKUP(N1014,'Mã NV'!$A$3:$B$196,2,0)</f>
        <v>TE62</v>
      </c>
      <c r="N1014" s="310" t="s">
        <v>2568</v>
      </c>
      <c r="O1014" s="381">
        <v>44197</v>
      </c>
      <c r="P1014" s="371"/>
      <c r="Q1014" s="156"/>
      <c r="R1014" s="150"/>
    </row>
    <row r="1015" spans="1:18" ht="35.25" hidden="1" customHeight="1">
      <c r="A1015" s="15">
        <f t="shared" si="15"/>
        <v>1005</v>
      </c>
      <c r="B1015" s="144" t="s">
        <v>1571</v>
      </c>
      <c r="C1015" s="150" t="s">
        <v>445</v>
      </c>
      <c r="D1015" s="181"/>
      <c r="E1015" s="181"/>
      <c r="F1015" s="181"/>
      <c r="G1015" s="144"/>
      <c r="H1015" s="141"/>
      <c r="I1015" s="153" t="s">
        <v>566</v>
      </c>
      <c r="J1015" s="153">
        <v>1</v>
      </c>
      <c r="K1015" s="145" t="s">
        <v>730</v>
      </c>
      <c r="L1015" s="142" t="s">
        <v>2521</v>
      </c>
      <c r="M1015" s="11" t="str">
        <f>VLOOKUP(N1015,'Mã NV'!$A$3:$B$196,2,0)</f>
        <v>TE62</v>
      </c>
      <c r="N1015" s="310" t="s">
        <v>2568</v>
      </c>
      <c r="O1015" s="380">
        <f>VLOOKUP(B1015,'Tổng hợp (3)'!$C$4:$E$985,3,0)</f>
        <v>44748</v>
      </c>
      <c r="P1015" s="378"/>
      <c r="Q1015" s="156"/>
      <c r="R1015" s="150"/>
    </row>
    <row r="1016" spans="1:18" ht="35.25" hidden="1" customHeight="1">
      <c r="A1016" s="15">
        <f t="shared" si="15"/>
        <v>1006</v>
      </c>
      <c r="B1016" s="144" t="s">
        <v>1572</v>
      </c>
      <c r="C1016" s="150" t="s">
        <v>32</v>
      </c>
      <c r="D1016" s="181"/>
      <c r="E1016" s="181"/>
      <c r="F1016" s="181"/>
      <c r="G1016" s="144"/>
      <c r="H1016" s="141"/>
      <c r="I1016" s="153" t="s">
        <v>566</v>
      </c>
      <c r="J1016" s="153">
        <v>1</v>
      </c>
      <c r="K1016" s="145" t="s">
        <v>730</v>
      </c>
      <c r="L1016" s="142" t="s">
        <v>2521</v>
      </c>
      <c r="M1016" s="11" t="str">
        <f>VLOOKUP(N1016,'Mã NV'!$A$3:$B$196,2,0)</f>
        <v>TE62</v>
      </c>
      <c r="N1016" s="310" t="s">
        <v>2568</v>
      </c>
      <c r="O1016" s="381">
        <v>44197</v>
      </c>
      <c r="P1016" s="371"/>
      <c r="Q1016" s="156"/>
      <c r="R1016" s="150"/>
    </row>
    <row r="1017" spans="1:18" ht="35.25" hidden="1" customHeight="1">
      <c r="A1017" s="15">
        <f t="shared" si="15"/>
        <v>1007</v>
      </c>
      <c r="B1017" s="144" t="s">
        <v>1573</v>
      </c>
      <c r="C1017" s="150" t="s">
        <v>582</v>
      </c>
      <c r="D1017" s="181"/>
      <c r="E1017" s="181"/>
      <c r="F1017" s="181"/>
      <c r="G1017" s="144"/>
      <c r="H1017" s="141"/>
      <c r="I1017" s="153" t="s">
        <v>566</v>
      </c>
      <c r="J1017" s="153">
        <v>1</v>
      </c>
      <c r="K1017" s="145" t="s">
        <v>730</v>
      </c>
      <c r="L1017" s="142" t="s">
        <v>2521</v>
      </c>
      <c r="M1017" s="11" t="str">
        <f>VLOOKUP(N1017,'Mã NV'!$A$3:$B$196,2,0)</f>
        <v>TE62</v>
      </c>
      <c r="N1017" s="310" t="s">
        <v>2568</v>
      </c>
      <c r="O1017" s="381">
        <v>44197</v>
      </c>
      <c r="P1017" s="371"/>
      <c r="Q1017" s="156"/>
      <c r="R1017" s="150"/>
    </row>
    <row r="1018" spans="1:18" ht="35.25" hidden="1" customHeight="1">
      <c r="A1018" s="15">
        <f t="shared" si="15"/>
        <v>1008</v>
      </c>
      <c r="B1018" s="144" t="s">
        <v>1574</v>
      </c>
      <c r="C1018" s="150" t="s">
        <v>1306</v>
      </c>
      <c r="D1018" s="181"/>
      <c r="E1018" s="181"/>
      <c r="F1018" s="181"/>
      <c r="G1018" s="144"/>
      <c r="H1018" s="141"/>
      <c r="I1018" s="153" t="s">
        <v>566</v>
      </c>
      <c r="J1018" s="153">
        <v>1</v>
      </c>
      <c r="K1018" s="145" t="s">
        <v>730</v>
      </c>
      <c r="L1018" s="142" t="s">
        <v>2521</v>
      </c>
      <c r="M1018" s="11" t="str">
        <f>VLOOKUP(N1018,'Mã NV'!$A$3:$B$196,2,0)</f>
        <v>TE62</v>
      </c>
      <c r="N1018" s="310" t="s">
        <v>2568</v>
      </c>
      <c r="O1018" s="381">
        <v>44197</v>
      </c>
      <c r="P1018" s="371"/>
      <c r="Q1018" s="156"/>
      <c r="R1018" s="150"/>
    </row>
    <row r="1019" spans="1:18" ht="35.25" hidden="1" customHeight="1">
      <c r="A1019" s="15">
        <f t="shared" si="15"/>
        <v>1009</v>
      </c>
      <c r="B1019" s="144" t="s">
        <v>1575</v>
      </c>
      <c r="C1019" s="150" t="s">
        <v>605</v>
      </c>
      <c r="D1019" s="181"/>
      <c r="E1019" s="181"/>
      <c r="F1019" s="181"/>
      <c r="G1019" s="144"/>
      <c r="H1019" s="141"/>
      <c r="I1019" s="153" t="s">
        <v>566</v>
      </c>
      <c r="J1019" s="153">
        <v>1</v>
      </c>
      <c r="K1019" s="145" t="s">
        <v>730</v>
      </c>
      <c r="L1019" s="142" t="s">
        <v>2521</v>
      </c>
      <c r="M1019" s="11" t="str">
        <f>VLOOKUP(N1019,'Mã NV'!$A$3:$B$196,2,0)</f>
        <v>TE62</v>
      </c>
      <c r="N1019" s="310" t="s">
        <v>2568</v>
      </c>
      <c r="O1019" s="381">
        <v>44197</v>
      </c>
      <c r="P1019" s="371"/>
      <c r="Q1019" s="156"/>
      <c r="R1019" s="150"/>
    </row>
    <row r="1020" spans="1:18" ht="35.25" hidden="1" customHeight="1">
      <c r="A1020" s="15">
        <f t="shared" si="15"/>
        <v>1010</v>
      </c>
      <c r="B1020" s="144" t="s">
        <v>1576</v>
      </c>
      <c r="C1020" s="150" t="s">
        <v>1202</v>
      </c>
      <c r="D1020" s="181"/>
      <c r="E1020" s="181"/>
      <c r="F1020" s="181"/>
      <c r="G1020" s="144"/>
      <c r="H1020" s="141"/>
      <c r="I1020" s="153" t="s">
        <v>566</v>
      </c>
      <c r="J1020" s="153">
        <v>1</v>
      </c>
      <c r="K1020" s="145" t="s">
        <v>730</v>
      </c>
      <c r="L1020" s="142" t="s">
        <v>2521</v>
      </c>
      <c r="M1020" s="11" t="str">
        <f>VLOOKUP(N1020,'Mã NV'!$A$3:$B$196,2,0)</f>
        <v>TE62</v>
      </c>
      <c r="N1020" s="310" t="s">
        <v>2568</v>
      </c>
      <c r="O1020" s="381">
        <v>44197</v>
      </c>
      <c r="P1020" s="371"/>
      <c r="Q1020" s="156"/>
      <c r="R1020" s="150"/>
    </row>
    <row r="1021" spans="1:18" ht="35.25" hidden="1" customHeight="1">
      <c r="A1021" s="15">
        <f t="shared" si="15"/>
        <v>1011</v>
      </c>
      <c r="B1021" s="144" t="s">
        <v>1577</v>
      </c>
      <c r="C1021" s="150" t="s">
        <v>1578</v>
      </c>
      <c r="D1021" s="181"/>
      <c r="E1021" s="181"/>
      <c r="F1021" s="181"/>
      <c r="G1021" s="144" t="s">
        <v>2410</v>
      </c>
      <c r="H1021" s="141"/>
      <c r="I1021" s="153" t="s">
        <v>566</v>
      </c>
      <c r="J1021" s="153">
        <v>1</v>
      </c>
      <c r="K1021" s="145" t="s">
        <v>730</v>
      </c>
      <c r="L1021" s="142" t="s">
        <v>2521</v>
      </c>
      <c r="M1021" s="11" t="str">
        <f>VLOOKUP(N1021,'Mã NV'!$A$3:$B$196,2,0)</f>
        <v>TE62</v>
      </c>
      <c r="N1021" s="310" t="s">
        <v>2568</v>
      </c>
      <c r="O1021" s="381">
        <v>44197</v>
      </c>
      <c r="P1021" s="371"/>
      <c r="Q1021" s="156"/>
      <c r="R1021" s="150"/>
    </row>
    <row r="1022" spans="1:18" ht="35.25" hidden="1" customHeight="1">
      <c r="A1022" s="15">
        <f t="shared" si="15"/>
        <v>1012</v>
      </c>
      <c r="B1022" s="144" t="s">
        <v>1579</v>
      </c>
      <c r="C1022" s="150" t="s">
        <v>578</v>
      </c>
      <c r="D1022" s="181"/>
      <c r="E1022" s="181"/>
      <c r="F1022" s="181"/>
      <c r="G1022" s="144"/>
      <c r="H1022" s="141"/>
      <c r="I1022" s="153" t="s">
        <v>566</v>
      </c>
      <c r="J1022" s="153">
        <v>1</v>
      </c>
      <c r="K1022" s="145" t="s">
        <v>730</v>
      </c>
      <c r="L1022" s="142" t="s">
        <v>2521</v>
      </c>
      <c r="M1022" s="11" t="str">
        <f>VLOOKUP(N1022,'Mã NV'!$A$3:$B$196,2,0)</f>
        <v>TE75</v>
      </c>
      <c r="N1022" s="310" t="s">
        <v>3746</v>
      </c>
      <c r="O1022" s="381">
        <v>44197</v>
      </c>
      <c r="P1022" s="371"/>
      <c r="Q1022" s="156"/>
      <c r="R1022" s="144" t="s">
        <v>2507</v>
      </c>
    </row>
    <row r="1023" spans="1:18" ht="35.25" hidden="1" customHeight="1">
      <c r="A1023" s="15">
        <f t="shared" si="15"/>
        <v>1013</v>
      </c>
      <c r="B1023" s="144" t="s">
        <v>1580</v>
      </c>
      <c r="C1023" s="150" t="s">
        <v>582</v>
      </c>
      <c r="D1023" s="181"/>
      <c r="E1023" s="181"/>
      <c r="F1023" s="181"/>
      <c r="G1023" s="144"/>
      <c r="H1023" s="141"/>
      <c r="I1023" s="153" t="s">
        <v>566</v>
      </c>
      <c r="J1023" s="153">
        <v>1</v>
      </c>
      <c r="K1023" s="145" t="s">
        <v>730</v>
      </c>
      <c r="L1023" s="142" t="s">
        <v>2521</v>
      </c>
      <c r="M1023" s="11" t="str">
        <f>VLOOKUP(N1023,'Mã NV'!$A$3:$B$196,2,0)</f>
        <v>TE75</v>
      </c>
      <c r="N1023" s="310" t="s">
        <v>3746</v>
      </c>
      <c r="O1023" s="380">
        <f>VLOOKUP(B1023,'Tổng hợp (3)'!$C$4:$E$985,3,0)</f>
        <v>44905</v>
      </c>
      <c r="P1023" s="378"/>
      <c r="Q1023" s="156"/>
      <c r="R1023" s="150"/>
    </row>
    <row r="1024" spans="1:18" ht="35.25" hidden="1" customHeight="1">
      <c r="A1024" s="15">
        <f t="shared" si="15"/>
        <v>1014</v>
      </c>
      <c r="B1024" s="144" t="s">
        <v>1581</v>
      </c>
      <c r="C1024" s="150" t="s">
        <v>424</v>
      </c>
      <c r="D1024" s="181"/>
      <c r="E1024" s="181"/>
      <c r="F1024" s="181"/>
      <c r="G1024" s="183" t="s">
        <v>2411</v>
      </c>
      <c r="H1024" s="141"/>
      <c r="I1024" s="153" t="s">
        <v>566</v>
      </c>
      <c r="J1024" s="153">
        <v>1</v>
      </c>
      <c r="K1024" s="145" t="s">
        <v>730</v>
      </c>
      <c r="L1024" s="142" t="s">
        <v>2521</v>
      </c>
      <c r="M1024" s="11" t="str">
        <f>VLOOKUP(N1024,'Mã NV'!$A$3:$B$196,2,0)</f>
        <v>TE75</v>
      </c>
      <c r="N1024" s="310" t="s">
        <v>3746</v>
      </c>
      <c r="O1024" s="381">
        <v>44197</v>
      </c>
      <c r="P1024" s="371"/>
      <c r="Q1024" s="156"/>
      <c r="R1024" s="150"/>
    </row>
    <row r="1025" spans="1:18" ht="35.25" hidden="1" customHeight="1">
      <c r="A1025" s="15">
        <f t="shared" si="15"/>
        <v>1015</v>
      </c>
      <c r="B1025" s="144" t="s">
        <v>1582</v>
      </c>
      <c r="C1025" s="150" t="s">
        <v>1583</v>
      </c>
      <c r="D1025" s="182"/>
      <c r="E1025" s="182"/>
      <c r="F1025" s="182"/>
      <c r="G1025" s="150" t="s">
        <v>2412</v>
      </c>
      <c r="H1025" s="141"/>
      <c r="I1025" s="153" t="s">
        <v>566</v>
      </c>
      <c r="J1025" s="153">
        <v>1</v>
      </c>
      <c r="K1025" s="145" t="s">
        <v>730</v>
      </c>
      <c r="L1025" s="142" t="s">
        <v>2521</v>
      </c>
      <c r="M1025" s="11" t="str">
        <f>VLOOKUP(N1025,'Mã NV'!$A$3:$B$196,2,0)</f>
        <v>TE75</v>
      </c>
      <c r="N1025" s="310" t="s">
        <v>3746</v>
      </c>
      <c r="O1025" s="381">
        <v>44197</v>
      </c>
      <c r="P1025" s="371"/>
      <c r="Q1025" s="156"/>
      <c r="R1025" s="150"/>
    </row>
    <row r="1026" spans="1:18" ht="35.25" hidden="1" customHeight="1">
      <c r="A1026" s="15">
        <f t="shared" si="15"/>
        <v>1016</v>
      </c>
      <c r="B1026" s="144" t="s">
        <v>1584</v>
      </c>
      <c r="C1026" s="150" t="s">
        <v>1585</v>
      </c>
      <c r="D1026" s="160"/>
      <c r="E1026" s="160"/>
      <c r="F1026" s="160"/>
      <c r="G1026" s="144"/>
      <c r="H1026" s="141"/>
      <c r="I1026" s="153" t="s">
        <v>566</v>
      </c>
      <c r="J1026" s="153">
        <v>1</v>
      </c>
      <c r="K1026" s="145" t="s">
        <v>730</v>
      </c>
      <c r="L1026" s="142" t="s">
        <v>2521</v>
      </c>
      <c r="M1026" s="11" t="str">
        <f>VLOOKUP(N1026,'Mã NV'!$A$3:$B$196,2,0)</f>
        <v>TE75</v>
      </c>
      <c r="N1026" s="310" t="s">
        <v>3746</v>
      </c>
      <c r="O1026" s="380">
        <f>VLOOKUP(B1026,'Tổng hợp (3)'!$C$4:$E$985,3,0)</f>
        <v>44776</v>
      </c>
      <c r="P1026" s="378"/>
      <c r="Q1026" s="156"/>
      <c r="R1026" s="150"/>
    </row>
    <row r="1027" spans="1:18" ht="35.25" hidden="1" customHeight="1">
      <c r="A1027" s="15">
        <f t="shared" si="15"/>
        <v>1017</v>
      </c>
      <c r="B1027" s="144" t="s">
        <v>1586</v>
      </c>
      <c r="C1027" s="150" t="s">
        <v>445</v>
      </c>
      <c r="D1027" s="160"/>
      <c r="E1027" s="160"/>
      <c r="F1027" s="160"/>
      <c r="G1027" s="144"/>
      <c r="H1027" s="141"/>
      <c r="I1027" s="153" t="s">
        <v>566</v>
      </c>
      <c r="J1027" s="153">
        <v>1</v>
      </c>
      <c r="K1027" s="145" t="s">
        <v>730</v>
      </c>
      <c r="L1027" s="142" t="s">
        <v>2521</v>
      </c>
      <c r="M1027" s="11" t="str">
        <f>VLOOKUP(N1027,'Mã NV'!$A$3:$B$196,2,0)</f>
        <v>TE75</v>
      </c>
      <c r="N1027" s="310" t="s">
        <v>3746</v>
      </c>
      <c r="O1027" s="380">
        <f>VLOOKUP(B1027,'Tổng hợp (3)'!$C$4:$E$985,3,0)</f>
        <v>44743</v>
      </c>
      <c r="P1027" s="378"/>
      <c r="Q1027" s="156"/>
      <c r="R1027" s="150"/>
    </row>
    <row r="1028" spans="1:18" ht="35.25" hidden="1" customHeight="1">
      <c r="A1028" s="15">
        <f t="shared" si="15"/>
        <v>1018</v>
      </c>
      <c r="B1028" s="144" t="s">
        <v>1587</v>
      </c>
      <c r="C1028" s="150" t="s">
        <v>1306</v>
      </c>
      <c r="D1028" s="160"/>
      <c r="E1028" s="160"/>
      <c r="F1028" s="160"/>
      <c r="G1028" s="144"/>
      <c r="H1028" s="141"/>
      <c r="I1028" s="153" t="s">
        <v>566</v>
      </c>
      <c r="J1028" s="153">
        <v>1</v>
      </c>
      <c r="K1028" s="145" t="s">
        <v>730</v>
      </c>
      <c r="L1028" s="142" t="s">
        <v>2521</v>
      </c>
      <c r="M1028" s="11" t="str">
        <f>VLOOKUP(N1028,'Mã NV'!$A$3:$B$196,2,0)</f>
        <v>TE75</v>
      </c>
      <c r="N1028" s="310" t="s">
        <v>3746</v>
      </c>
      <c r="O1028" s="381">
        <v>44197</v>
      </c>
      <c r="P1028" s="371"/>
      <c r="Q1028" s="156"/>
      <c r="R1028" s="150"/>
    </row>
    <row r="1029" spans="1:18" ht="35.25" hidden="1" customHeight="1">
      <c r="A1029" s="15">
        <f t="shared" si="15"/>
        <v>1019</v>
      </c>
      <c r="B1029" s="144" t="s">
        <v>1588</v>
      </c>
      <c r="C1029" s="150" t="s">
        <v>605</v>
      </c>
      <c r="D1029" s="160"/>
      <c r="E1029" s="160"/>
      <c r="F1029" s="160"/>
      <c r="G1029" s="144"/>
      <c r="H1029" s="141"/>
      <c r="I1029" s="153" t="s">
        <v>566</v>
      </c>
      <c r="J1029" s="153">
        <v>1</v>
      </c>
      <c r="K1029" s="145" t="s">
        <v>730</v>
      </c>
      <c r="L1029" s="142" t="s">
        <v>2521</v>
      </c>
      <c r="M1029" s="11" t="str">
        <f>VLOOKUP(N1029,'Mã NV'!$A$3:$B$196,2,0)</f>
        <v>TE75</v>
      </c>
      <c r="N1029" s="310" t="s">
        <v>3746</v>
      </c>
      <c r="O1029" s="381">
        <v>44197</v>
      </c>
      <c r="P1029" s="371"/>
      <c r="Q1029" s="156"/>
      <c r="R1029" s="150"/>
    </row>
    <row r="1030" spans="1:18" ht="35.25" hidden="1" customHeight="1">
      <c r="A1030" s="15">
        <f t="shared" si="15"/>
        <v>1020</v>
      </c>
      <c r="B1030" s="144" t="s">
        <v>1589</v>
      </c>
      <c r="C1030" s="150" t="s">
        <v>1202</v>
      </c>
      <c r="D1030" s="160"/>
      <c r="E1030" s="160"/>
      <c r="F1030" s="160"/>
      <c r="G1030" s="144"/>
      <c r="H1030" s="141"/>
      <c r="I1030" s="153" t="s">
        <v>566</v>
      </c>
      <c r="J1030" s="153">
        <v>1</v>
      </c>
      <c r="K1030" s="145" t="s">
        <v>730</v>
      </c>
      <c r="L1030" s="142" t="s">
        <v>2521</v>
      </c>
      <c r="M1030" s="11" t="str">
        <f>VLOOKUP(N1030,'Mã NV'!$A$3:$B$196,2,0)</f>
        <v>TE75</v>
      </c>
      <c r="N1030" s="310" t="s">
        <v>3746</v>
      </c>
      <c r="O1030" s="381">
        <v>44197</v>
      </c>
      <c r="P1030" s="371"/>
      <c r="Q1030" s="156"/>
      <c r="R1030" s="150"/>
    </row>
    <row r="1031" spans="1:18" ht="35.25" hidden="1" customHeight="1">
      <c r="A1031" s="15">
        <f t="shared" si="15"/>
        <v>1021</v>
      </c>
      <c r="B1031" s="144" t="s">
        <v>1590</v>
      </c>
      <c r="C1031" s="150" t="s">
        <v>570</v>
      </c>
      <c r="D1031" s="160"/>
      <c r="E1031" s="160"/>
      <c r="F1031" s="160"/>
      <c r="G1031" s="144" t="s">
        <v>2413</v>
      </c>
      <c r="H1031" s="141"/>
      <c r="I1031" s="153" t="s">
        <v>566</v>
      </c>
      <c r="J1031" s="153">
        <v>1</v>
      </c>
      <c r="K1031" s="145" t="s">
        <v>730</v>
      </c>
      <c r="L1031" s="142" t="s">
        <v>2521</v>
      </c>
      <c r="M1031" s="11" t="str">
        <f>VLOOKUP(N1031,'Mã NV'!$A$3:$B$196,2,0)</f>
        <v>TE84</v>
      </c>
      <c r="N1031" s="310" t="s">
        <v>2570</v>
      </c>
      <c r="O1031" s="380">
        <f>VLOOKUP(B1031,'Tổng hợp (3)'!$C$4:$E$985,3,0)</f>
        <v>44748</v>
      </c>
      <c r="P1031" s="378"/>
      <c r="Q1031" s="156"/>
      <c r="R1031" s="150"/>
    </row>
    <row r="1032" spans="1:18" ht="35.25" hidden="1" customHeight="1">
      <c r="A1032" s="15">
        <f t="shared" si="15"/>
        <v>1022</v>
      </c>
      <c r="B1032" s="144" t="s">
        <v>1591</v>
      </c>
      <c r="C1032" s="150" t="s">
        <v>32</v>
      </c>
      <c r="D1032" s="160"/>
      <c r="E1032" s="160"/>
      <c r="F1032" s="160"/>
      <c r="G1032" s="144"/>
      <c r="H1032" s="141"/>
      <c r="I1032" s="153" t="s">
        <v>566</v>
      </c>
      <c r="J1032" s="153">
        <v>1</v>
      </c>
      <c r="K1032" s="145" t="s">
        <v>730</v>
      </c>
      <c r="L1032" s="142" t="s">
        <v>2521</v>
      </c>
      <c r="M1032" s="11" t="str">
        <f>VLOOKUP(N1032,'Mã NV'!$A$3:$B$196,2,0)</f>
        <v>TE84</v>
      </c>
      <c r="N1032" s="310" t="s">
        <v>2570</v>
      </c>
      <c r="O1032" s="380">
        <f>VLOOKUP(B1032,'Tổng hợp (3)'!$C$4:$E$985,3,0)</f>
        <v>44819</v>
      </c>
      <c r="P1032" s="378"/>
      <c r="Q1032" s="156"/>
      <c r="R1032" s="150"/>
    </row>
    <row r="1033" spans="1:18" ht="35.25" hidden="1" customHeight="1">
      <c r="A1033" s="15">
        <f t="shared" si="15"/>
        <v>1023</v>
      </c>
      <c r="B1033" s="144" t="s">
        <v>1592</v>
      </c>
      <c r="C1033" s="150" t="s">
        <v>582</v>
      </c>
      <c r="D1033" s="160"/>
      <c r="E1033" s="160"/>
      <c r="F1033" s="160"/>
      <c r="G1033" s="144"/>
      <c r="H1033" s="141"/>
      <c r="I1033" s="153" t="s">
        <v>566</v>
      </c>
      <c r="J1033" s="153">
        <v>1</v>
      </c>
      <c r="K1033" s="145" t="s">
        <v>730</v>
      </c>
      <c r="L1033" s="142" t="s">
        <v>2521</v>
      </c>
      <c r="M1033" s="11" t="str">
        <f>VLOOKUP(N1033,'Mã NV'!$A$3:$B$196,2,0)</f>
        <v>TE84</v>
      </c>
      <c r="N1033" s="310" t="s">
        <v>2570</v>
      </c>
      <c r="O1033" s="380">
        <f>VLOOKUP(B1033,'Tổng hợp (3)'!$C$4:$E$985,3,0)</f>
        <v>44905</v>
      </c>
      <c r="P1033" s="378"/>
      <c r="Q1033" s="156"/>
      <c r="R1033" s="150"/>
    </row>
    <row r="1034" spans="1:18" ht="35.25" hidden="1" customHeight="1">
      <c r="A1034" s="15">
        <f t="shared" si="15"/>
        <v>1024</v>
      </c>
      <c r="B1034" s="144" t="s">
        <v>1593</v>
      </c>
      <c r="C1034" s="150" t="s">
        <v>445</v>
      </c>
      <c r="D1034" s="160"/>
      <c r="E1034" s="160"/>
      <c r="F1034" s="160"/>
      <c r="G1034" s="144"/>
      <c r="H1034" s="141"/>
      <c r="I1034" s="153" t="s">
        <v>566</v>
      </c>
      <c r="J1034" s="153">
        <v>1</v>
      </c>
      <c r="K1034" s="145" t="s">
        <v>730</v>
      </c>
      <c r="L1034" s="142" t="s">
        <v>2521</v>
      </c>
      <c r="M1034" s="11" t="str">
        <f>VLOOKUP(N1034,'Mã NV'!$A$3:$B$196,2,0)</f>
        <v>TE84</v>
      </c>
      <c r="N1034" s="310" t="s">
        <v>2570</v>
      </c>
      <c r="O1034" s="380">
        <f>VLOOKUP(B1034,'Tổng hợp (3)'!$C$4:$E$985,3,0)</f>
        <v>44750</v>
      </c>
      <c r="P1034" s="378"/>
      <c r="Q1034" s="156"/>
      <c r="R1034" s="150"/>
    </row>
    <row r="1035" spans="1:18" ht="35.25" hidden="1" customHeight="1">
      <c r="A1035" s="15">
        <f t="shared" si="15"/>
        <v>1025</v>
      </c>
      <c r="B1035" s="144" t="s">
        <v>1594</v>
      </c>
      <c r="C1035" s="150" t="s">
        <v>1306</v>
      </c>
      <c r="D1035" s="160"/>
      <c r="E1035" s="160"/>
      <c r="F1035" s="160"/>
      <c r="G1035" s="144"/>
      <c r="H1035" s="141"/>
      <c r="I1035" s="153" t="s">
        <v>566</v>
      </c>
      <c r="J1035" s="153">
        <v>1</v>
      </c>
      <c r="K1035" s="145" t="s">
        <v>730</v>
      </c>
      <c r="L1035" s="142" t="s">
        <v>2521</v>
      </c>
      <c r="M1035" s="11" t="str">
        <f>VLOOKUP(N1035,'Mã NV'!$A$3:$B$196,2,0)</f>
        <v>TE84</v>
      </c>
      <c r="N1035" s="310" t="s">
        <v>2570</v>
      </c>
      <c r="O1035" s="381">
        <v>44197</v>
      </c>
      <c r="P1035" s="371"/>
      <c r="Q1035" s="156"/>
      <c r="R1035" s="150"/>
    </row>
    <row r="1036" spans="1:18" ht="35.25" hidden="1" customHeight="1">
      <c r="A1036" s="15">
        <f t="shared" si="15"/>
        <v>1026</v>
      </c>
      <c r="B1036" s="144" t="s">
        <v>1595</v>
      </c>
      <c r="C1036" s="150" t="s">
        <v>575</v>
      </c>
      <c r="D1036" s="160"/>
      <c r="E1036" s="160"/>
      <c r="F1036" s="160"/>
      <c r="G1036" s="144"/>
      <c r="H1036" s="141"/>
      <c r="I1036" s="153" t="s">
        <v>566</v>
      </c>
      <c r="J1036" s="153">
        <v>1</v>
      </c>
      <c r="K1036" s="145" t="s">
        <v>730</v>
      </c>
      <c r="L1036" s="142" t="s">
        <v>2521</v>
      </c>
      <c r="M1036" s="11" t="str">
        <f>VLOOKUP(N1036,'Mã NV'!$A$3:$B$196,2,0)</f>
        <v>TE84</v>
      </c>
      <c r="N1036" s="310" t="s">
        <v>2570</v>
      </c>
      <c r="O1036" s="381">
        <v>44197</v>
      </c>
      <c r="P1036" s="371"/>
      <c r="Q1036" s="156"/>
      <c r="R1036" s="150"/>
    </row>
    <row r="1037" spans="1:18" ht="35.25" hidden="1" customHeight="1">
      <c r="A1037" s="15">
        <f t="shared" si="15"/>
        <v>1027</v>
      </c>
      <c r="B1037" s="144" t="s">
        <v>1596</v>
      </c>
      <c r="C1037" s="150" t="s">
        <v>115</v>
      </c>
      <c r="D1037" s="160"/>
      <c r="E1037" s="160"/>
      <c r="F1037" s="160"/>
      <c r="G1037" s="144"/>
      <c r="H1037" s="141"/>
      <c r="I1037" s="153" t="s">
        <v>566</v>
      </c>
      <c r="J1037" s="153">
        <v>1</v>
      </c>
      <c r="K1037" s="145" t="s">
        <v>730</v>
      </c>
      <c r="L1037" s="142" t="s">
        <v>2521</v>
      </c>
      <c r="M1037" s="11" t="str">
        <f>VLOOKUP(N1037,'Mã NV'!$A$3:$B$196,2,0)</f>
        <v>TE84</v>
      </c>
      <c r="N1037" s="310" t="s">
        <v>2570</v>
      </c>
      <c r="O1037" s="381">
        <v>44197</v>
      </c>
      <c r="P1037" s="371"/>
      <c r="Q1037" s="156"/>
      <c r="R1037" s="150"/>
    </row>
    <row r="1038" spans="1:18" ht="35.25" hidden="1" customHeight="1">
      <c r="A1038" s="15">
        <f t="shared" si="15"/>
        <v>1028</v>
      </c>
      <c r="B1038" s="144" t="s">
        <v>1597</v>
      </c>
      <c r="C1038" s="150" t="s">
        <v>1578</v>
      </c>
      <c r="D1038" s="160"/>
      <c r="E1038" s="160"/>
      <c r="F1038" s="160"/>
      <c r="G1038" s="144" t="s">
        <v>2409</v>
      </c>
      <c r="H1038" s="141"/>
      <c r="I1038" s="153" t="s">
        <v>566</v>
      </c>
      <c r="J1038" s="153">
        <v>1</v>
      </c>
      <c r="K1038" s="145" t="s">
        <v>730</v>
      </c>
      <c r="L1038" s="142" t="s">
        <v>2521</v>
      </c>
      <c r="M1038" s="11" t="str">
        <f>VLOOKUP(N1038,'Mã NV'!$A$3:$B$196,2,0)</f>
        <v>TE84</v>
      </c>
      <c r="N1038" s="310" t="s">
        <v>2570</v>
      </c>
      <c r="O1038" s="380">
        <f>VLOOKUP(B1038,'Tổng hợp (3)'!$C$4:$E$985,3,0)</f>
        <v>44558</v>
      </c>
      <c r="P1038" s="378"/>
      <c r="Q1038" s="156"/>
      <c r="R1038" s="150"/>
    </row>
    <row r="1039" spans="1:18" ht="35.25" hidden="1" customHeight="1">
      <c r="A1039" s="15">
        <f t="shared" si="15"/>
        <v>1029</v>
      </c>
      <c r="B1039" s="144" t="s">
        <v>1598</v>
      </c>
      <c r="C1039" s="150" t="s">
        <v>570</v>
      </c>
      <c r="D1039" s="160"/>
      <c r="E1039" s="160"/>
      <c r="F1039" s="160"/>
      <c r="G1039" s="144"/>
      <c r="H1039" s="141"/>
      <c r="I1039" s="153" t="s">
        <v>566</v>
      </c>
      <c r="J1039" s="153">
        <v>1</v>
      </c>
      <c r="K1039" s="145" t="s">
        <v>730</v>
      </c>
      <c r="L1039" s="142" t="s">
        <v>2521</v>
      </c>
      <c r="M1039" s="11" t="str">
        <f>VLOOKUP(N1039,'Mã NV'!$A$3:$B$196,2,0)</f>
        <v>TE113</v>
      </c>
      <c r="N1039" s="310" t="s">
        <v>2571</v>
      </c>
      <c r="O1039" s="381">
        <v>44197</v>
      </c>
      <c r="P1039" s="371"/>
      <c r="Q1039" s="156"/>
      <c r="R1039" s="150"/>
    </row>
    <row r="1040" spans="1:18" ht="35.25" hidden="1" customHeight="1">
      <c r="A1040" s="15">
        <f t="shared" si="15"/>
        <v>1030</v>
      </c>
      <c r="B1040" s="144" t="s">
        <v>1599</v>
      </c>
      <c r="C1040" s="150" t="s">
        <v>32</v>
      </c>
      <c r="D1040" s="160"/>
      <c r="E1040" s="160"/>
      <c r="F1040" s="160"/>
      <c r="G1040" s="144"/>
      <c r="H1040" s="141"/>
      <c r="I1040" s="153" t="s">
        <v>566</v>
      </c>
      <c r="J1040" s="153">
        <v>1</v>
      </c>
      <c r="K1040" s="145" t="s">
        <v>730</v>
      </c>
      <c r="L1040" s="142" t="s">
        <v>2521</v>
      </c>
      <c r="M1040" s="11" t="str">
        <f>VLOOKUP(N1040,'Mã NV'!$A$3:$B$196,2,0)</f>
        <v>TE113</v>
      </c>
      <c r="N1040" s="310" t="s">
        <v>2571</v>
      </c>
      <c r="O1040" s="381">
        <v>44197</v>
      </c>
      <c r="P1040" s="371"/>
      <c r="Q1040" s="156"/>
      <c r="R1040" s="150"/>
    </row>
    <row r="1041" spans="1:18" ht="35.25" hidden="1" customHeight="1">
      <c r="A1041" s="15">
        <f t="shared" si="15"/>
        <v>1031</v>
      </c>
      <c r="B1041" s="144" t="s">
        <v>1600</v>
      </c>
      <c r="C1041" s="150" t="s">
        <v>582</v>
      </c>
      <c r="D1041" s="160"/>
      <c r="E1041" s="160"/>
      <c r="F1041" s="160"/>
      <c r="G1041" s="144"/>
      <c r="H1041" s="141"/>
      <c r="I1041" s="153" t="s">
        <v>566</v>
      </c>
      <c r="J1041" s="153">
        <v>1</v>
      </c>
      <c r="K1041" s="145" t="s">
        <v>730</v>
      </c>
      <c r="L1041" s="142" t="s">
        <v>2521</v>
      </c>
      <c r="M1041" s="11" t="str">
        <f>VLOOKUP(N1041,'Mã NV'!$A$3:$B$196,2,0)</f>
        <v>TE113</v>
      </c>
      <c r="N1041" s="310" t="s">
        <v>2571</v>
      </c>
      <c r="O1041" s="381">
        <v>44197</v>
      </c>
      <c r="P1041" s="371"/>
      <c r="Q1041" s="156"/>
      <c r="R1041" s="150"/>
    </row>
    <row r="1042" spans="1:18" ht="35.25" hidden="1" customHeight="1">
      <c r="A1042" s="15">
        <f t="shared" ref="A1042:A1105" si="16">A1041+1</f>
        <v>1032</v>
      </c>
      <c r="B1042" s="144" t="s">
        <v>1601</v>
      </c>
      <c r="C1042" s="150" t="s">
        <v>1306</v>
      </c>
      <c r="D1042" s="160"/>
      <c r="E1042" s="160"/>
      <c r="F1042" s="160"/>
      <c r="G1042" s="144"/>
      <c r="H1042" s="141"/>
      <c r="I1042" s="153" t="s">
        <v>566</v>
      </c>
      <c r="J1042" s="153">
        <v>1</v>
      </c>
      <c r="K1042" s="145" t="s">
        <v>730</v>
      </c>
      <c r="L1042" s="142" t="s">
        <v>2521</v>
      </c>
      <c r="M1042" s="11" t="str">
        <f>VLOOKUP(N1042,'Mã NV'!$A$3:$B$196,2,0)</f>
        <v>TE113</v>
      </c>
      <c r="N1042" s="310" t="s">
        <v>2571</v>
      </c>
      <c r="O1042" s="381">
        <v>44197</v>
      </c>
      <c r="P1042" s="371"/>
      <c r="Q1042" s="156"/>
      <c r="R1042" s="150"/>
    </row>
    <row r="1043" spans="1:18" ht="35.25" hidden="1" customHeight="1">
      <c r="A1043" s="15">
        <f t="shared" si="16"/>
        <v>1033</v>
      </c>
      <c r="B1043" s="144" t="s">
        <v>1602</v>
      </c>
      <c r="C1043" s="150" t="s">
        <v>445</v>
      </c>
      <c r="D1043" s="160"/>
      <c r="E1043" s="160"/>
      <c r="F1043" s="160"/>
      <c r="G1043" s="144"/>
      <c r="H1043" s="141"/>
      <c r="I1043" s="153" t="s">
        <v>566</v>
      </c>
      <c r="J1043" s="153">
        <v>1</v>
      </c>
      <c r="K1043" s="145" t="s">
        <v>730</v>
      </c>
      <c r="L1043" s="142" t="s">
        <v>2521</v>
      </c>
      <c r="M1043" s="11" t="str">
        <f>VLOOKUP(N1043,'Mã NV'!$A$3:$B$196,2,0)</f>
        <v>TE113</v>
      </c>
      <c r="N1043" s="310" t="s">
        <v>2571</v>
      </c>
      <c r="O1043" s="380">
        <f>VLOOKUP(B1043,'Tổng hợp (3)'!$C$4:$E$985,3,0)</f>
        <v>44746</v>
      </c>
      <c r="P1043" s="378"/>
      <c r="Q1043" s="156"/>
      <c r="R1043" s="150"/>
    </row>
    <row r="1044" spans="1:18" ht="35.25" hidden="1" customHeight="1">
      <c r="A1044" s="15">
        <f t="shared" si="16"/>
        <v>1034</v>
      </c>
      <c r="B1044" s="144" t="s">
        <v>1603</v>
      </c>
      <c r="C1044" s="150" t="s">
        <v>575</v>
      </c>
      <c r="D1044" s="160"/>
      <c r="E1044" s="160"/>
      <c r="F1044" s="160"/>
      <c r="G1044" s="144"/>
      <c r="H1044" s="141"/>
      <c r="I1044" s="153" t="s">
        <v>566</v>
      </c>
      <c r="J1044" s="153">
        <v>1</v>
      </c>
      <c r="K1044" s="145" t="s">
        <v>730</v>
      </c>
      <c r="L1044" s="142" t="s">
        <v>2521</v>
      </c>
      <c r="M1044" s="11" t="str">
        <f>VLOOKUP(N1044,'Mã NV'!$A$3:$B$196,2,0)</f>
        <v>TE113</v>
      </c>
      <c r="N1044" s="310" t="s">
        <v>2571</v>
      </c>
      <c r="O1044" s="381">
        <v>44197</v>
      </c>
      <c r="P1044" s="371"/>
      <c r="Q1044" s="156"/>
      <c r="R1044" s="150"/>
    </row>
    <row r="1045" spans="1:18" ht="35.25" hidden="1" customHeight="1">
      <c r="A1045" s="15">
        <f t="shared" si="16"/>
        <v>1035</v>
      </c>
      <c r="B1045" s="144" t="s">
        <v>1604</v>
      </c>
      <c r="C1045" s="150" t="s">
        <v>115</v>
      </c>
      <c r="D1045" s="160"/>
      <c r="E1045" s="160"/>
      <c r="F1045" s="160"/>
      <c r="G1045" s="144"/>
      <c r="H1045" s="141"/>
      <c r="I1045" s="153" t="s">
        <v>566</v>
      </c>
      <c r="J1045" s="153">
        <v>1</v>
      </c>
      <c r="K1045" s="145" t="s">
        <v>730</v>
      </c>
      <c r="L1045" s="142" t="s">
        <v>2521</v>
      </c>
      <c r="M1045" s="11" t="str">
        <f>VLOOKUP(N1045,'Mã NV'!$A$3:$B$196,2,0)</f>
        <v>TE113</v>
      </c>
      <c r="N1045" s="310" t="s">
        <v>2571</v>
      </c>
      <c r="O1045" s="381">
        <v>44197</v>
      </c>
      <c r="P1045" s="371"/>
      <c r="Q1045" s="156"/>
      <c r="R1045" s="150"/>
    </row>
    <row r="1046" spans="1:18" ht="35.25" hidden="1" customHeight="1">
      <c r="A1046" s="15">
        <f t="shared" si="16"/>
        <v>1036</v>
      </c>
      <c r="B1046" s="144" t="s">
        <v>1605</v>
      </c>
      <c r="C1046" s="150" t="s">
        <v>1578</v>
      </c>
      <c r="D1046" s="160"/>
      <c r="E1046" s="160"/>
      <c r="F1046" s="160"/>
      <c r="G1046" s="144" t="s">
        <v>2410</v>
      </c>
      <c r="H1046" s="141"/>
      <c r="I1046" s="153" t="s">
        <v>566</v>
      </c>
      <c r="J1046" s="153">
        <v>1</v>
      </c>
      <c r="K1046" s="145" t="s">
        <v>730</v>
      </c>
      <c r="L1046" s="142" t="s">
        <v>2521</v>
      </c>
      <c r="M1046" s="11" t="str">
        <f>VLOOKUP(N1046,'Mã NV'!$A$3:$B$196,2,0)</f>
        <v>TE113</v>
      </c>
      <c r="N1046" s="310" t="s">
        <v>2571</v>
      </c>
      <c r="O1046" s="380">
        <f>VLOOKUP(B1046,'Tổng hợp (3)'!$C$4:$E$985,3,0)</f>
        <v>44782</v>
      </c>
      <c r="P1046" s="378"/>
      <c r="Q1046" s="156"/>
      <c r="R1046" s="150"/>
    </row>
    <row r="1047" spans="1:18" ht="35.25" hidden="1" customHeight="1">
      <c r="A1047" s="15">
        <f t="shared" si="16"/>
        <v>1037</v>
      </c>
      <c r="B1047" s="144" t="s">
        <v>1606</v>
      </c>
      <c r="C1047" s="150" t="s">
        <v>570</v>
      </c>
      <c r="D1047" s="160"/>
      <c r="E1047" s="160"/>
      <c r="F1047" s="160"/>
      <c r="G1047" s="144"/>
      <c r="H1047" s="141"/>
      <c r="I1047" s="153" t="s">
        <v>566</v>
      </c>
      <c r="J1047" s="153">
        <v>1</v>
      </c>
      <c r="K1047" s="145" t="s">
        <v>730</v>
      </c>
      <c r="L1047" s="142" t="s">
        <v>2521</v>
      </c>
      <c r="M1047" s="11" t="str">
        <f>VLOOKUP(N1047,'Mã NV'!$A$3:$B$196,2,0)</f>
        <v>TE110</v>
      </c>
      <c r="N1047" s="310" t="s">
        <v>2572</v>
      </c>
      <c r="O1047" s="381">
        <v>44197</v>
      </c>
      <c r="P1047" s="371"/>
      <c r="Q1047" s="156"/>
      <c r="R1047" s="144" t="s">
        <v>2508</v>
      </c>
    </row>
    <row r="1048" spans="1:18" ht="35.25" hidden="1" customHeight="1">
      <c r="A1048" s="15">
        <f t="shared" si="16"/>
        <v>1038</v>
      </c>
      <c r="B1048" s="144" t="s">
        <v>1607</v>
      </c>
      <c r="C1048" s="150" t="s">
        <v>445</v>
      </c>
      <c r="D1048" s="160"/>
      <c r="E1048" s="160"/>
      <c r="F1048" s="160"/>
      <c r="G1048" s="144"/>
      <c r="H1048" s="141"/>
      <c r="I1048" s="153" t="s">
        <v>566</v>
      </c>
      <c r="J1048" s="153">
        <v>1</v>
      </c>
      <c r="K1048" s="145" t="s">
        <v>730</v>
      </c>
      <c r="L1048" s="142" t="s">
        <v>2521</v>
      </c>
      <c r="M1048" s="11" t="str">
        <f>VLOOKUP(N1048,'Mã NV'!$A$3:$B$196,2,0)</f>
        <v>TE110</v>
      </c>
      <c r="N1048" s="310" t="s">
        <v>2572</v>
      </c>
      <c r="O1048" s="380">
        <f>VLOOKUP(B1048,'Tổng hợp (3)'!$C$4:$E$985,3,0)</f>
        <v>44744</v>
      </c>
      <c r="P1048" s="378"/>
      <c r="Q1048" s="156"/>
      <c r="R1048" s="150"/>
    </row>
    <row r="1049" spans="1:18" ht="35.25" hidden="1" customHeight="1">
      <c r="A1049" s="15">
        <f t="shared" si="16"/>
        <v>1039</v>
      </c>
      <c r="B1049" s="144" t="s">
        <v>1608</v>
      </c>
      <c r="C1049" s="150" t="s">
        <v>32</v>
      </c>
      <c r="D1049" s="160"/>
      <c r="E1049" s="160"/>
      <c r="F1049" s="160"/>
      <c r="G1049" s="144"/>
      <c r="H1049" s="141"/>
      <c r="I1049" s="153" t="s">
        <v>566</v>
      </c>
      <c r="J1049" s="153">
        <v>1</v>
      </c>
      <c r="K1049" s="145" t="s">
        <v>730</v>
      </c>
      <c r="L1049" s="142" t="s">
        <v>2521</v>
      </c>
      <c r="M1049" s="11" t="str">
        <f>VLOOKUP(N1049,'Mã NV'!$A$3:$B$196,2,0)</f>
        <v>TE110</v>
      </c>
      <c r="N1049" s="310" t="s">
        <v>2572</v>
      </c>
      <c r="O1049" s="381">
        <v>44197</v>
      </c>
      <c r="P1049" s="371"/>
      <c r="Q1049" s="156"/>
      <c r="R1049" s="150"/>
    </row>
    <row r="1050" spans="1:18" ht="35.25" hidden="1" customHeight="1">
      <c r="A1050" s="15">
        <f t="shared" si="16"/>
        <v>1040</v>
      </c>
      <c r="B1050" s="144" t="s">
        <v>1609</v>
      </c>
      <c r="C1050" s="150" t="s">
        <v>582</v>
      </c>
      <c r="D1050" s="160"/>
      <c r="E1050" s="160"/>
      <c r="F1050" s="160"/>
      <c r="G1050" s="144"/>
      <c r="H1050" s="141"/>
      <c r="I1050" s="153" t="s">
        <v>566</v>
      </c>
      <c r="J1050" s="153">
        <v>1</v>
      </c>
      <c r="K1050" s="145" t="s">
        <v>730</v>
      </c>
      <c r="L1050" s="142" t="s">
        <v>2521</v>
      </c>
      <c r="M1050" s="11" t="str">
        <f>VLOOKUP(N1050,'Mã NV'!$A$3:$B$196,2,0)</f>
        <v>TE110</v>
      </c>
      <c r="N1050" s="310" t="s">
        <v>2572</v>
      </c>
      <c r="O1050" s="381">
        <v>44197</v>
      </c>
      <c r="P1050" s="371"/>
      <c r="Q1050" s="156"/>
      <c r="R1050" s="150"/>
    </row>
    <row r="1051" spans="1:18" ht="35.25" hidden="1" customHeight="1">
      <c r="A1051" s="15">
        <f t="shared" si="16"/>
        <v>1041</v>
      </c>
      <c r="B1051" s="144" t="s">
        <v>1610</v>
      </c>
      <c r="C1051" s="150" t="s">
        <v>1306</v>
      </c>
      <c r="D1051" s="160"/>
      <c r="E1051" s="160"/>
      <c r="F1051" s="160"/>
      <c r="G1051" s="144"/>
      <c r="H1051" s="141"/>
      <c r="I1051" s="153" t="s">
        <v>566</v>
      </c>
      <c r="J1051" s="153">
        <v>1</v>
      </c>
      <c r="K1051" s="145" t="s">
        <v>730</v>
      </c>
      <c r="L1051" s="142" t="s">
        <v>2521</v>
      </c>
      <c r="M1051" s="11" t="str">
        <f>VLOOKUP(N1051,'Mã NV'!$A$3:$B$196,2,0)</f>
        <v>TE110</v>
      </c>
      <c r="N1051" s="310" t="s">
        <v>2572</v>
      </c>
      <c r="O1051" s="381">
        <v>44197</v>
      </c>
      <c r="P1051" s="371"/>
      <c r="Q1051" s="156"/>
      <c r="R1051" s="150"/>
    </row>
    <row r="1052" spans="1:18" ht="35.25" hidden="1" customHeight="1">
      <c r="A1052" s="15">
        <f t="shared" si="16"/>
        <v>1042</v>
      </c>
      <c r="B1052" s="144" t="s">
        <v>1611</v>
      </c>
      <c r="C1052" s="150" t="s">
        <v>1612</v>
      </c>
      <c r="D1052" s="160"/>
      <c r="E1052" s="160"/>
      <c r="F1052" s="160"/>
      <c r="G1052" s="144" t="s">
        <v>2414</v>
      </c>
      <c r="H1052" s="141"/>
      <c r="I1052" s="153" t="s">
        <v>566</v>
      </c>
      <c r="J1052" s="153">
        <v>1</v>
      </c>
      <c r="K1052" s="145" t="s">
        <v>730</v>
      </c>
      <c r="L1052" s="142" t="s">
        <v>2521</v>
      </c>
      <c r="M1052" s="11" t="str">
        <f>VLOOKUP(N1052,'Mã NV'!$A$3:$B$196,2,0)</f>
        <v>TE110</v>
      </c>
      <c r="N1052" s="310" t="s">
        <v>2572</v>
      </c>
      <c r="O1052" s="381">
        <v>44197</v>
      </c>
      <c r="P1052" s="371"/>
      <c r="Q1052" s="156"/>
      <c r="R1052" s="150"/>
    </row>
    <row r="1053" spans="1:18" ht="35.25" hidden="1" customHeight="1">
      <c r="A1053" s="15">
        <f t="shared" si="16"/>
        <v>1043</v>
      </c>
      <c r="B1053" s="144" t="s">
        <v>1613</v>
      </c>
      <c r="C1053" s="150" t="s">
        <v>115</v>
      </c>
      <c r="D1053" s="160"/>
      <c r="E1053" s="160"/>
      <c r="F1053" s="160"/>
      <c r="G1053" s="144"/>
      <c r="H1053" s="141"/>
      <c r="I1053" s="153" t="s">
        <v>566</v>
      </c>
      <c r="J1053" s="153">
        <v>1</v>
      </c>
      <c r="K1053" s="145" t="s">
        <v>730</v>
      </c>
      <c r="L1053" s="142" t="s">
        <v>2521</v>
      </c>
      <c r="M1053" s="11" t="str">
        <f>VLOOKUP(N1053,'Mã NV'!$A$3:$B$196,2,0)</f>
        <v>TE110</v>
      </c>
      <c r="N1053" s="310" t="s">
        <v>2572</v>
      </c>
      <c r="O1053" s="381">
        <v>44197</v>
      </c>
      <c r="P1053" s="371"/>
      <c r="Q1053" s="156"/>
      <c r="R1053" s="150"/>
    </row>
    <row r="1054" spans="1:18" ht="35.25" hidden="1" customHeight="1">
      <c r="A1054" s="15">
        <f t="shared" si="16"/>
        <v>1044</v>
      </c>
      <c r="B1054" s="144" t="s">
        <v>1614</v>
      </c>
      <c r="C1054" s="150" t="s">
        <v>1578</v>
      </c>
      <c r="D1054" s="160"/>
      <c r="E1054" s="160"/>
      <c r="F1054" s="160"/>
      <c r="G1054" s="144" t="s">
        <v>2415</v>
      </c>
      <c r="H1054" s="141"/>
      <c r="I1054" s="153" t="s">
        <v>566</v>
      </c>
      <c r="J1054" s="153">
        <v>1</v>
      </c>
      <c r="K1054" s="145" t="s">
        <v>730</v>
      </c>
      <c r="L1054" s="142" t="s">
        <v>2521</v>
      </c>
      <c r="M1054" s="11" t="str">
        <f>VLOOKUP(N1054,'Mã NV'!$A$3:$B$196,2,0)</f>
        <v>TE110</v>
      </c>
      <c r="N1054" s="310" t="s">
        <v>2572</v>
      </c>
      <c r="O1054" s="381">
        <v>44197</v>
      </c>
      <c r="P1054" s="371"/>
      <c r="Q1054" s="156"/>
      <c r="R1054" s="150"/>
    </row>
    <row r="1055" spans="1:18" ht="35.25" hidden="1" customHeight="1">
      <c r="A1055" s="15">
        <f t="shared" si="16"/>
        <v>1045</v>
      </c>
      <c r="B1055" s="144" t="s">
        <v>1615</v>
      </c>
      <c r="C1055" s="150" t="s">
        <v>32</v>
      </c>
      <c r="D1055" s="160"/>
      <c r="E1055" s="160"/>
      <c r="F1055" s="160"/>
      <c r="G1055" s="144"/>
      <c r="H1055" s="141"/>
      <c r="I1055" s="153" t="s">
        <v>566</v>
      </c>
      <c r="J1055" s="153">
        <v>1</v>
      </c>
      <c r="K1055" s="145" t="s">
        <v>730</v>
      </c>
      <c r="L1055" s="142" t="s">
        <v>2521</v>
      </c>
      <c r="M1055" s="11" t="str">
        <f>VLOOKUP(N1055,'Mã NV'!$A$3:$B$196,2,0)</f>
        <v>TE32</v>
      </c>
      <c r="N1055" s="310" t="s">
        <v>2573</v>
      </c>
      <c r="O1055" s="381">
        <v>44197</v>
      </c>
      <c r="P1055" s="371"/>
      <c r="Q1055" s="156"/>
      <c r="R1055" s="150"/>
    </row>
    <row r="1056" spans="1:18" ht="35.25" hidden="1" customHeight="1">
      <c r="A1056" s="15">
        <f t="shared" si="16"/>
        <v>1046</v>
      </c>
      <c r="B1056" s="144" t="s">
        <v>1616</v>
      </c>
      <c r="C1056" s="150" t="s">
        <v>582</v>
      </c>
      <c r="D1056" s="160"/>
      <c r="E1056" s="160"/>
      <c r="F1056" s="160"/>
      <c r="G1056" s="144"/>
      <c r="H1056" s="141"/>
      <c r="I1056" s="153" t="s">
        <v>566</v>
      </c>
      <c r="J1056" s="153">
        <v>1</v>
      </c>
      <c r="K1056" s="145" t="s">
        <v>730</v>
      </c>
      <c r="L1056" s="142" t="s">
        <v>2521</v>
      </c>
      <c r="M1056" s="11" t="str">
        <f>VLOOKUP(N1056,'Mã NV'!$A$3:$B$196,2,0)</f>
        <v>TE32</v>
      </c>
      <c r="N1056" s="310" t="s">
        <v>2573</v>
      </c>
      <c r="O1056" s="381">
        <v>44197</v>
      </c>
      <c r="P1056" s="371"/>
      <c r="Q1056" s="156"/>
      <c r="R1056" s="150"/>
    </row>
    <row r="1057" spans="1:18" ht="35.25" hidden="1" customHeight="1">
      <c r="A1057" s="15">
        <f t="shared" si="16"/>
        <v>1047</v>
      </c>
      <c r="B1057" s="144" t="s">
        <v>1617</v>
      </c>
      <c r="C1057" s="150" t="s">
        <v>1618</v>
      </c>
      <c r="D1057" s="160"/>
      <c r="E1057" s="160"/>
      <c r="F1057" s="160"/>
      <c r="G1057" s="150" t="s">
        <v>2416</v>
      </c>
      <c r="H1057" s="141"/>
      <c r="I1057" s="153" t="s">
        <v>566</v>
      </c>
      <c r="J1057" s="153">
        <v>1</v>
      </c>
      <c r="K1057" s="145" t="s">
        <v>730</v>
      </c>
      <c r="L1057" s="142" t="s">
        <v>2521</v>
      </c>
      <c r="M1057" s="11" t="str">
        <f>VLOOKUP(N1057,'Mã NV'!$A$3:$B$196,2,0)</f>
        <v>TE32</v>
      </c>
      <c r="N1057" s="310" t="s">
        <v>2573</v>
      </c>
      <c r="O1057" s="380">
        <f>VLOOKUP(B1057,'Tổng hợp (3)'!$C$4:$E$985,3,0)</f>
        <v>44510</v>
      </c>
      <c r="P1057" s="378"/>
      <c r="Q1057" s="156"/>
      <c r="R1057" s="150"/>
    </row>
    <row r="1058" spans="1:18" ht="35.25" hidden="1" customHeight="1">
      <c r="A1058" s="15">
        <f t="shared" si="16"/>
        <v>1048</v>
      </c>
      <c r="B1058" s="144" t="s">
        <v>1619</v>
      </c>
      <c r="C1058" s="150" t="s">
        <v>120</v>
      </c>
      <c r="D1058" s="160"/>
      <c r="E1058" s="160"/>
      <c r="F1058" s="160"/>
      <c r="G1058" s="150"/>
      <c r="H1058" s="141"/>
      <c r="I1058" s="153" t="s">
        <v>566</v>
      </c>
      <c r="J1058" s="153">
        <v>1</v>
      </c>
      <c r="K1058" s="145" t="s">
        <v>730</v>
      </c>
      <c r="L1058" s="142" t="s">
        <v>2521</v>
      </c>
      <c r="M1058" s="11" t="str">
        <f>VLOOKUP(N1058,'Mã NV'!$A$3:$B$196,2,0)</f>
        <v>TE32</v>
      </c>
      <c r="N1058" s="310" t="s">
        <v>2573</v>
      </c>
      <c r="O1058" s="381">
        <v>44197</v>
      </c>
      <c r="P1058" s="371"/>
      <c r="Q1058" s="156"/>
      <c r="R1058" s="150"/>
    </row>
    <row r="1059" spans="1:18" ht="35.25" hidden="1" customHeight="1">
      <c r="A1059" s="15">
        <f t="shared" si="16"/>
        <v>1049</v>
      </c>
      <c r="B1059" s="144" t="s">
        <v>1620</v>
      </c>
      <c r="C1059" s="150" t="s">
        <v>1202</v>
      </c>
      <c r="D1059" s="160"/>
      <c r="E1059" s="160"/>
      <c r="F1059" s="160"/>
      <c r="G1059" s="144"/>
      <c r="H1059" s="141"/>
      <c r="I1059" s="153" t="s">
        <v>566</v>
      </c>
      <c r="J1059" s="153">
        <v>1</v>
      </c>
      <c r="K1059" s="145" t="s">
        <v>730</v>
      </c>
      <c r="L1059" s="142" t="s">
        <v>2521</v>
      </c>
      <c r="M1059" s="11" t="str">
        <f>VLOOKUP(N1059,'Mã NV'!$A$3:$B$196,2,0)</f>
        <v>TE32</v>
      </c>
      <c r="N1059" s="310" t="s">
        <v>2573</v>
      </c>
      <c r="O1059" s="381">
        <v>44197</v>
      </c>
      <c r="P1059" s="371"/>
      <c r="Q1059" s="156"/>
      <c r="R1059" s="150"/>
    </row>
    <row r="1060" spans="1:18" ht="35.25" hidden="1" customHeight="1">
      <c r="A1060" s="15">
        <f t="shared" si="16"/>
        <v>1050</v>
      </c>
      <c r="B1060" s="144" t="s">
        <v>1621</v>
      </c>
      <c r="C1060" s="150" t="s">
        <v>1306</v>
      </c>
      <c r="D1060" s="160"/>
      <c r="E1060" s="160"/>
      <c r="F1060" s="160"/>
      <c r="G1060" s="144"/>
      <c r="H1060" s="141"/>
      <c r="I1060" s="153" t="s">
        <v>566</v>
      </c>
      <c r="J1060" s="153">
        <v>1</v>
      </c>
      <c r="K1060" s="145" t="s">
        <v>730</v>
      </c>
      <c r="L1060" s="142" t="s">
        <v>2521</v>
      </c>
      <c r="M1060" s="11" t="str">
        <f>VLOOKUP(N1060,'Mã NV'!$A$3:$B$196,2,0)</f>
        <v>TE32</v>
      </c>
      <c r="N1060" s="310" t="s">
        <v>2573</v>
      </c>
      <c r="O1060" s="381">
        <v>44197</v>
      </c>
      <c r="P1060" s="371"/>
      <c r="Q1060" s="156"/>
      <c r="R1060" s="150"/>
    </row>
    <row r="1061" spans="1:18" ht="35.25" hidden="1" customHeight="1">
      <c r="A1061" s="15">
        <f t="shared" si="16"/>
        <v>1051</v>
      </c>
      <c r="B1061" s="144" t="s">
        <v>1622</v>
      </c>
      <c r="C1061" s="150" t="s">
        <v>1623</v>
      </c>
      <c r="D1061" s="160"/>
      <c r="E1061" s="160"/>
      <c r="F1061" s="160"/>
      <c r="G1061" s="144"/>
      <c r="H1061" s="141"/>
      <c r="I1061" s="153" t="s">
        <v>566</v>
      </c>
      <c r="J1061" s="153">
        <v>1</v>
      </c>
      <c r="K1061" s="145" t="s">
        <v>730</v>
      </c>
      <c r="L1061" s="142" t="s">
        <v>2521</v>
      </c>
      <c r="M1061" s="11" t="str">
        <f>VLOOKUP(N1061,'Mã NV'!$A$3:$B$196,2,0)</f>
        <v>TE32</v>
      </c>
      <c r="N1061" s="310" t="s">
        <v>2573</v>
      </c>
      <c r="O1061" s="380">
        <f>VLOOKUP(B1061,'Tổng hợp (3)'!$C$4:$E$985,3,0)</f>
        <v>44956</v>
      </c>
      <c r="P1061" s="378"/>
      <c r="Q1061" s="156"/>
      <c r="R1061" s="150"/>
    </row>
    <row r="1062" spans="1:18" ht="35.25" hidden="1" customHeight="1">
      <c r="A1062" s="15">
        <f t="shared" si="16"/>
        <v>1052</v>
      </c>
      <c r="B1062" s="169" t="s">
        <v>1624</v>
      </c>
      <c r="C1062" s="150" t="s">
        <v>1625</v>
      </c>
      <c r="D1062" s="160"/>
      <c r="E1062" s="160"/>
      <c r="F1062" s="160"/>
      <c r="G1062" s="144"/>
      <c r="H1062" s="141"/>
      <c r="I1062" s="153" t="s">
        <v>566</v>
      </c>
      <c r="J1062" s="153">
        <v>1</v>
      </c>
      <c r="K1062" s="145" t="s">
        <v>730</v>
      </c>
      <c r="L1062" s="142" t="s">
        <v>2521</v>
      </c>
      <c r="M1062" s="11" t="str">
        <f>VLOOKUP(N1062,'Mã NV'!$A$3:$B$196,2,0)</f>
        <v>TE32</v>
      </c>
      <c r="N1062" s="310" t="s">
        <v>2573</v>
      </c>
      <c r="O1062" s="380">
        <f>VLOOKUP(B1062,'Tổng hợp (3)'!$C$4:$E$985,3,0)</f>
        <v>44905</v>
      </c>
      <c r="P1062" s="378"/>
      <c r="Q1062" s="156"/>
      <c r="R1062" s="144" t="s">
        <v>272</v>
      </c>
    </row>
    <row r="1063" spans="1:18" ht="35.25" hidden="1" customHeight="1">
      <c r="A1063" s="15">
        <f t="shared" si="16"/>
        <v>1053</v>
      </c>
      <c r="B1063" s="150" t="s">
        <v>1626</v>
      </c>
      <c r="C1063" s="150" t="s">
        <v>1627</v>
      </c>
      <c r="D1063" s="160"/>
      <c r="E1063" s="160"/>
      <c r="F1063" s="160"/>
      <c r="G1063" s="144"/>
      <c r="H1063" s="141"/>
      <c r="I1063" s="153" t="s">
        <v>566</v>
      </c>
      <c r="J1063" s="153">
        <v>1</v>
      </c>
      <c r="K1063" s="145" t="s">
        <v>730</v>
      </c>
      <c r="L1063" s="142" t="s">
        <v>2521</v>
      </c>
      <c r="M1063" s="11" t="str">
        <f>VLOOKUP(N1063,'Mã NV'!$A$3:$B$196,2,0)</f>
        <v>TE32</v>
      </c>
      <c r="N1063" s="310" t="s">
        <v>2573</v>
      </c>
      <c r="O1063" s="380">
        <f>VLOOKUP(B1063,'Tổng hợp (3)'!$C$4:$E$985,3,0)</f>
        <v>44908</v>
      </c>
      <c r="P1063" s="378"/>
      <c r="Q1063" s="156"/>
      <c r="R1063" s="144" t="s">
        <v>272</v>
      </c>
    </row>
    <row r="1064" spans="1:18" ht="35.25" hidden="1" customHeight="1">
      <c r="A1064" s="15">
        <f t="shared" si="16"/>
        <v>1054</v>
      </c>
      <c r="B1064" s="9" t="s">
        <v>1628</v>
      </c>
      <c r="C1064" s="14" t="s">
        <v>1629</v>
      </c>
      <c r="D1064" s="160"/>
      <c r="E1064" s="160"/>
      <c r="F1064" s="160"/>
      <c r="G1064" s="144"/>
      <c r="H1064" s="141"/>
      <c r="I1064" s="153" t="s">
        <v>566</v>
      </c>
      <c r="J1064" s="153">
        <v>1</v>
      </c>
      <c r="K1064" s="145" t="s">
        <v>730</v>
      </c>
      <c r="L1064" s="142" t="s">
        <v>2521</v>
      </c>
      <c r="M1064" s="11" t="str">
        <f>VLOOKUP(N1064,'Mã NV'!$A$3:$B$196,2,0)</f>
        <v>TE32</v>
      </c>
      <c r="N1064" s="310" t="s">
        <v>2573</v>
      </c>
      <c r="O1064" s="380">
        <f>VLOOKUP(B1064,'Tổng hợp (3)'!$C$4:$E$985,3,0)</f>
        <v>44735</v>
      </c>
      <c r="P1064" s="378"/>
      <c r="Q1064" s="156"/>
      <c r="R1064" s="144" t="s">
        <v>272</v>
      </c>
    </row>
    <row r="1065" spans="1:18" ht="35.25" hidden="1" customHeight="1">
      <c r="A1065" s="15">
        <f t="shared" si="16"/>
        <v>1055</v>
      </c>
      <c r="B1065" s="9" t="s">
        <v>1630</v>
      </c>
      <c r="C1065" s="14" t="s">
        <v>1629</v>
      </c>
      <c r="D1065" s="160"/>
      <c r="E1065" s="160"/>
      <c r="F1065" s="160"/>
      <c r="G1065" s="144"/>
      <c r="H1065" s="141"/>
      <c r="I1065" s="153" t="s">
        <v>566</v>
      </c>
      <c r="J1065" s="153">
        <v>1</v>
      </c>
      <c r="K1065" s="145" t="s">
        <v>730</v>
      </c>
      <c r="L1065" s="142" t="s">
        <v>2521</v>
      </c>
      <c r="M1065" s="11" t="str">
        <f>VLOOKUP(N1065,'Mã NV'!$A$3:$B$196,2,0)</f>
        <v>TE32</v>
      </c>
      <c r="N1065" s="310" t="s">
        <v>2573</v>
      </c>
      <c r="O1065" s="380">
        <f>VLOOKUP(B1065,'Tổng hợp (3)'!$C$4:$E$985,3,0)</f>
        <v>44905</v>
      </c>
      <c r="P1065" s="378"/>
      <c r="Q1065" s="156"/>
      <c r="R1065" s="144" t="s">
        <v>272</v>
      </c>
    </row>
    <row r="1066" spans="1:18" ht="35.25" hidden="1" customHeight="1">
      <c r="A1066" s="15">
        <f t="shared" si="16"/>
        <v>1056</v>
      </c>
      <c r="B1066" s="9" t="s">
        <v>1631</v>
      </c>
      <c r="C1066" s="14" t="s">
        <v>1629</v>
      </c>
      <c r="D1066" s="160"/>
      <c r="E1066" s="160"/>
      <c r="F1066" s="160"/>
      <c r="G1066" s="144"/>
      <c r="H1066" s="141"/>
      <c r="I1066" s="153" t="s">
        <v>566</v>
      </c>
      <c r="J1066" s="153">
        <v>1</v>
      </c>
      <c r="K1066" s="145" t="s">
        <v>730</v>
      </c>
      <c r="L1066" s="142" t="s">
        <v>2521</v>
      </c>
      <c r="M1066" s="11" t="str">
        <f>VLOOKUP(N1066,'Mã NV'!$A$3:$B$196,2,0)</f>
        <v>TE32</v>
      </c>
      <c r="N1066" s="310" t="s">
        <v>2573</v>
      </c>
      <c r="O1066" s="380">
        <f>VLOOKUP(B1066,'Tổng hợp (3)'!$C$4:$E$985,3,0)</f>
        <v>44905</v>
      </c>
      <c r="P1066" s="378"/>
      <c r="Q1066" s="156"/>
      <c r="R1066" s="144" t="s">
        <v>272</v>
      </c>
    </row>
    <row r="1067" spans="1:18" ht="35.25" hidden="1" customHeight="1">
      <c r="A1067" s="15">
        <f t="shared" si="16"/>
        <v>1057</v>
      </c>
      <c r="B1067" s="144" t="s">
        <v>1632</v>
      </c>
      <c r="C1067" s="150" t="s">
        <v>1306</v>
      </c>
      <c r="D1067" s="160"/>
      <c r="E1067" s="160"/>
      <c r="F1067" s="160"/>
      <c r="G1067" s="144"/>
      <c r="H1067" s="141"/>
      <c r="I1067" s="153" t="s">
        <v>566</v>
      </c>
      <c r="J1067" s="153">
        <v>1</v>
      </c>
      <c r="K1067" s="145" t="s">
        <v>730</v>
      </c>
      <c r="L1067" s="142" t="s">
        <v>2521</v>
      </c>
      <c r="M1067" s="11" t="str">
        <f>VLOOKUP(N1067,'Mã NV'!$A$3:$B$196,2,0)</f>
        <v>TE32</v>
      </c>
      <c r="N1067" s="310" t="s">
        <v>2573</v>
      </c>
      <c r="O1067" s="381">
        <v>44197</v>
      </c>
      <c r="P1067" s="371"/>
      <c r="Q1067" s="156"/>
      <c r="R1067" s="144" t="s">
        <v>272</v>
      </c>
    </row>
    <row r="1068" spans="1:18" ht="35.25" hidden="1" customHeight="1">
      <c r="A1068" s="15">
        <f t="shared" si="16"/>
        <v>1058</v>
      </c>
      <c r="B1068" s="144" t="s">
        <v>1633</v>
      </c>
      <c r="C1068" s="150" t="s">
        <v>1306</v>
      </c>
      <c r="D1068" s="160"/>
      <c r="E1068" s="160"/>
      <c r="F1068" s="160"/>
      <c r="G1068" s="144"/>
      <c r="H1068" s="141"/>
      <c r="I1068" s="153" t="s">
        <v>566</v>
      </c>
      <c r="J1068" s="153">
        <v>1</v>
      </c>
      <c r="K1068" s="145" t="s">
        <v>730</v>
      </c>
      <c r="L1068" s="142" t="s">
        <v>2521</v>
      </c>
      <c r="M1068" s="11" t="str">
        <f>VLOOKUP(N1068,'Mã NV'!$A$3:$B$196,2,0)</f>
        <v>TE32</v>
      </c>
      <c r="N1068" s="310" t="s">
        <v>2573</v>
      </c>
      <c r="O1068" s="381">
        <v>44197</v>
      </c>
      <c r="P1068" s="371"/>
      <c r="Q1068" s="156"/>
      <c r="R1068" s="144" t="s">
        <v>272</v>
      </c>
    </row>
    <row r="1069" spans="1:18" ht="35.25" hidden="1" customHeight="1">
      <c r="A1069" s="15">
        <f t="shared" si="16"/>
        <v>1059</v>
      </c>
      <c r="B1069" s="144" t="s">
        <v>1634</v>
      </c>
      <c r="C1069" s="150" t="s">
        <v>32</v>
      </c>
      <c r="D1069" s="43"/>
      <c r="E1069" s="43"/>
      <c r="F1069" s="43"/>
      <c r="G1069" s="144"/>
      <c r="H1069" s="141"/>
      <c r="I1069" s="153" t="s">
        <v>566</v>
      </c>
      <c r="J1069" s="153">
        <v>1</v>
      </c>
      <c r="K1069" s="145" t="s">
        <v>730</v>
      </c>
      <c r="L1069" s="142" t="s">
        <v>2521</v>
      </c>
      <c r="M1069" s="11" t="str">
        <f>VLOOKUP(N1069,'Mã NV'!$A$3:$B$196,2,0)</f>
        <v>TE32</v>
      </c>
      <c r="N1069" s="310" t="s">
        <v>2573</v>
      </c>
      <c r="O1069" s="380">
        <f>VLOOKUP(B1069,'Tổng hợp (3)'!$C$4:$E$985,3,0)</f>
        <v>44819</v>
      </c>
      <c r="P1069" s="378"/>
      <c r="Q1069" s="156"/>
      <c r="R1069" s="150" t="s">
        <v>3247</v>
      </c>
    </row>
    <row r="1070" spans="1:18" ht="35.25" hidden="1" customHeight="1">
      <c r="A1070" s="15">
        <f t="shared" si="16"/>
        <v>1060</v>
      </c>
      <c r="B1070" s="144" t="s">
        <v>1635</v>
      </c>
      <c r="C1070" s="150" t="s">
        <v>414</v>
      </c>
      <c r="D1070" s="19"/>
      <c r="E1070" s="19"/>
      <c r="F1070" s="19"/>
      <c r="G1070" s="144"/>
      <c r="H1070" s="141"/>
      <c r="I1070" s="153" t="s">
        <v>566</v>
      </c>
      <c r="J1070" s="153">
        <v>1</v>
      </c>
      <c r="K1070" s="145" t="s">
        <v>730</v>
      </c>
      <c r="L1070" s="142" t="s">
        <v>2521</v>
      </c>
      <c r="M1070" s="11" t="str">
        <f>VLOOKUP(N1070,'Mã NV'!$A$3:$B$196,2,0)</f>
        <v>TE32</v>
      </c>
      <c r="N1070" s="310" t="s">
        <v>2573</v>
      </c>
      <c r="O1070" s="381">
        <v>44197</v>
      </c>
      <c r="P1070" s="371"/>
      <c r="Q1070" s="156"/>
      <c r="R1070" s="144" t="s">
        <v>272</v>
      </c>
    </row>
    <row r="1071" spans="1:18" ht="35.25" hidden="1" customHeight="1">
      <c r="A1071" s="15">
        <f t="shared" si="16"/>
        <v>1061</v>
      </c>
      <c r="B1071" s="144" t="s">
        <v>1636</v>
      </c>
      <c r="C1071" s="150" t="s">
        <v>414</v>
      </c>
      <c r="D1071" s="19"/>
      <c r="E1071" s="19"/>
      <c r="F1071" s="19"/>
      <c r="G1071" s="64"/>
      <c r="H1071" s="141"/>
      <c r="I1071" s="153" t="s">
        <v>566</v>
      </c>
      <c r="J1071" s="153">
        <v>1</v>
      </c>
      <c r="K1071" s="145" t="s">
        <v>730</v>
      </c>
      <c r="L1071" s="142" t="s">
        <v>2521</v>
      </c>
      <c r="M1071" s="11" t="str">
        <f>VLOOKUP(N1071,'Mã NV'!$A$3:$B$196,2,0)</f>
        <v>TE32</v>
      </c>
      <c r="N1071" s="310" t="s">
        <v>2573</v>
      </c>
      <c r="O1071" s="381">
        <v>44197</v>
      </c>
      <c r="P1071" s="371"/>
      <c r="Q1071" s="156"/>
      <c r="R1071" s="144" t="s">
        <v>272</v>
      </c>
    </row>
    <row r="1072" spans="1:18" ht="35.25" hidden="1" customHeight="1">
      <c r="A1072" s="15">
        <f t="shared" si="16"/>
        <v>1062</v>
      </c>
      <c r="B1072" s="144" t="s">
        <v>1637</v>
      </c>
      <c r="C1072" s="150" t="s">
        <v>414</v>
      </c>
      <c r="D1072" s="19"/>
      <c r="E1072" s="19"/>
      <c r="F1072" s="19"/>
      <c r="G1072" s="64"/>
      <c r="H1072" s="141"/>
      <c r="I1072" s="153" t="s">
        <v>566</v>
      </c>
      <c r="J1072" s="153">
        <v>1</v>
      </c>
      <c r="K1072" s="145" t="s">
        <v>730</v>
      </c>
      <c r="L1072" s="142" t="s">
        <v>2521</v>
      </c>
      <c r="M1072" s="11" t="str">
        <f>VLOOKUP(N1072,'Mã NV'!$A$3:$B$196,2,0)</f>
        <v>TE32</v>
      </c>
      <c r="N1072" s="310" t="s">
        <v>2573</v>
      </c>
      <c r="O1072" s="381">
        <v>44197</v>
      </c>
      <c r="P1072" s="371"/>
      <c r="Q1072" s="156"/>
      <c r="R1072" s="144" t="s">
        <v>272</v>
      </c>
    </row>
    <row r="1073" spans="1:39" ht="35.25" hidden="1" customHeight="1">
      <c r="A1073" s="15">
        <f t="shared" si="16"/>
        <v>1063</v>
      </c>
      <c r="B1073" s="144" t="s">
        <v>1638</v>
      </c>
      <c r="C1073" s="150" t="s">
        <v>414</v>
      </c>
      <c r="D1073" s="19"/>
      <c r="E1073" s="19"/>
      <c r="F1073" s="19"/>
      <c r="G1073" s="64"/>
      <c r="H1073" s="141"/>
      <c r="I1073" s="153" t="s">
        <v>566</v>
      </c>
      <c r="J1073" s="153">
        <v>1</v>
      </c>
      <c r="K1073" s="145" t="s">
        <v>730</v>
      </c>
      <c r="L1073" s="142" t="s">
        <v>2521</v>
      </c>
      <c r="M1073" s="11" t="str">
        <f>VLOOKUP(N1073,'Mã NV'!$A$3:$B$196,2,0)</f>
        <v>TE32</v>
      </c>
      <c r="N1073" s="310" t="s">
        <v>2573</v>
      </c>
      <c r="O1073" s="381">
        <v>44197</v>
      </c>
      <c r="P1073" s="371"/>
      <c r="Q1073" s="156"/>
      <c r="R1073" s="144" t="s">
        <v>272</v>
      </c>
    </row>
    <row r="1074" spans="1:39" ht="35.25" hidden="1" customHeight="1">
      <c r="A1074" s="15">
        <f t="shared" si="16"/>
        <v>1064</v>
      </c>
      <c r="B1074" s="144" t="s">
        <v>1639</v>
      </c>
      <c r="C1074" s="150" t="s">
        <v>414</v>
      </c>
      <c r="D1074" s="19"/>
      <c r="E1074" s="19"/>
      <c r="F1074" s="19"/>
      <c r="G1074" s="64"/>
      <c r="H1074" s="141"/>
      <c r="I1074" s="153" t="s">
        <v>566</v>
      </c>
      <c r="J1074" s="153">
        <v>1</v>
      </c>
      <c r="K1074" s="145" t="s">
        <v>730</v>
      </c>
      <c r="L1074" s="142" t="s">
        <v>2521</v>
      </c>
      <c r="M1074" s="11" t="str">
        <f>VLOOKUP(N1074,'Mã NV'!$A$3:$B$196,2,0)</f>
        <v>TE32</v>
      </c>
      <c r="N1074" s="310" t="s">
        <v>2573</v>
      </c>
      <c r="O1074" s="381">
        <v>44197</v>
      </c>
      <c r="P1074" s="371"/>
      <c r="Q1074" s="156"/>
      <c r="R1074" s="144" t="s">
        <v>272</v>
      </c>
    </row>
    <row r="1075" spans="1:39" ht="35.25" hidden="1" customHeight="1">
      <c r="A1075" s="15">
        <f t="shared" si="16"/>
        <v>1065</v>
      </c>
      <c r="B1075" s="144" t="s">
        <v>1640</v>
      </c>
      <c r="C1075" s="150" t="s">
        <v>414</v>
      </c>
      <c r="D1075" s="19"/>
      <c r="E1075" s="19"/>
      <c r="F1075" s="19"/>
      <c r="G1075" s="64"/>
      <c r="H1075" s="141"/>
      <c r="I1075" s="153" t="s">
        <v>566</v>
      </c>
      <c r="J1075" s="153">
        <v>1</v>
      </c>
      <c r="K1075" s="145" t="s">
        <v>730</v>
      </c>
      <c r="L1075" s="142" t="s">
        <v>2521</v>
      </c>
      <c r="M1075" s="11" t="str">
        <f>VLOOKUP(N1075,'Mã NV'!$A$3:$B$196,2,0)</f>
        <v>TE32</v>
      </c>
      <c r="N1075" s="310" t="s">
        <v>2573</v>
      </c>
      <c r="O1075" s="381">
        <v>44197</v>
      </c>
      <c r="P1075" s="371"/>
      <c r="Q1075" s="156"/>
      <c r="R1075" s="144" t="s">
        <v>272</v>
      </c>
    </row>
    <row r="1076" spans="1:39" ht="35.25" hidden="1" customHeight="1">
      <c r="A1076" s="15">
        <f t="shared" si="16"/>
        <v>1066</v>
      </c>
      <c r="B1076" s="144" t="s">
        <v>1641</v>
      </c>
      <c r="C1076" s="150" t="s">
        <v>414</v>
      </c>
      <c r="D1076" s="19"/>
      <c r="E1076" s="19"/>
      <c r="F1076" s="19"/>
      <c r="G1076" s="64"/>
      <c r="H1076" s="141"/>
      <c r="I1076" s="153" t="s">
        <v>566</v>
      </c>
      <c r="J1076" s="153">
        <v>1</v>
      </c>
      <c r="K1076" s="145" t="s">
        <v>730</v>
      </c>
      <c r="L1076" s="142" t="s">
        <v>2521</v>
      </c>
      <c r="M1076" s="11" t="str">
        <f>VLOOKUP(N1076,'Mã NV'!$A$3:$B$196,2,0)</f>
        <v>TE32</v>
      </c>
      <c r="N1076" s="310" t="s">
        <v>2573</v>
      </c>
      <c r="O1076" s="381">
        <v>44197</v>
      </c>
      <c r="P1076" s="371"/>
      <c r="Q1076" s="156"/>
      <c r="R1076" s="144" t="s">
        <v>272</v>
      </c>
    </row>
    <row r="1077" spans="1:39" ht="35.25" hidden="1" customHeight="1">
      <c r="A1077" s="15">
        <f t="shared" si="16"/>
        <v>1067</v>
      </c>
      <c r="B1077" s="144" t="s">
        <v>1642</v>
      </c>
      <c r="C1077" s="150" t="s">
        <v>414</v>
      </c>
      <c r="D1077" s="46"/>
      <c r="E1077" s="46"/>
      <c r="F1077" s="46"/>
      <c r="G1077" s="64"/>
      <c r="H1077" s="141"/>
      <c r="I1077" s="153" t="s">
        <v>566</v>
      </c>
      <c r="J1077" s="153">
        <v>1</v>
      </c>
      <c r="K1077" s="145" t="s">
        <v>730</v>
      </c>
      <c r="L1077" s="142" t="s">
        <v>2521</v>
      </c>
      <c r="M1077" s="11" t="str">
        <f>VLOOKUP(N1077,'Mã NV'!$A$3:$B$196,2,0)</f>
        <v>TE32</v>
      </c>
      <c r="N1077" s="310" t="s">
        <v>2573</v>
      </c>
      <c r="O1077" s="381">
        <v>44197</v>
      </c>
      <c r="P1077" s="371"/>
      <c r="Q1077" s="156"/>
      <c r="R1077" s="144" t="s">
        <v>272</v>
      </c>
    </row>
    <row r="1078" spans="1:39" ht="35.25" hidden="1" customHeight="1">
      <c r="A1078" s="15">
        <f t="shared" si="16"/>
        <v>1068</v>
      </c>
      <c r="B1078" s="144" t="s">
        <v>1643</v>
      </c>
      <c r="C1078" s="150" t="s">
        <v>985</v>
      </c>
      <c r="D1078" s="46"/>
      <c r="E1078" s="46"/>
      <c r="F1078" s="46"/>
      <c r="G1078" s="64"/>
      <c r="H1078" s="141"/>
      <c r="I1078" s="153" t="s">
        <v>566</v>
      </c>
      <c r="J1078" s="153">
        <v>1</v>
      </c>
      <c r="K1078" s="145" t="s">
        <v>730</v>
      </c>
      <c r="L1078" s="142" t="s">
        <v>2521</v>
      </c>
      <c r="M1078" s="11" t="str">
        <f>VLOOKUP(N1078,'Mã NV'!$A$3:$B$196,2,0)</f>
        <v>TE32</v>
      </c>
      <c r="N1078" s="310" t="s">
        <v>2573</v>
      </c>
      <c r="O1078" s="381">
        <v>44197</v>
      </c>
      <c r="P1078" s="371"/>
      <c r="Q1078" s="156"/>
      <c r="R1078" s="144" t="s">
        <v>272</v>
      </c>
    </row>
    <row r="1079" spans="1:39" ht="35.25" hidden="1" customHeight="1">
      <c r="A1079" s="15">
        <f t="shared" si="16"/>
        <v>1069</v>
      </c>
      <c r="B1079" s="144" t="s">
        <v>1644</v>
      </c>
      <c r="C1079" s="150" t="s">
        <v>32</v>
      </c>
      <c r="D1079" s="46"/>
      <c r="E1079" s="46"/>
      <c r="F1079" s="46"/>
      <c r="G1079" s="64"/>
      <c r="H1079" s="141"/>
      <c r="I1079" s="153" t="s">
        <v>566</v>
      </c>
      <c r="J1079" s="153">
        <v>1</v>
      </c>
      <c r="K1079" s="145" t="s">
        <v>730</v>
      </c>
      <c r="L1079" s="142" t="s">
        <v>2521</v>
      </c>
      <c r="M1079" s="11" t="str">
        <f>VLOOKUP(N1079,'Mã NV'!$A$3:$B$196,2,0)</f>
        <v>TE32</v>
      </c>
      <c r="N1079" s="310" t="s">
        <v>2573</v>
      </c>
      <c r="O1079" s="381">
        <v>44197</v>
      </c>
      <c r="P1079" s="371"/>
      <c r="Q1079" s="156"/>
      <c r="R1079" s="144" t="s">
        <v>272</v>
      </c>
    </row>
    <row r="1080" spans="1:39" ht="35.25" hidden="1" customHeight="1">
      <c r="A1080" s="15">
        <f t="shared" si="16"/>
        <v>1070</v>
      </c>
      <c r="B1080" s="142" t="s">
        <v>1645</v>
      </c>
      <c r="C1080" s="150" t="s">
        <v>1646</v>
      </c>
      <c r="D1080" s="46"/>
      <c r="E1080" s="46"/>
      <c r="F1080" s="46"/>
      <c r="G1080" s="150" t="s">
        <v>2417</v>
      </c>
      <c r="H1080" s="141"/>
      <c r="I1080" s="153" t="s">
        <v>566</v>
      </c>
      <c r="J1080" s="153">
        <v>1</v>
      </c>
      <c r="K1080" s="145" t="s">
        <v>730</v>
      </c>
      <c r="L1080" s="142" t="s">
        <v>2518</v>
      </c>
      <c r="M1080" s="11" t="str">
        <f>VLOOKUP(N1080,'Mã NV'!$A$3:$B$196,2,0)</f>
        <v>TE54</v>
      </c>
      <c r="N1080" s="310" t="s">
        <v>2574</v>
      </c>
      <c r="O1080" s="381">
        <v>44197</v>
      </c>
      <c r="P1080" s="371"/>
      <c r="Q1080" s="156"/>
      <c r="R1080" s="144" t="s">
        <v>2509</v>
      </c>
    </row>
    <row r="1081" spans="1:39" ht="35.25" hidden="1" customHeight="1">
      <c r="A1081" s="15">
        <f t="shared" si="16"/>
        <v>1071</v>
      </c>
      <c r="B1081" s="142" t="s">
        <v>1647</v>
      </c>
      <c r="C1081" s="150" t="s">
        <v>1648</v>
      </c>
      <c r="D1081" s="182"/>
      <c r="E1081" s="182"/>
      <c r="F1081" s="182"/>
      <c r="G1081" s="144"/>
      <c r="H1081" s="141"/>
      <c r="I1081" s="153" t="s">
        <v>566</v>
      </c>
      <c r="J1081" s="153">
        <v>1</v>
      </c>
      <c r="K1081" s="145" t="s">
        <v>730</v>
      </c>
      <c r="L1081" s="142" t="s">
        <v>2518</v>
      </c>
      <c r="M1081" s="11" t="str">
        <f>VLOOKUP(N1081,'Mã NV'!$A$3:$B$196,2,0)</f>
        <v>TE54</v>
      </c>
      <c r="N1081" s="310" t="s">
        <v>2574</v>
      </c>
      <c r="O1081" s="381">
        <v>44197</v>
      </c>
      <c r="P1081" s="371"/>
      <c r="Q1081" s="156"/>
      <c r="R1081" s="150"/>
    </row>
    <row r="1082" spans="1:39" ht="35.25" hidden="1" customHeight="1">
      <c r="A1082" s="15">
        <f t="shared" si="16"/>
        <v>1072</v>
      </c>
      <c r="B1082" s="142" t="s">
        <v>1649</v>
      </c>
      <c r="C1082" s="150" t="s">
        <v>451</v>
      </c>
      <c r="D1082" s="182"/>
      <c r="E1082" s="182"/>
      <c r="F1082" s="182"/>
      <c r="G1082" s="144" t="s">
        <v>2409</v>
      </c>
      <c r="H1082" s="141"/>
      <c r="I1082" s="153" t="s">
        <v>566</v>
      </c>
      <c r="J1082" s="153">
        <v>1</v>
      </c>
      <c r="K1082" s="145" t="s">
        <v>730</v>
      </c>
      <c r="L1082" s="142" t="s">
        <v>2518</v>
      </c>
      <c r="M1082" s="11" t="str">
        <f>VLOOKUP(N1082,'Mã NV'!$A$3:$B$196,2,0)</f>
        <v>TE54</v>
      </c>
      <c r="N1082" s="310" t="s">
        <v>2574</v>
      </c>
      <c r="O1082" s="381">
        <v>44197</v>
      </c>
      <c r="P1082" s="371"/>
      <c r="Q1082" s="156"/>
      <c r="R1082" s="150"/>
    </row>
    <row r="1083" spans="1:39" ht="35.25" hidden="1" customHeight="1">
      <c r="A1083" s="15">
        <f t="shared" si="16"/>
        <v>1073</v>
      </c>
      <c r="B1083" s="142" t="s">
        <v>1650</v>
      </c>
      <c r="C1083" s="150" t="s">
        <v>578</v>
      </c>
      <c r="D1083" s="182"/>
      <c r="E1083" s="182"/>
      <c r="F1083" s="182"/>
      <c r="G1083" s="144"/>
      <c r="H1083" s="141"/>
      <c r="I1083" s="153" t="s">
        <v>566</v>
      </c>
      <c r="J1083" s="153">
        <v>1</v>
      </c>
      <c r="K1083" s="145" t="s">
        <v>730</v>
      </c>
      <c r="L1083" s="142" t="s">
        <v>2518</v>
      </c>
      <c r="M1083" s="11" t="str">
        <f>VLOOKUP(N1083,'Mã NV'!$A$3:$B$196,2,0)</f>
        <v>TE54</v>
      </c>
      <c r="N1083" s="310" t="s">
        <v>2574</v>
      </c>
      <c r="O1083" s="381">
        <v>44197</v>
      </c>
      <c r="P1083" s="371"/>
      <c r="Q1083" s="156"/>
      <c r="R1083" s="144" t="s">
        <v>2510</v>
      </c>
    </row>
    <row r="1084" spans="1:39" s="236" customFormat="1" ht="35.25" hidden="1" customHeight="1">
      <c r="A1084" s="15">
        <f t="shared" si="16"/>
        <v>1074</v>
      </c>
      <c r="B1084" s="165" t="s">
        <v>1651</v>
      </c>
      <c r="C1084" s="170" t="s">
        <v>1652</v>
      </c>
      <c r="D1084" s="256"/>
      <c r="E1084" s="256"/>
      <c r="F1084" s="256"/>
      <c r="G1084" s="163" t="s">
        <v>2418</v>
      </c>
      <c r="H1084" s="147"/>
      <c r="I1084" s="162" t="s">
        <v>566</v>
      </c>
      <c r="J1084" s="162">
        <v>1</v>
      </c>
      <c r="K1084" s="163" t="s">
        <v>730</v>
      </c>
      <c r="L1084" s="165" t="s">
        <v>2518</v>
      </c>
      <c r="M1084" s="11" t="str">
        <f>VLOOKUP(N1084,'Mã NV'!$A$3:$B$196,2,0)</f>
        <v>TE54</v>
      </c>
      <c r="N1084" s="301" t="s">
        <v>2574</v>
      </c>
      <c r="O1084" s="384"/>
      <c r="P1084" s="371"/>
      <c r="Q1084" s="163"/>
      <c r="R1084" s="170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</row>
    <row r="1085" spans="1:39" ht="35.25" hidden="1" customHeight="1">
      <c r="A1085" s="15">
        <f t="shared" si="16"/>
        <v>1075</v>
      </c>
      <c r="B1085" s="142" t="s">
        <v>1653</v>
      </c>
      <c r="C1085" s="150" t="s">
        <v>582</v>
      </c>
      <c r="D1085" s="182"/>
      <c r="E1085" s="182"/>
      <c r="F1085" s="182"/>
      <c r="G1085" s="144"/>
      <c r="H1085" s="141"/>
      <c r="I1085" s="153" t="s">
        <v>566</v>
      </c>
      <c r="J1085" s="153">
        <v>1</v>
      </c>
      <c r="K1085" s="144" t="s">
        <v>730</v>
      </c>
      <c r="L1085" s="142" t="s">
        <v>2518</v>
      </c>
      <c r="M1085" s="11" t="str">
        <f>VLOOKUP(N1085,'Mã NV'!$A$3:$B$196,2,0)</f>
        <v>TE54</v>
      </c>
      <c r="N1085" s="310" t="s">
        <v>2574</v>
      </c>
      <c r="O1085" s="381">
        <v>44197</v>
      </c>
      <c r="P1085" s="371"/>
      <c r="Q1085" s="156"/>
      <c r="R1085" s="150"/>
    </row>
    <row r="1086" spans="1:39" ht="35.25" hidden="1" customHeight="1">
      <c r="A1086" s="15">
        <f t="shared" si="16"/>
        <v>1076</v>
      </c>
      <c r="B1086" s="142" t="s">
        <v>1654</v>
      </c>
      <c r="C1086" s="150" t="s">
        <v>1306</v>
      </c>
      <c r="D1086" s="182"/>
      <c r="E1086" s="182"/>
      <c r="F1086" s="182"/>
      <c r="G1086" s="144"/>
      <c r="H1086" s="141"/>
      <c r="I1086" s="153" t="s">
        <v>566</v>
      </c>
      <c r="J1086" s="153">
        <v>1</v>
      </c>
      <c r="K1086" s="144" t="s">
        <v>730</v>
      </c>
      <c r="L1086" s="142" t="s">
        <v>2518</v>
      </c>
      <c r="M1086" s="11" t="str">
        <f>VLOOKUP(N1086,'Mã NV'!$A$3:$B$196,2,0)</f>
        <v>TE54</v>
      </c>
      <c r="N1086" s="310" t="s">
        <v>2574</v>
      </c>
      <c r="O1086" s="381">
        <v>44197</v>
      </c>
      <c r="P1086" s="371"/>
      <c r="Q1086" s="156"/>
      <c r="R1086" s="150"/>
    </row>
    <row r="1087" spans="1:39" ht="35.25" hidden="1" customHeight="1">
      <c r="A1087" s="15">
        <f t="shared" si="16"/>
        <v>1077</v>
      </c>
      <c r="B1087" s="142" t="s">
        <v>1655</v>
      </c>
      <c r="C1087" s="150" t="s">
        <v>620</v>
      </c>
      <c r="D1087" s="182"/>
      <c r="E1087" s="182"/>
      <c r="F1087" s="182"/>
      <c r="G1087" s="154" t="s">
        <v>2419</v>
      </c>
      <c r="H1087" s="141"/>
      <c r="I1087" s="153" t="s">
        <v>566</v>
      </c>
      <c r="J1087" s="153">
        <v>1</v>
      </c>
      <c r="K1087" s="144" t="s">
        <v>730</v>
      </c>
      <c r="L1087" s="142" t="s">
        <v>2518</v>
      </c>
      <c r="M1087" s="11" t="str">
        <f>VLOOKUP(N1087,'Mã NV'!$A$3:$B$196,2,0)</f>
        <v>TE26</v>
      </c>
      <c r="N1087" s="310" t="s">
        <v>2575</v>
      </c>
      <c r="O1087" s="381">
        <v>44197</v>
      </c>
      <c r="P1087" s="371"/>
      <c r="Q1087" s="156"/>
      <c r="R1087" s="150" t="s">
        <v>3220</v>
      </c>
    </row>
    <row r="1088" spans="1:39" ht="35.25" hidden="1" customHeight="1">
      <c r="A1088" s="15">
        <f t="shared" si="16"/>
        <v>1078</v>
      </c>
      <c r="B1088" s="142" t="s">
        <v>1656</v>
      </c>
      <c r="C1088" s="150" t="s">
        <v>120</v>
      </c>
      <c r="D1088" s="182"/>
      <c r="E1088" s="182"/>
      <c r="F1088" s="182"/>
      <c r="G1088" s="154"/>
      <c r="H1088" s="141"/>
      <c r="I1088" s="153" t="s">
        <v>566</v>
      </c>
      <c r="J1088" s="153">
        <v>1</v>
      </c>
      <c r="K1088" s="144" t="s">
        <v>730</v>
      </c>
      <c r="L1088" s="142" t="s">
        <v>2518</v>
      </c>
      <c r="M1088" s="11" t="str">
        <f>VLOOKUP(N1088,'Mã NV'!$A$3:$B$196,2,0)</f>
        <v>TE26</v>
      </c>
      <c r="N1088" s="310" t="s">
        <v>2575</v>
      </c>
      <c r="O1088" s="381">
        <v>44197</v>
      </c>
      <c r="P1088" s="371"/>
      <c r="Q1088" s="156"/>
      <c r="R1088" s="150"/>
    </row>
    <row r="1089" spans="1:39" ht="35.25" hidden="1" customHeight="1">
      <c r="A1089" s="15">
        <f t="shared" si="16"/>
        <v>1079</v>
      </c>
      <c r="B1089" s="142" t="s">
        <v>1657</v>
      </c>
      <c r="C1089" s="150" t="s">
        <v>1537</v>
      </c>
      <c r="D1089" s="182"/>
      <c r="E1089" s="182"/>
      <c r="F1089" s="182"/>
      <c r="G1089" s="144" t="s">
        <v>2420</v>
      </c>
      <c r="H1089" s="141"/>
      <c r="I1089" s="153" t="s">
        <v>566</v>
      </c>
      <c r="J1089" s="153">
        <v>1</v>
      </c>
      <c r="K1089" s="144" t="s">
        <v>730</v>
      </c>
      <c r="L1089" s="142" t="s">
        <v>2518</v>
      </c>
      <c r="M1089" s="11" t="str">
        <f>VLOOKUP(N1089,'Mã NV'!$A$3:$B$196,2,0)</f>
        <v>TE26</v>
      </c>
      <c r="N1089" s="310" t="s">
        <v>2575</v>
      </c>
      <c r="O1089" s="381">
        <v>44197</v>
      </c>
      <c r="P1089" s="371"/>
      <c r="Q1089" s="156"/>
      <c r="R1089" s="150"/>
    </row>
    <row r="1090" spans="1:39" ht="35.25" hidden="1" customHeight="1">
      <c r="A1090" s="15">
        <f t="shared" si="16"/>
        <v>1080</v>
      </c>
      <c r="B1090" s="142" t="s">
        <v>1658</v>
      </c>
      <c r="C1090" s="150" t="s">
        <v>1659</v>
      </c>
      <c r="D1090" s="182"/>
      <c r="E1090" s="182"/>
      <c r="F1090" s="182"/>
      <c r="G1090" s="144" t="s">
        <v>2421</v>
      </c>
      <c r="H1090" s="141"/>
      <c r="I1090" s="153" t="s">
        <v>566</v>
      </c>
      <c r="J1090" s="153">
        <v>1</v>
      </c>
      <c r="K1090" s="144" t="s">
        <v>730</v>
      </c>
      <c r="L1090" s="142" t="s">
        <v>2518</v>
      </c>
      <c r="M1090" s="11" t="str">
        <f>VLOOKUP(N1090,'Mã NV'!$A$3:$B$196,2,0)</f>
        <v>TE26</v>
      </c>
      <c r="N1090" s="310" t="s">
        <v>2575</v>
      </c>
      <c r="O1090" s="380">
        <f>VLOOKUP(B1090,'Tổng hợp (3)'!$C$4:$E$985,3,0)</f>
        <v>44869</v>
      </c>
      <c r="P1090" s="378"/>
      <c r="Q1090" s="156"/>
      <c r="R1090" s="150"/>
    </row>
    <row r="1091" spans="1:39" ht="35.25" hidden="1" customHeight="1">
      <c r="A1091" s="15">
        <f t="shared" si="16"/>
        <v>1081</v>
      </c>
      <c r="B1091" s="142" t="s">
        <v>1660</v>
      </c>
      <c r="C1091" s="150" t="s">
        <v>1659</v>
      </c>
      <c r="D1091" s="176"/>
      <c r="E1091" s="176"/>
      <c r="F1091" s="176"/>
      <c r="G1091" s="144"/>
      <c r="H1091" s="141"/>
      <c r="I1091" s="153" t="s">
        <v>566</v>
      </c>
      <c r="J1091" s="153">
        <v>1</v>
      </c>
      <c r="K1091" s="144" t="s">
        <v>730</v>
      </c>
      <c r="L1091" s="142" t="s">
        <v>2518</v>
      </c>
      <c r="M1091" s="11" t="str">
        <f>VLOOKUP(N1091,'Mã NV'!$A$3:$B$196,2,0)</f>
        <v>TE26</v>
      </c>
      <c r="N1091" s="310" t="s">
        <v>2575</v>
      </c>
      <c r="O1091" s="380">
        <f>VLOOKUP(B1091,'Tổng hợp (3)'!$C$4:$E$985,3,0)</f>
        <v>44873</v>
      </c>
      <c r="P1091" s="378"/>
      <c r="Q1091" s="156"/>
      <c r="R1091" s="150"/>
    </row>
    <row r="1092" spans="1:39" ht="35.25" hidden="1" customHeight="1">
      <c r="A1092" s="15">
        <f t="shared" si="16"/>
        <v>1082</v>
      </c>
      <c r="B1092" s="142" t="s">
        <v>1661</v>
      </c>
      <c r="C1092" s="150" t="s">
        <v>1662</v>
      </c>
      <c r="D1092" s="176"/>
      <c r="E1092" s="176"/>
      <c r="F1092" s="176"/>
      <c r="G1092" s="144"/>
      <c r="H1092" s="141"/>
      <c r="I1092" s="153" t="s">
        <v>566</v>
      </c>
      <c r="J1092" s="153">
        <v>1</v>
      </c>
      <c r="K1092" s="144" t="s">
        <v>730</v>
      </c>
      <c r="L1092" s="142" t="s">
        <v>2518</v>
      </c>
      <c r="M1092" s="11" t="str">
        <f>VLOOKUP(N1092,'Mã NV'!$A$3:$B$196,2,0)</f>
        <v>TE26</v>
      </c>
      <c r="N1092" s="310" t="s">
        <v>2575</v>
      </c>
      <c r="O1092" s="380">
        <f>VLOOKUP(B1092,'Tổng hợp (3)'!$C$4:$E$985,3,0)</f>
        <v>44869</v>
      </c>
      <c r="P1092" s="378"/>
      <c r="Q1092" s="156"/>
      <c r="R1092" s="150"/>
    </row>
    <row r="1093" spans="1:39" ht="35.25" hidden="1" customHeight="1">
      <c r="A1093" s="15">
        <f t="shared" si="16"/>
        <v>1083</v>
      </c>
      <c r="B1093" s="142" t="s">
        <v>1663</v>
      </c>
      <c r="C1093" s="150" t="s">
        <v>1306</v>
      </c>
      <c r="D1093" s="176"/>
      <c r="E1093" s="176"/>
      <c r="F1093" s="176"/>
      <c r="G1093" s="144"/>
      <c r="H1093" s="141"/>
      <c r="I1093" s="153" t="s">
        <v>566</v>
      </c>
      <c r="J1093" s="153">
        <v>1</v>
      </c>
      <c r="K1093" s="144" t="s">
        <v>730</v>
      </c>
      <c r="L1093" s="142" t="s">
        <v>2518</v>
      </c>
      <c r="M1093" s="11" t="str">
        <f>VLOOKUP(N1093,'Mã NV'!$A$3:$B$196,2,0)</f>
        <v>TE26</v>
      </c>
      <c r="N1093" s="310" t="s">
        <v>2575</v>
      </c>
      <c r="O1093" s="381">
        <v>44197</v>
      </c>
      <c r="P1093" s="371"/>
      <c r="Q1093" s="156"/>
      <c r="R1093" s="150"/>
    </row>
    <row r="1094" spans="1:39" ht="35.25" hidden="1" customHeight="1">
      <c r="A1094" s="15">
        <f t="shared" si="16"/>
        <v>1084</v>
      </c>
      <c r="B1094" s="142" t="s">
        <v>1664</v>
      </c>
      <c r="C1094" s="150" t="s">
        <v>32</v>
      </c>
      <c r="D1094" s="176"/>
      <c r="E1094" s="176"/>
      <c r="F1094" s="176"/>
      <c r="G1094" s="144"/>
      <c r="H1094" s="141"/>
      <c r="I1094" s="153" t="s">
        <v>566</v>
      </c>
      <c r="J1094" s="153">
        <v>1</v>
      </c>
      <c r="K1094" s="144" t="s">
        <v>730</v>
      </c>
      <c r="L1094" s="142" t="s">
        <v>2518</v>
      </c>
      <c r="M1094" s="11" t="str">
        <f>VLOOKUP(N1094,'Mã NV'!$A$3:$B$196,2,0)</f>
        <v>TE26</v>
      </c>
      <c r="N1094" s="310" t="s">
        <v>2575</v>
      </c>
      <c r="O1094" s="381">
        <v>44197</v>
      </c>
      <c r="P1094" s="371"/>
      <c r="Q1094" s="156"/>
      <c r="R1094" s="150"/>
    </row>
    <row r="1095" spans="1:39" s="137" customFormat="1" ht="35.25" hidden="1" customHeight="1">
      <c r="A1095" s="15">
        <f t="shared" si="16"/>
        <v>1085</v>
      </c>
      <c r="B1095" s="167" t="s">
        <v>1665</v>
      </c>
      <c r="C1095" s="171" t="s">
        <v>445</v>
      </c>
      <c r="D1095" s="195"/>
      <c r="E1095" s="195"/>
      <c r="F1095" s="195"/>
      <c r="G1095" s="151"/>
      <c r="H1095" s="148"/>
      <c r="I1095" s="166" t="s">
        <v>566</v>
      </c>
      <c r="J1095" s="166">
        <v>1</v>
      </c>
      <c r="K1095" s="167" t="s">
        <v>2511</v>
      </c>
      <c r="L1095" s="167" t="s">
        <v>2518</v>
      </c>
      <c r="M1095" s="11" t="str">
        <f>VLOOKUP(N1095,'Mã NV'!$A$3:$B$196,2,0)</f>
        <v>TE26</v>
      </c>
      <c r="N1095" s="313" t="s">
        <v>2575</v>
      </c>
      <c r="O1095" s="380">
        <f>VLOOKUP(B1095,'Tổng hợp (3)'!$C$4:$E$985,3,0)</f>
        <v>44753</v>
      </c>
      <c r="P1095" s="151"/>
      <c r="Q1095" s="151"/>
      <c r="R1095" s="171" t="s">
        <v>2667</v>
      </c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</row>
    <row r="1096" spans="1:39" ht="35.25" hidden="1" customHeight="1">
      <c r="A1096" s="15">
        <f t="shared" si="16"/>
        <v>1086</v>
      </c>
      <c r="B1096" s="145" t="s">
        <v>1666</v>
      </c>
      <c r="C1096" s="169" t="s">
        <v>1667</v>
      </c>
      <c r="D1096" s="176"/>
      <c r="E1096" s="176"/>
      <c r="F1096" s="176"/>
      <c r="G1096" s="156"/>
      <c r="H1096" s="141"/>
      <c r="I1096" s="158" t="s">
        <v>566</v>
      </c>
      <c r="J1096" s="158">
        <v>1</v>
      </c>
      <c r="K1096" s="156" t="s">
        <v>730</v>
      </c>
      <c r="L1096" s="145" t="s">
        <v>2518</v>
      </c>
      <c r="M1096" s="11" t="str">
        <f>VLOOKUP(N1096,'Mã NV'!$A$3:$B$196,2,0)</f>
        <v>TE80</v>
      </c>
      <c r="N1096" s="302" t="s">
        <v>2576</v>
      </c>
      <c r="O1096" s="381">
        <v>44197</v>
      </c>
      <c r="P1096" s="371"/>
      <c r="Q1096" s="156"/>
      <c r="R1096" s="156" t="s">
        <v>2509</v>
      </c>
    </row>
    <row r="1097" spans="1:39" ht="35.25" hidden="1" customHeight="1">
      <c r="A1097" s="15">
        <f t="shared" si="16"/>
        <v>1087</v>
      </c>
      <c r="B1097" s="145" t="s">
        <v>1668</v>
      </c>
      <c r="C1097" s="169" t="s">
        <v>1669</v>
      </c>
      <c r="D1097" s="176"/>
      <c r="E1097" s="176"/>
      <c r="F1097" s="176"/>
      <c r="G1097" s="156"/>
      <c r="H1097" s="141"/>
      <c r="I1097" s="158" t="s">
        <v>566</v>
      </c>
      <c r="J1097" s="158">
        <v>1</v>
      </c>
      <c r="K1097" s="156" t="s">
        <v>730</v>
      </c>
      <c r="L1097" s="145" t="s">
        <v>2518</v>
      </c>
      <c r="M1097" s="11" t="str">
        <f>VLOOKUP(N1097,'Mã NV'!$A$3:$B$196,2,0)</f>
        <v>TE80</v>
      </c>
      <c r="N1097" s="314" t="s">
        <v>2576</v>
      </c>
      <c r="O1097" s="381">
        <v>44197</v>
      </c>
      <c r="P1097" s="371"/>
      <c r="Q1097" s="156"/>
      <c r="R1097" s="169"/>
    </row>
    <row r="1098" spans="1:39" ht="35.25" hidden="1" customHeight="1">
      <c r="A1098" s="15">
        <f t="shared" si="16"/>
        <v>1088</v>
      </c>
      <c r="B1098" s="145" t="s">
        <v>1670</v>
      </c>
      <c r="C1098" s="169" t="s">
        <v>451</v>
      </c>
      <c r="D1098" s="176"/>
      <c r="E1098" s="176"/>
      <c r="F1098" s="176"/>
      <c r="G1098" s="156" t="s">
        <v>2409</v>
      </c>
      <c r="H1098" s="141"/>
      <c r="I1098" s="158" t="s">
        <v>566</v>
      </c>
      <c r="J1098" s="158">
        <v>1</v>
      </c>
      <c r="K1098" s="156" t="s">
        <v>730</v>
      </c>
      <c r="L1098" s="145" t="s">
        <v>2518</v>
      </c>
      <c r="M1098" s="11" t="str">
        <f>VLOOKUP(N1098,'Mã NV'!$A$3:$B$196,2,0)</f>
        <v>TE80</v>
      </c>
      <c r="N1098" s="314" t="s">
        <v>2576</v>
      </c>
      <c r="O1098" s="380">
        <f>VLOOKUP(B1098,'Tổng hợp (3)'!$C$4:$E$985,3,0)</f>
        <v>44791</v>
      </c>
      <c r="P1098" s="378"/>
      <c r="Q1098" s="156"/>
      <c r="R1098" s="169"/>
    </row>
    <row r="1099" spans="1:39" ht="35.25" hidden="1" customHeight="1">
      <c r="A1099" s="15">
        <f t="shared" si="16"/>
        <v>1089</v>
      </c>
      <c r="B1099" s="145" t="s">
        <v>1671</v>
      </c>
      <c r="C1099" s="169" t="s">
        <v>578</v>
      </c>
      <c r="D1099" s="176"/>
      <c r="E1099" s="176"/>
      <c r="F1099" s="176"/>
      <c r="G1099" s="156"/>
      <c r="H1099" s="141"/>
      <c r="I1099" s="158" t="s">
        <v>566</v>
      </c>
      <c r="J1099" s="158">
        <v>1</v>
      </c>
      <c r="K1099" s="156" t="s">
        <v>730</v>
      </c>
      <c r="L1099" s="145" t="s">
        <v>2518</v>
      </c>
      <c r="M1099" s="11" t="str">
        <f>VLOOKUP(N1099,'Mã NV'!$A$3:$B$196,2,0)</f>
        <v>TE80</v>
      </c>
      <c r="N1099" s="314" t="s">
        <v>2576</v>
      </c>
      <c r="O1099" s="380" t="str">
        <f>VLOOKUP(B1099,'Tổng hợp (3)'!$C$4:$E$985,3,0)</f>
        <v>29/9/2022</v>
      </c>
      <c r="P1099" s="378"/>
      <c r="Q1099" s="156"/>
      <c r="R1099" s="169"/>
    </row>
    <row r="1100" spans="1:39" ht="35.25" hidden="1" customHeight="1">
      <c r="A1100" s="15">
        <f t="shared" si="16"/>
        <v>1090</v>
      </c>
      <c r="B1100" s="145" t="s">
        <v>1672</v>
      </c>
      <c r="C1100" s="169" t="s">
        <v>1306</v>
      </c>
      <c r="D1100" s="176"/>
      <c r="E1100" s="176"/>
      <c r="F1100" s="176"/>
      <c r="G1100" s="156"/>
      <c r="H1100" s="141"/>
      <c r="I1100" s="158" t="s">
        <v>566</v>
      </c>
      <c r="J1100" s="158">
        <v>1</v>
      </c>
      <c r="K1100" s="156" t="s">
        <v>730</v>
      </c>
      <c r="L1100" s="145" t="s">
        <v>2518</v>
      </c>
      <c r="M1100" s="11" t="str">
        <f>VLOOKUP(N1100,'Mã NV'!$A$3:$B$196,2,0)</f>
        <v>TE80</v>
      </c>
      <c r="N1100" s="314" t="s">
        <v>2576</v>
      </c>
      <c r="O1100" s="381">
        <v>44197</v>
      </c>
      <c r="P1100" s="371"/>
      <c r="Q1100" s="156"/>
      <c r="R1100" s="169"/>
    </row>
    <row r="1101" spans="1:39" ht="35.25" hidden="1" customHeight="1">
      <c r="A1101" s="15">
        <f t="shared" si="16"/>
        <v>1091</v>
      </c>
      <c r="B1101" s="145" t="s">
        <v>1673</v>
      </c>
      <c r="C1101" s="169" t="s">
        <v>582</v>
      </c>
      <c r="D1101" s="176"/>
      <c r="E1101" s="176"/>
      <c r="F1101" s="176"/>
      <c r="G1101" s="156"/>
      <c r="H1101" s="141"/>
      <c r="I1101" s="158" t="s">
        <v>566</v>
      </c>
      <c r="J1101" s="158">
        <v>1</v>
      </c>
      <c r="K1101" s="156" t="s">
        <v>730</v>
      </c>
      <c r="L1101" s="145" t="s">
        <v>2518</v>
      </c>
      <c r="M1101" s="11" t="str">
        <f>VLOOKUP(N1101,'Mã NV'!$A$3:$B$196,2,0)</f>
        <v>TE80</v>
      </c>
      <c r="N1101" s="314" t="s">
        <v>2576</v>
      </c>
      <c r="O1101" s="381">
        <v>44197</v>
      </c>
      <c r="P1101" s="371"/>
      <c r="Q1101" s="156"/>
      <c r="R1101" s="169"/>
    </row>
    <row r="1102" spans="1:39" ht="35.25" hidden="1" customHeight="1">
      <c r="A1102" s="15">
        <f t="shared" si="16"/>
        <v>1092</v>
      </c>
      <c r="B1102" s="145" t="s">
        <v>1674</v>
      </c>
      <c r="C1102" s="169" t="s">
        <v>1675</v>
      </c>
      <c r="D1102" s="176"/>
      <c r="E1102" s="176"/>
      <c r="F1102" s="176"/>
      <c r="G1102" s="156" t="s">
        <v>2422</v>
      </c>
      <c r="H1102" s="141"/>
      <c r="I1102" s="158" t="s">
        <v>566</v>
      </c>
      <c r="J1102" s="158">
        <v>1</v>
      </c>
      <c r="K1102" s="156" t="s">
        <v>730</v>
      </c>
      <c r="L1102" s="145" t="s">
        <v>2518</v>
      </c>
      <c r="M1102" s="11" t="str">
        <f>VLOOKUP(N1102,'Mã NV'!$A$3:$B$196,2,0)</f>
        <v>TE49</v>
      </c>
      <c r="N1102" s="302" t="s">
        <v>2577</v>
      </c>
      <c r="O1102" s="380">
        <f>VLOOKUP(B1102,'Tổng hợp (3)'!$C$4:$E$985,3,0)</f>
        <v>44767</v>
      </c>
      <c r="P1102" s="378"/>
      <c r="Q1102" s="156"/>
      <c r="R1102" s="169"/>
    </row>
    <row r="1103" spans="1:39" ht="35.25" hidden="1" customHeight="1">
      <c r="A1103" s="15">
        <f t="shared" si="16"/>
        <v>1093</v>
      </c>
      <c r="B1103" s="145" t="s">
        <v>1676</v>
      </c>
      <c r="C1103" s="169" t="s">
        <v>1677</v>
      </c>
      <c r="D1103" s="176"/>
      <c r="E1103" s="176"/>
      <c r="F1103" s="176"/>
      <c r="G1103" s="156"/>
      <c r="H1103" s="141"/>
      <c r="I1103" s="158" t="s">
        <v>566</v>
      </c>
      <c r="J1103" s="158">
        <v>1</v>
      </c>
      <c r="K1103" s="156" t="s">
        <v>730</v>
      </c>
      <c r="L1103" s="145" t="s">
        <v>2518</v>
      </c>
      <c r="M1103" s="11" t="str">
        <f>VLOOKUP(N1103,'Mã NV'!$A$3:$B$196,2,0)</f>
        <v>TE49</v>
      </c>
      <c r="N1103" s="302" t="s">
        <v>2577</v>
      </c>
      <c r="O1103" s="381">
        <v>44197</v>
      </c>
      <c r="P1103" s="371"/>
      <c r="Q1103" s="156"/>
      <c r="R1103" s="169"/>
    </row>
    <row r="1104" spans="1:39" ht="35.25" hidden="1" customHeight="1">
      <c r="A1104" s="15">
        <f t="shared" si="16"/>
        <v>1094</v>
      </c>
      <c r="B1104" s="145" t="s">
        <v>1678</v>
      </c>
      <c r="C1104" s="169" t="s">
        <v>451</v>
      </c>
      <c r="D1104" s="176"/>
      <c r="E1104" s="176"/>
      <c r="F1104" s="176"/>
      <c r="G1104" s="156" t="s">
        <v>2409</v>
      </c>
      <c r="H1104" s="141"/>
      <c r="I1104" s="158" t="s">
        <v>566</v>
      </c>
      <c r="J1104" s="158">
        <v>1</v>
      </c>
      <c r="K1104" s="156" t="s">
        <v>730</v>
      </c>
      <c r="L1104" s="145" t="s">
        <v>2518</v>
      </c>
      <c r="M1104" s="11" t="str">
        <f>VLOOKUP(N1104,'Mã NV'!$A$3:$B$196,2,0)</f>
        <v>TE49</v>
      </c>
      <c r="N1104" s="302" t="s">
        <v>2577</v>
      </c>
      <c r="O1104" s="381">
        <v>44197</v>
      </c>
      <c r="P1104" s="371"/>
      <c r="Q1104" s="156"/>
      <c r="R1104" s="169"/>
    </row>
    <row r="1105" spans="1:18" ht="35.25" hidden="1" customHeight="1">
      <c r="A1105" s="15">
        <f t="shared" si="16"/>
        <v>1095</v>
      </c>
      <c r="B1105" s="145" t="s">
        <v>1679</v>
      </c>
      <c r="C1105" s="169" t="s">
        <v>578</v>
      </c>
      <c r="D1105" s="176"/>
      <c r="E1105" s="176"/>
      <c r="F1105" s="176"/>
      <c r="G1105" s="156"/>
      <c r="H1105" s="141"/>
      <c r="I1105" s="158" t="s">
        <v>566</v>
      </c>
      <c r="J1105" s="158">
        <v>1</v>
      </c>
      <c r="K1105" s="156" t="s">
        <v>730</v>
      </c>
      <c r="L1105" s="145" t="s">
        <v>2518</v>
      </c>
      <c r="M1105" s="11" t="str">
        <f>VLOOKUP(N1105,'Mã NV'!$A$3:$B$196,2,0)</f>
        <v>TE49</v>
      </c>
      <c r="N1105" s="302" t="s">
        <v>2577</v>
      </c>
      <c r="O1105" s="381">
        <v>44197</v>
      </c>
      <c r="P1105" s="371"/>
      <c r="Q1105" s="156"/>
      <c r="R1105" s="169"/>
    </row>
    <row r="1106" spans="1:18" ht="35.25" hidden="1" customHeight="1">
      <c r="A1106" s="15">
        <f t="shared" ref="A1106:A1169" si="17">A1105+1</f>
        <v>1096</v>
      </c>
      <c r="B1106" s="145" t="s">
        <v>1680</v>
      </c>
      <c r="C1106" s="169" t="s">
        <v>582</v>
      </c>
      <c r="D1106" s="176"/>
      <c r="E1106" s="176"/>
      <c r="F1106" s="176"/>
      <c r="G1106" s="156"/>
      <c r="H1106" s="141"/>
      <c r="I1106" s="158" t="s">
        <v>566</v>
      </c>
      <c r="J1106" s="158">
        <v>1</v>
      </c>
      <c r="K1106" s="156" t="s">
        <v>730</v>
      </c>
      <c r="L1106" s="145" t="s">
        <v>2518</v>
      </c>
      <c r="M1106" s="11" t="str">
        <f>VLOOKUP(N1106,'Mã NV'!$A$3:$B$196,2,0)</f>
        <v>TE49</v>
      </c>
      <c r="N1106" s="302" t="s">
        <v>2577</v>
      </c>
      <c r="O1106" s="381">
        <v>44197</v>
      </c>
      <c r="P1106" s="371"/>
      <c r="Q1106" s="156"/>
      <c r="R1106" s="169"/>
    </row>
    <row r="1107" spans="1:18" ht="35.25" hidden="1" customHeight="1">
      <c r="A1107" s="15">
        <f t="shared" si="17"/>
        <v>1097</v>
      </c>
      <c r="B1107" s="145" t="s">
        <v>1681</v>
      </c>
      <c r="C1107" s="169" t="s">
        <v>1306</v>
      </c>
      <c r="D1107" s="176"/>
      <c r="E1107" s="176"/>
      <c r="F1107" s="176"/>
      <c r="G1107" s="156"/>
      <c r="H1107" s="141"/>
      <c r="I1107" s="158" t="s">
        <v>566</v>
      </c>
      <c r="J1107" s="158">
        <v>1</v>
      </c>
      <c r="K1107" s="156" t="s">
        <v>730</v>
      </c>
      <c r="L1107" s="145" t="s">
        <v>2518</v>
      </c>
      <c r="M1107" s="11" t="str">
        <f>VLOOKUP(N1107,'Mã NV'!$A$3:$B$196,2,0)</f>
        <v>TE49</v>
      </c>
      <c r="N1107" s="302" t="s">
        <v>2577</v>
      </c>
      <c r="O1107" s="381">
        <v>44197</v>
      </c>
      <c r="P1107" s="371"/>
      <c r="Q1107" s="156"/>
      <c r="R1107" s="169"/>
    </row>
    <row r="1108" spans="1:18" ht="35.25" hidden="1" customHeight="1">
      <c r="A1108" s="15">
        <f t="shared" si="17"/>
        <v>1098</v>
      </c>
      <c r="B1108" s="142" t="s">
        <v>1682</v>
      </c>
      <c r="C1108" s="150" t="s">
        <v>451</v>
      </c>
      <c r="D1108" s="176"/>
      <c r="E1108" s="176"/>
      <c r="F1108" s="176"/>
      <c r="G1108" s="144" t="s">
        <v>2409</v>
      </c>
      <c r="H1108" s="141"/>
      <c r="I1108" s="153" t="s">
        <v>566</v>
      </c>
      <c r="J1108" s="153">
        <v>1</v>
      </c>
      <c r="K1108" s="156" t="s">
        <v>730</v>
      </c>
      <c r="L1108" s="142" t="s">
        <v>2518</v>
      </c>
      <c r="M1108" s="11" t="str">
        <f>VLOOKUP(N1108,'Mã NV'!$A$3:$B$196,2,0)</f>
        <v>TE100</v>
      </c>
      <c r="N1108" s="310" t="s">
        <v>2578</v>
      </c>
      <c r="O1108" s="381">
        <v>44197</v>
      </c>
      <c r="P1108" s="371"/>
      <c r="Q1108" s="156"/>
      <c r="R1108" s="150"/>
    </row>
    <row r="1109" spans="1:18" ht="35.25" hidden="1" customHeight="1">
      <c r="A1109" s="15">
        <f t="shared" si="17"/>
        <v>1099</v>
      </c>
      <c r="B1109" s="142" t="s">
        <v>1683</v>
      </c>
      <c r="C1109" s="150" t="s">
        <v>582</v>
      </c>
      <c r="D1109" s="176"/>
      <c r="E1109" s="176"/>
      <c r="F1109" s="176"/>
      <c r="G1109" s="144"/>
      <c r="H1109" s="141"/>
      <c r="I1109" s="153" t="s">
        <v>566</v>
      </c>
      <c r="J1109" s="153">
        <v>1</v>
      </c>
      <c r="K1109" s="156" t="s">
        <v>730</v>
      </c>
      <c r="L1109" s="142" t="s">
        <v>2518</v>
      </c>
      <c r="M1109" s="11" t="str">
        <f>VLOOKUP(N1109,'Mã NV'!$A$3:$B$196,2,0)</f>
        <v>TE100</v>
      </c>
      <c r="N1109" s="310" t="s">
        <v>2578</v>
      </c>
      <c r="O1109" s="381">
        <v>44197</v>
      </c>
      <c r="P1109" s="371"/>
      <c r="Q1109" s="156"/>
      <c r="R1109" s="150"/>
    </row>
    <row r="1110" spans="1:18" ht="35.25" hidden="1" customHeight="1">
      <c r="A1110" s="15">
        <f t="shared" si="17"/>
        <v>1100</v>
      </c>
      <c r="B1110" s="142" t="s">
        <v>1684</v>
      </c>
      <c r="C1110" s="150" t="s">
        <v>1306</v>
      </c>
      <c r="D1110" s="176"/>
      <c r="E1110" s="176"/>
      <c r="F1110" s="176"/>
      <c r="G1110" s="144"/>
      <c r="H1110" s="141"/>
      <c r="I1110" s="153" t="s">
        <v>566</v>
      </c>
      <c r="J1110" s="153">
        <v>1</v>
      </c>
      <c r="K1110" s="156" t="s">
        <v>730</v>
      </c>
      <c r="L1110" s="142" t="s">
        <v>2518</v>
      </c>
      <c r="M1110" s="11" t="str">
        <f>VLOOKUP(N1110,'Mã NV'!$A$3:$B$196,2,0)</f>
        <v>TE100</v>
      </c>
      <c r="N1110" s="310" t="s">
        <v>2578</v>
      </c>
      <c r="O1110" s="381">
        <v>44197</v>
      </c>
      <c r="P1110" s="371"/>
      <c r="Q1110" s="156"/>
      <c r="R1110" s="150"/>
    </row>
    <row r="1111" spans="1:18" ht="35.25" hidden="1" customHeight="1">
      <c r="A1111" s="15">
        <f t="shared" si="17"/>
        <v>1101</v>
      </c>
      <c r="B1111" s="142" t="s">
        <v>1685</v>
      </c>
      <c r="C1111" s="150" t="s">
        <v>32</v>
      </c>
      <c r="D1111" s="176"/>
      <c r="E1111" s="176"/>
      <c r="F1111" s="176"/>
      <c r="G1111" s="144"/>
      <c r="H1111" s="141"/>
      <c r="I1111" s="153" t="s">
        <v>566</v>
      </c>
      <c r="J1111" s="153">
        <v>1</v>
      </c>
      <c r="K1111" s="156" t="s">
        <v>730</v>
      </c>
      <c r="L1111" s="142" t="s">
        <v>2518</v>
      </c>
      <c r="M1111" s="11" t="str">
        <f>VLOOKUP(N1111,'Mã NV'!$A$3:$B$196,2,0)</f>
        <v>TE100</v>
      </c>
      <c r="N1111" s="310" t="s">
        <v>2578</v>
      </c>
      <c r="O1111" s="380" t="str">
        <f>VLOOKUP(B1111,'Tổng hợp (3)'!$C$4:$E$985,3,0)</f>
        <v>29/9/2022</v>
      </c>
      <c r="P1111" s="378"/>
      <c r="Q1111" s="156"/>
      <c r="R1111" s="150"/>
    </row>
    <row r="1112" spans="1:18" ht="35.25" hidden="1" customHeight="1">
      <c r="A1112" s="15">
        <f t="shared" si="17"/>
        <v>1102</v>
      </c>
      <c r="B1112" s="142" t="s">
        <v>1686</v>
      </c>
      <c r="C1112" s="150" t="s">
        <v>1667</v>
      </c>
      <c r="D1112" s="176"/>
      <c r="E1112" s="176"/>
      <c r="F1112" s="176"/>
      <c r="G1112" s="144"/>
      <c r="H1112" s="141"/>
      <c r="I1112" s="153" t="s">
        <v>566</v>
      </c>
      <c r="J1112" s="153">
        <v>1</v>
      </c>
      <c r="K1112" s="156" t="s">
        <v>730</v>
      </c>
      <c r="L1112" s="142" t="s">
        <v>2518</v>
      </c>
      <c r="M1112" s="11" t="str">
        <f>VLOOKUP(N1112,'Mã NV'!$A$3:$B$196,2,0)</f>
        <v>TE30</v>
      </c>
      <c r="N1112" s="310" t="s">
        <v>2579</v>
      </c>
      <c r="O1112" s="380">
        <f>VLOOKUP(B1112,'Tổng hợp (3)'!$C$4:$E$985,3,0)</f>
        <v>44516</v>
      </c>
      <c r="P1112" s="378"/>
      <c r="Q1112" s="156"/>
      <c r="R1112" s="150"/>
    </row>
    <row r="1113" spans="1:18" ht="35.25" hidden="1" customHeight="1">
      <c r="A1113" s="15">
        <f t="shared" si="17"/>
        <v>1103</v>
      </c>
      <c r="B1113" s="142" t="s">
        <v>1687</v>
      </c>
      <c r="C1113" s="150" t="s">
        <v>1176</v>
      </c>
      <c r="D1113" s="176"/>
      <c r="E1113" s="176"/>
      <c r="F1113" s="176"/>
      <c r="G1113" s="144"/>
      <c r="H1113" s="141"/>
      <c r="I1113" s="153" t="s">
        <v>566</v>
      </c>
      <c r="J1113" s="153">
        <v>1</v>
      </c>
      <c r="K1113" s="156" t="s">
        <v>730</v>
      </c>
      <c r="L1113" s="142" t="s">
        <v>2518</v>
      </c>
      <c r="M1113" s="11" t="str">
        <f>VLOOKUP(N1113,'Mã NV'!$A$3:$B$196,2,0)</f>
        <v>TE30</v>
      </c>
      <c r="N1113" s="310" t="s">
        <v>2579</v>
      </c>
      <c r="O1113" s="381">
        <v>44197</v>
      </c>
      <c r="P1113" s="371"/>
      <c r="Q1113" s="156"/>
      <c r="R1113" s="143"/>
    </row>
    <row r="1114" spans="1:18" ht="35.25" hidden="1" customHeight="1">
      <c r="A1114" s="15">
        <f t="shared" si="17"/>
        <v>1104</v>
      </c>
      <c r="B1114" s="142" t="s">
        <v>1688</v>
      </c>
      <c r="C1114" s="150" t="s">
        <v>451</v>
      </c>
      <c r="D1114" s="176"/>
      <c r="E1114" s="176"/>
      <c r="F1114" s="176"/>
      <c r="G1114" s="144" t="s">
        <v>2409</v>
      </c>
      <c r="H1114" s="141"/>
      <c r="I1114" s="153" t="s">
        <v>566</v>
      </c>
      <c r="J1114" s="153">
        <v>1</v>
      </c>
      <c r="K1114" s="156" t="s">
        <v>730</v>
      </c>
      <c r="L1114" s="142" t="s">
        <v>2518</v>
      </c>
      <c r="M1114" s="11" t="str">
        <f>VLOOKUP(N1114,'Mã NV'!$A$3:$B$196,2,0)</f>
        <v>TE30</v>
      </c>
      <c r="N1114" s="310" t="s">
        <v>2579</v>
      </c>
      <c r="O1114" s="380">
        <f>VLOOKUP(B1114,'Tổng hợp (3)'!$C$4:$E$985,3,0)</f>
        <v>44558</v>
      </c>
      <c r="P1114" s="378"/>
      <c r="Q1114" s="156"/>
      <c r="R1114" s="143"/>
    </row>
    <row r="1115" spans="1:18" ht="35.25" hidden="1" customHeight="1">
      <c r="A1115" s="15">
        <f t="shared" si="17"/>
        <v>1105</v>
      </c>
      <c r="B1115" s="142" t="s">
        <v>1689</v>
      </c>
      <c r="C1115" s="150" t="s">
        <v>578</v>
      </c>
      <c r="D1115" s="176"/>
      <c r="E1115" s="176"/>
      <c r="F1115" s="176"/>
      <c r="G1115" s="144"/>
      <c r="H1115" s="141"/>
      <c r="I1115" s="153" t="s">
        <v>566</v>
      </c>
      <c r="J1115" s="153">
        <v>1</v>
      </c>
      <c r="K1115" s="156" t="s">
        <v>730</v>
      </c>
      <c r="L1115" s="142" t="s">
        <v>2518</v>
      </c>
      <c r="M1115" s="11" t="str">
        <f>VLOOKUP(N1115,'Mã NV'!$A$3:$B$196,2,0)</f>
        <v>TE30</v>
      </c>
      <c r="N1115" s="310" t="s">
        <v>2579</v>
      </c>
      <c r="O1115" s="381">
        <v>44197</v>
      </c>
      <c r="P1115" s="371"/>
      <c r="Q1115" s="156"/>
      <c r="R1115" s="143"/>
    </row>
    <row r="1116" spans="1:18" ht="35.25" hidden="1" customHeight="1">
      <c r="A1116" s="15">
        <f t="shared" si="17"/>
        <v>1106</v>
      </c>
      <c r="B1116" s="142" t="s">
        <v>1690</v>
      </c>
      <c r="C1116" s="150" t="s">
        <v>582</v>
      </c>
      <c r="D1116" s="176"/>
      <c r="E1116" s="176"/>
      <c r="F1116" s="176"/>
      <c r="G1116" s="144"/>
      <c r="H1116" s="141"/>
      <c r="I1116" s="153" t="s">
        <v>566</v>
      </c>
      <c r="J1116" s="153">
        <v>1</v>
      </c>
      <c r="K1116" s="156" t="s">
        <v>730</v>
      </c>
      <c r="L1116" s="142" t="s">
        <v>2518</v>
      </c>
      <c r="M1116" s="11" t="str">
        <f>VLOOKUP(N1116,'Mã NV'!$A$3:$B$196,2,0)</f>
        <v>TE30</v>
      </c>
      <c r="N1116" s="310" t="s">
        <v>2579</v>
      </c>
      <c r="O1116" s="381">
        <v>44197</v>
      </c>
      <c r="P1116" s="371"/>
      <c r="Q1116" s="156"/>
      <c r="R1116" s="143"/>
    </row>
    <row r="1117" spans="1:18" ht="35.25" hidden="1" customHeight="1">
      <c r="A1117" s="15">
        <f t="shared" si="17"/>
        <v>1107</v>
      </c>
      <c r="B1117" s="142" t="s">
        <v>1691</v>
      </c>
      <c r="C1117" s="150" t="s">
        <v>1306</v>
      </c>
      <c r="D1117" s="176"/>
      <c r="E1117" s="176"/>
      <c r="F1117" s="176"/>
      <c r="G1117" s="144"/>
      <c r="H1117" s="141"/>
      <c r="I1117" s="153" t="s">
        <v>566</v>
      </c>
      <c r="J1117" s="153">
        <v>1</v>
      </c>
      <c r="K1117" s="156" t="s">
        <v>730</v>
      </c>
      <c r="L1117" s="142" t="s">
        <v>2518</v>
      </c>
      <c r="M1117" s="11" t="str">
        <f>VLOOKUP(N1117,'Mã NV'!$A$3:$B$196,2,0)</f>
        <v>TE30</v>
      </c>
      <c r="N1117" s="310" t="s">
        <v>2579</v>
      </c>
      <c r="O1117" s="381">
        <v>44197</v>
      </c>
      <c r="P1117" s="371"/>
      <c r="Q1117" s="156"/>
      <c r="R1117" s="143"/>
    </row>
    <row r="1118" spans="1:18" ht="35.25" hidden="1" customHeight="1">
      <c r="A1118" s="15">
        <f t="shared" si="17"/>
        <v>1108</v>
      </c>
      <c r="B1118" s="142" t="s">
        <v>1692</v>
      </c>
      <c r="C1118" s="150" t="s">
        <v>582</v>
      </c>
      <c r="D1118" s="176"/>
      <c r="E1118" s="176"/>
      <c r="F1118" s="176"/>
      <c r="G1118" s="144"/>
      <c r="H1118" s="141"/>
      <c r="I1118" s="153" t="s">
        <v>566</v>
      </c>
      <c r="J1118" s="153">
        <v>1</v>
      </c>
      <c r="K1118" s="156" t="s">
        <v>730</v>
      </c>
      <c r="L1118" s="142" t="s">
        <v>2518</v>
      </c>
      <c r="M1118" s="11" t="str">
        <f>VLOOKUP(N1118,'Mã NV'!$A$3:$B$196,2,0)</f>
        <v>TE40</v>
      </c>
      <c r="N1118" s="310" t="s">
        <v>2580</v>
      </c>
      <c r="O1118" s="381">
        <v>44197</v>
      </c>
      <c r="P1118" s="371"/>
      <c r="Q1118" s="156"/>
      <c r="R1118" s="150"/>
    </row>
    <row r="1119" spans="1:18" ht="35.25" hidden="1" customHeight="1">
      <c r="A1119" s="15">
        <f t="shared" si="17"/>
        <v>1109</v>
      </c>
      <c r="B1119" s="142" t="s">
        <v>1693</v>
      </c>
      <c r="C1119" s="150" t="s">
        <v>1306</v>
      </c>
      <c r="D1119" s="176"/>
      <c r="E1119" s="176"/>
      <c r="F1119" s="176"/>
      <c r="G1119" s="144"/>
      <c r="H1119" s="141"/>
      <c r="I1119" s="153" t="s">
        <v>566</v>
      </c>
      <c r="J1119" s="153">
        <v>1</v>
      </c>
      <c r="K1119" s="156" t="s">
        <v>730</v>
      </c>
      <c r="L1119" s="142" t="s">
        <v>2518</v>
      </c>
      <c r="M1119" s="11" t="str">
        <f>VLOOKUP(N1119,'Mã NV'!$A$3:$B$196,2,0)</f>
        <v>TE40</v>
      </c>
      <c r="N1119" s="310" t="s">
        <v>2580</v>
      </c>
      <c r="O1119" s="381">
        <v>44197</v>
      </c>
      <c r="P1119" s="371"/>
      <c r="Q1119" s="156"/>
      <c r="R1119" s="150"/>
    </row>
    <row r="1120" spans="1:18" ht="35.25" hidden="1" customHeight="1">
      <c r="A1120" s="15">
        <f t="shared" si="17"/>
        <v>1110</v>
      </c>
      <c r="B1120" s="142" t="s">
        <v>1694</v>
      </c>
      <c r="C1120" s="150" t="s">
        <v>451</v>
      </c>
      <c r="D1120" s="176"/>
      <c r="E1120" s="176"/>
      <c r="F1120" s="176"/>
      <c r="G1120" s="144" t="s">
        <v>2409</v>
      </c>
      <c r="H1120" s="141"/>
      <c r="I1120" s="153" t="s">
        <v>624</v>
      </c>
      <c r="J1120" s="153">
        <v>1</v>
      </c>
      <c r="K1120" s="156" t="s">
        <v>730</v>
      </c>
      <c r="L1120" s="142" t="s">
        <v>2518</v>
      </c>
      <c r="M1120" s="11" t="str">
        <f>VLOOKUP(N1120,'Mã NV'!$A$3:$B$196,2,0)</f>
        <v>TE40</v>
      </c>
      <c r="N1120" s="310" t="s">
        <v>2580</v>
      </c>
      <c r="O1120" s="380">
        <f>VLOOKUP(B1120,'Tổng hợp (3)'!$C$4:$E$985,3,0)</f>
        <v>44552</v>
      </c>
      <c r="P1120" s="378"/>
      <c r="Q1120" s="156"/>
      <c r="R1120" s="150"/>
    </row>
    <row r="1121" spans="1:18" ht="35.25" hidden="1" customHeight="1">
      <c r="A1121" s="15">
        <f t="shared" si="17"/>
        <v>1111</v>
      </c>
      <c r="B1121" s="142" t="s">
        <v>1695</v>
      </c>
      <c r="C1121" s="150" t="s">
        <v>620</v>
      </c>
      <c r="D1121" s="176"/>
      <c r="E1121" s="176"/>
      <c r="F1121" s="176"/>
      <c r="G1121" s="150" t="s">
        <v>2423</v>
      </c>
      <c r="H1121" s="141"/>
      <c r="I1121" s="153" t="s">
        <v>624</v>
      </c>
      <c r="J1121" s="153">
        <v>1</v>
      </c>
      <c r="K1121" s="156" t="s">
        <v>730</v>
      </c>
      <c r="L1121" s="142" t="s">
        <v>2518</v>
      </c>
      <c r="M1121" s="11" t="str">
        <f>VLOOKUP(N1121,'Mã NV'!$A$3:$B$196,2,0)</f>
        <v>TE40</v>
      </c>
      <c r="N1121" s="310" t="s">
        <v>2580</v>
      </c>
      <c r="O1121" s="380">
        <f>VLOOKUP(B1121,'Tổng hợp (3)'!$C$4:$E$985,3,0)</f>
        <v>44394</v>
      </c>
      <c r="P1121" s="378"/>
      <c r="Q1121" s="156"/>
      <c r="R1121" s="150"/>
    </row>
    <row r="1122" spans="1:18" ht="35.25" hidden="1" customHeight="1">
      <c r="A1122" s="15">
        <f t="shared" si="17"/>
        <v>1112</v>
      </c>
      <c r="B1122" s="142" t="s">
        <v>1696</v>
      </c>
      <c r="C1122" s="150" t="s">
        <v>1176</v>
      </c>
      <c r="D1122" s="176"/>
      <c r="E1122" s="176"/>
      <c r="F1122" s="176"/>
      <c r="G1122" s="144"/>
      <c r="H1122" s="141"/>
      <c r="I1122" s="153" t="s">
        <v>624</v>
      </c>
      <c r="J1122" s="153">
        <v>1</v>
      </c>
      <c r="K1122" s="156" t="s">
        <v>730</v>
      </c>
      <c r="L1122" s="142" t="s">
        <v>2518</v>
      </c>
      <c r="M1122" s="11" t="str">
        <f>VLOOKUP(N1122,'Mã NV'!$A$3:$B$196,2,0)</f>
        <v>TE40</v>
      </c>
      <c r="N1122" s="310" t="s">
        <v>2580</v>
      </c>
      <c r="O1122" s="381">
        <v>44197</v>
      </c>
      <c r="P1122" s="371"/>
      <c r="Q1122" s="156"/>
      <c r="R1122" s="150"/>
    </row>
    <row r="1123" spans="1:18" ht="35.25" hidden="1" customHeight="1">
      <c r="A1123" s="15">
        <f t="shared" si="17"/>
        <v>1113</v>
      </c>
      <c r="B1123" s="142" t="s">
        <v>1697</v>
      </c>
      <c r="C1123" s="150" t="s">
        <v>578</v>
      </c>
      <c r="D1123" s="176"/>
      <c r="E1123" s="176"/>
      <c r="F1123" s="176"/>
      <c r="G1123" s="144"/>
      <c r="H1123" s="141"/>
      <c r="I1123" s="153" t="s">
        <v>624</v>
      </c>
      <c r="J1123" s="153">
        <v>1</v>
      </c>
      <c r="K1123" s="156" t="s">
        <v>730</v>
      </c>
      <c r="L1123" s="142" t="s">
        <v>2518</v>
      </c>
      <c r="M1123" s="11" t="str">
        <f>VLOOKUP(N1123,'Mã NV'!$A$3:$B$196,2,0)</f>
        <v>TE40</v>
      </c>
      <c r="N1123" s="310" t="s">
        <v>2580</v>
      </c>
      <c r="O1123" s="381">
        <v>44197</v>
      </c>
      <c r="P1123" s="371"/>
      <c r="Q1123" s="156"/>
      <c r="R1123" s="150"/>
    </row>
    <row r="1124" spans="1:18" ht="35.25" hidden="1" customHeight="1">
      <c r="A1124" s="15">
        <f t="shared" si="17"/>
        <v>1114</v>
      </c>
      <c r="B1124" s="142" t="s">
        <v>1698</v>
      </c>
      <c r="C1124" s="150" t="s">
        <v>1646</v>
      </c>
      <c r="D1124" s="176"/>
      <c r="E1124" s="176"/>
      <c r="F1124" s="176"/>
      <c r="G1124" s="150" t="s">
        <v>2424</v>
      </c>
      <c r="H1124" s="141"/>
      <c r="I1124" s="153" t="s">
        <v>566</v>
      </c>
      <c r="J1124" s="153">
        <v>1</v>
      </c>
      <c r="K1124" s="156" t="s">
        <v>730</v>
      </c>
      <c r="L1124" s="142" t="s">
        <v>2518</v>
      </c>
      <c r="M1124" s="11" t="str">
        <f>VLOOKUP(N1124,'Mã NV'!$A$3:$B$196,2,0)</f>
        <v>TE55</v>
      </c>
      <c r="N1124" s="310" t="s">
        <v>2581</v>
      </c>
      <c r="O1124" s="380">
        <f>VLOOKUP(B1124,'Tổng hợp (3)'!$C$4:$E$985,3,0)</f>
        <v>44376</v>
      </c>
      <c r="P1124" s="378"/>
      <c r="Q1124" s="156"/>
      <c r="R1124" s="144" t="s">
        <v>2509</v>
      </c>
    </row>
    <row r="1125" spans="1:18" ht="35.25" hidden="1" customHeight="1">
      <c r="A1125" s="15">
        <f t="shared" si="17"/>
        <v>1115</v>
      </c>
      <c r="B1125" s="142" t="s">
        <v>1699</v>
      </c>
      <c r="C1125" s="150" t="s">
        <v>120</v>
      </c>
      <c r="D1125" s="176"/>
      <c r="E1125" s="176"/>
      <c r="F1125" s="176"/>
      <c r="G1125" s="150"/>
      <c r="H1125" s="141"/>
      <c r="I1125" s="153" t="s">
        <v>566</v>
      </c>
      <c r="J1125" s="153">
        <v>1</v>
      </c>
      <c r="K1125" s="156" t="s">
        <v>730</v>
      </c>
      <c r="L1125" s="142" t="s">
        <v>2518</v>
      </c>
      <c r="M1125" s="11" t="str">
        <f>VLOOKUP(N1125,'Mã NV'!$A$3:$B$196,2,0)</f>
        <v>TE55</v>
      </c>
      <c r="N1125" s="315" t="s">
        <v>2581</v>
      </c>
      <c r="O1125" s="381">
        <v>44197</v>
      </c>
      <c r="P1125" s="371"/>
      <c r="Q1125" s="156"/>
      <c r="R1125" s="150"/>
    </row>
    <row r="1126" spans="1:18" ht="35.25" hidden="1" customHeight="1">
      <c r="A1126" s="15">
        <f t="shared" si="17"/>
        <v>1116</v>
      </c>
      <c r="B1126" s="142" t="s">
        <v>1700</v>
      </c>
      <c r="C1126" s="150" t="s">
        <v>451</v>
      </c>
      <c r="D1126" s="176"/>
      <c r="E1126" s="176"/>
      <c r="F1126" s="176"/>
      <c r="G1126" s="144" t="s">
        <v>2409</v>
      </c>
      <c r="H1126" s="141"/>
      <c r="I1126" s="153" t="s">
        <v>566</v>
      </c>
      <c r="J1126" s="153">
        <v>1</v>
      </c>
      <c r="K1126" s="156" t="s">
        <v>730</v>
      </c>
      <c r="L1126" s="142" t="s">
        <v>2518</v>
      </c>
      <c r="M1126" s="11" t="str">
        <f>VLOOKUP(N1126,'Mã NV'!$A$3:$B$196,2,0)</f>
        <v>TE55</v>
      </c>
      <c r="N1126" s="315" t="s">
        <v>2581</v>
      </c>
      <c r="O1126" s="381">
        <v>44197</v>
      </c>
      <c r="P1126" s="371"/>
      <c r="Q1126" s="156"/>
      <c r="R1126" s="150"/>
    </row>
    <row r="1127" spans="1:18" ht="35.25" hidden="1" customHeight="1">
      <c r="A1127" s="15">
        <f t="shared" si="17"/>
        <v>1117</v>
      </c>
      <c r="B1127" s="142" t="s">
        <v>1701</v>
      </c>
      <c r="C1127" s="150" t="s">
        <v>605</v>
      </c>
      <c r="D1127" s="176"/>
      <c r="E1127" s="176"/>
      <c r="F1127" s="176"/>
      <c r="G1127" s="144"/>
      <c r="H1127" s="141"/>
      <c r="I1127" s="153" t="s">
        <v>566</v>
      </c>
      <c r="J1127" s="153">
        <v>1</v>
      </c>
      <c r="K1127" s="156" t="s">
        <v>730</v>
      </c>
      <c r="L1127" s="142" t="s">
        <v>2518</v>
      </c>
      <c r="M1127" s="11" t="str">
        <f>VLOOKUP(N1127,'Mã NV'!$A$3:$B$196,2,0)</f>
        <v>TE55</v>
      </c>
      <c r="N1127" s="315" t="s">
        <v>2581</v>
      </c>
      <c r="O1127" s="381">
        <v>44197</v>
      </c>
      <c r="P1127" s="371"/>
      <c r="Q1127" s="156"/>
      <c r="R1127" s="150"/>
    </row>
    <row r="1128" spans="1:18" ht="35.25" hidden="1" customHeight="1">
      <c r="A1128" s="15">
        <f t="shared" si="17"/>
        <v>1118</v>
      </c>
      <c r="B1128" s="142" t="s">
        <v>1702</v>
      </c>
      <c r="C1128" s="150" t="s">
        <v>578</v>
      </c>
      <c r="D1128" s="176"/>
      <c r="E1128" s="176"/>
      <c r="F1128" s="176"/>
      <c r="G1128" s="144"/>
      <c r="H1128" s="141"/>
      <c r="I1128" s="153" t="s">
        <v>566</v>
      </c>
      <c r="J1128" s="153">
        <v>1</v>
      </c>
      <c r="K1128" s="156" t="s">
        <v>730</v>
      </c>
      <c r="L1128" s="142" t="s">
        <v>2518</v>
      </c>
      <c r="M1128" s="11" t="str">
        <f>VLOOKUP(N1128,'Mã NV'!$A$3:$B$196,2,0)</f>
        <v>TE55</v>
      </c>
      <c r="N1128" s="315" t="s">
        <v>2581</v>
      </c>
      <c r="O1128" s="381">
        <v>44197</v>
      </c>
      <c r="P1128" s="371"/>
      <c r="Q1128" s="156"/>
      <c r="R1128" s="150"/>
    </row>
    <row r="1129" spans="1:18" ht="35.25" hidden="1" customHeight="1">
      <c r="A1129" s="15">
        <f t="shared" si="17"/>
        <v>1119</v>
      </c>
      <c r="B1129" s="142" t="s">
        <v>1703</v>
      </c>
      <c r="C1129" s="150" t="s">
        <v>582</v>
      </c>
      <c r="D1129" s="176"/>
      <c r="E1129" s="176"/>
      <c r="F1129" s="176"/>
      <c r="G1129" s="144"/>
      <c r="H1129" s="141"/>
      <c r="I1129" s="153" t="s">
        <v>566</v>
      </c>
      <c r="J1129" s="153">
        <v>1</v>
      </c>
      <c r="K1129" s="156" t="s">
        <v>730</v>
      </c>
      <c r="L1129" s="142" t="s">
        <v>2518</v>
      </c>
      <c r="M1129" s="11" t="str">
        <f>VLOOKUP(N1129,'Mã NV'!$A$3:$B$196,2,0)</f>
        <v>TE55</v>
      </c>
      <c r="N1129" s="315" t="s">
        <v>2581</v>
      </c>
      <c r="O1129" s="381">
        <v>44197</v>
      </c>
      <c r="P1129" s="371"/>
      <c r="Q1129" s="156"/>
      <c r="R1129" s="150"/>
    </row>
    <row r="1130" spans="1:18" ht="35.25" hidden="1" customHeight="1">
      <c r="A1130" s="15">
        <f t="shared" si="17"/>
        <v>1120</v>
      </c>
      <c r="B1130" s="142" t="s">
        <v>1704</v>
      </c>
      <c r="C1130" s="150" t="s">
        <v>1306</v>
      </c>
      <c r="D1130" s="176"/>
      <c r="E1130" s="176"/>
      <c r="F1130" s="176"/>
      <c r="G1130" s="144"/>
      <c r="H1130" s="141"/>
      <c r="I1130" s="153" t="s">
        <v>566</v>
      </c>
      <c r="J1130" s="153">
        <v>1</v>
      </c>
      <c r="K1130" s="156" t="s">
        <v>730</v>
      </c>
      <c r="L1130" s="142" t="s">
        <v>2518</v>
      </c>
      <c r="M1130" s="11" t="str">
        <f>VLOOKUP(N1130,'Mã NV'!$A$3:$B$196,2,0)</f>
        <v>TE55</v>
      </c>
      <c r="N1130" s="315" t="s">
        <v>2581</v>
      </c>
      <c r="O1130" s="381">
        <v>44197</v>
      </c>
      <c r="P1130" s="371"/>
      <c r="Q1130" s="156"/>
      <c r="R1130" s="150"/>
    </row>
    <row r="1131" spans="1:18" ht="35.25" hidden="1" customHeight="1">
      <c r="A1131" s="15">
        <f t="shared" si="17"/>
        <v>1121</v>
      </c>
      <c r="B1131" s="142" t="s">
        <v>1705</v>
      </c>
      <c r="C1131" s="150" t="s">
        <v>1706</v>
      </c>
      <c r="D1131" s="176"/>
      <c r="E1131" s="176"/>
      <c r="F1131" s="176"/>
      <c r="G1131" s="144"/>
      <c r="H1131" s="141"/>
      <c r="I1131" s="153" t="s">
        <v>566</v>
      </c>
      <c r="J1131" s="153">
        <v>1</v>
      </c>
      <c r="K1131" s="156" t="s">
        <v>730</v>
      </c>
      <c r="L1131" s="142" t="s">
        <v>2518</v>
      </c>
      <c r="M1131" s="11" t="str">
        <f>VLOOKUP(N1131,'Mã NV'!$A$3:$B$196,2,0)</f>
        <v>TE55</v>
      </c>
      <c r="N1131" s="310" t="s">
        <v>2581</v>
      </c>
      <c r="O1131" s="381">
        <v>44197</v>
      </c>
      <c r="P1131" s="371"/>
      <c r="Q1131" s="156"/>
      <c r="R1131" s="150"/>
    </row>
    <row r="1132" spans="1:18" ht="35.25" hidden="1" customHeight="1">
      <c r="A1132" s="15">
        <f t="shared" si="17"/>
        <v>1122</v>
      </c>
      <c r="B1132" s="142" t="s">
        <v>1707</v>
      </c>
      <c r="C1132" s="150" t="s">
        <v>445</v>
      </c>
      <c r="D1132" s="176"/>
      <c r="E1132" s="176"/>
      <c r="F1132" s="176"/>
      <c r="G1132" s="144"/>
      <c r="H1132" s="141"/>
      <c r="I1132" s="153" t="s">
        <v>566</v>
      </c>
      <c r="J1132" s="153">
        <v>1</v>
      </c>
      <c r="K1132" s="156" t="s">
        <v>730</v>
      </c>
      <c r="L1132" s="142" t="s">
        <v>2518</v>
      </c>
      <c r="M1132" s="11" t="str">
        <f>VLOOKUP(N1132,'Mã NV'!$A$3:$B$196,2,0)</f>
        <v>TE55</v>
      </c>
      <c r="N1132" s="310" t="s">
        <v>2581</v>
      </c>
      <c r="O1132" s="380">
        <f>VLOOKUP(B1132,'Tổng hợp (3)'!$C$4:$E$985,3,0)</f>
        <v>44751</v>
      </c>
      <c r="P1132" s="378"/>
      <c r="Q1132" s="156"/>
      <c r="R1132" s="150"/>
    </row>
    <row r="1133" spans="1:18" ht="35.25" hidden="1" customHeight="1">
      <c r="A1133" s="15">
        <f t="shared" si="17"/>
        <v>1123</v>
      </c>
      <c r="B1133" s="145" t="s">
        <v>1708</v>
      </c>
      <c r="C1133" s="169" t="s">
        <v>1646</v>
      </c>
      <c r="D1133" s="176"/>
      <c r="E1133" s="176"/>
      <c r="F1133" s="176"/>
      <c r="G1133" s="169" t="s">
        <v>2425</v>
      </c>
      <c r="H1133" s="141"/>
      <c r="I1133" s="158" t="s">
        <v>566</v>
      </c>
      <c r="J1133" s="158">
        <v>1</v>
      </c>
      <c r="K1133" s="156" t="s">
        <v>730</v>
      </c>
      <c r="L1133" s="145" t="s">
        <v>2518</v>
      </c>
      <c r="M1133" s="11" t="str">
        <f>VLOOKUP(N1133,'Mã NV'!$A$3:$B$196,2,0)</f>
        <v>TE64</v>
      </c>
      <c r="N1133" s="302" t="s">
        <v>2582</v>
      </c>
      <c r="O1133" s="381">
        <v>44197</v>
      </c>
      <c r="P1133" s="371"/>
      <c r="Q1133" s="156"/>
      <c r="R1133" s="156" t="s">
        <v>2509</v>
      </c>
    </row>
    <row r="1134" spans="1:18" ht="35.25" hidden="1" customHeight="1">
      <c r="A1134" s="15">
        <f t="shared" si="17"/>
        <v>1124</v>
      </c>
      <c r="B1134" s="145" t="s">
        <v>1709</v>
      </c>
      <c r="C1134" s="169" t="s">
        <v>1648</v>
      </c>
      <c r="D1134" s="176"/>
      <c r="E1134" s="176"/>
      <c r="F1134" s="176"/>
      <c r="G1134" s="169"/>
      <c r="H1134" s="141"/>
      <c r="I1134" s="158" t="s">
        <v>566</v>
      </c>
      <c r="J1134" s="158">
        <v>1</v>
      </c>
      <c r="K1134" s="156" t="s">
        <v>730</v>
      </c>
      <c r="L1134" s="145" t="s">
        <v>2518</v>
      </c>
      <c r="M1134" s="11" t="str">
        <f>VLOOKUP(N1134,'Mã NV'!$A$3:$B$196,2,0)</f>
        <v>TE64</v>
      </c>
      <c r="N1134" s="302" t="s">
        <v>2582</v>
      </c>
      <c r="O1134" s="381">
        <v>44197</v>
      </c>
      <c r="P1134" s="371"/>
      <c r="Q1134" s="156"/>
      <c r="R1134" s="169"/>
    </row>
    <row r="1135" spans="1:18" ht="35.25" hidden="1" customHeight="1">
      <c r="A1135" s="15">
        <f t="shared" si="17"/>
        <v>1125</v>
      </c>
      <c r="B1135" s="145" t="s">
        <v>1710</v>
      </c>
      <c r="C1135" s="169" t="s">
        <v>582</v>
      </c>
      <c r="D1135" s="176"/>
      <c r="E1135" s="176"/>
      <c r="F1135" s="176"/>
      <c r="G1135" s="156"/>
      <c r="H1135" s="141"/>
      <c r="I1135" s="158" t="s">
        <v>566</v>
      </c>
      <c r="J1135" s="158">
        <v>1</v>
      </c>
      <c r="K1135" s="156" t="s">
        <v>730</v>
      </c>
      <c r="L1135" s="145" t="s">
        <v>2518</v>
      </c>
      <c r="M1135" s="11" t="str">
        <f>VLOOKUP(N1135,'Mã NV'!$A$3:$B$196,2,0)</f>
        <v>TE64</v>
      </c>
      <c r="N1135" s="302" t="s">
        <v>2582</v>
      </c>
      <c r="O1135" s="381">
        <v>44197</v>
      </c>
      <c r="P1135" s="371"/>
      <c r="Q1135" s="156"/>
      <c r="R1135" s="169"/>
    </row>
    <row r="1136" spans="1:18" ht="35.25" hidden="1" customHeight="1">
      <c r="A1136" s="15">
        <f t="shared" si="17"/>
        <v>1126</v>
      </c>
      <c r="B1136" s="145" t="s">
        <v>1711</v>
      </c>
      <c r="C1136" s="169" t="s">
        <v>1306</v>
      </c>
      <c r="D1136" s="176"/>
      <c r="E1136" s="176"/>
      <c r="F1136" s="176"/>
      <c r="G1136" s="156"/>
      <c r="H1136" s="141"/>
      <c r="I1136" s="158" t="s">
        <v>566</v>
      </c>
      <c r="J1136" s="158">
        <v>1</v>
      </c>
      <c r="K1136" s="156" t="s">
        <v>730</v>
      </c>
      <c r="L1136" s="145" t="s">
        <v>2518</v>
      </c>
      <c r="M1136" s="11" t="str">
        <f>VLOOKUP(N1136,'Mã NV'!$A$3:$B$196,2,0)</f>
        <v>TE64</v>
      </c>
      <c r="N1136" s="302" t="s">
        <v>2582</v>
      </c>
      <c r="O1136" s="381">
        <v>44197</v>
      </c>
      <c r="P1136" s="371"/>
      <c r="Q1136" s="156"/>
      <c r="R1136" s="169"/>
    </row>
    <row r="1137" spans="1:18" ht="35.25" hidden="1" customHeight="1">
      <c r="A1137" s="15">
        <f t="shared" si="17"/>
        <v>1127</v>
      </c>
      <c r="B1137" s="145" t="s">
        <v>1712</v>
      </c>
      <c r="C1137" s="169" t="s">
        <v>578</v>
      </c>
      <c r="D1137" s="176"/>
      <c r="E1137" s="176"/>
      <c r="F1137" s="176"/>
      <c r="G1137" s="156"/>
      <c r="H1137" s="141"/>
      <c r="I1137" s="158" t="s">
        <v>566</v>
      </c>
      <c r="J1137" s="158">
        <v>1</v>
      </c>
      <c r="K1137" s="156" t="s">
        <v>730</v>
      </c>
      <c r="L1137" s="145" t="s">
        <v>2518</v>
      </c>
      <c r="M1137" s="11" t="str">
        <f>VLOOKUP(N1137,'Mã NV'!$A$3:$B$196,2,0)</f>
        <v>TE64</v>
      </c>
      <c r="N1137" s="302" t="s">
        <v>2582</v>
      </c>
      <c r="O1137" s="381">
        <v>44197</v>
      </c>
      <c r="P1137" s="371"/>
      <c r="Q1137" s="156"/>
      <c r="R1137" s="169"/>
    </row>
    <row r="1138" spans="1:18" ht="35.25" hidden="1" customHeight="1">
      <c r="A1138" s="15">
        <f t="shared" si="17"/>
        <v>1128</v>
      </c>
      <c r="B1138" s="145" t="s">
        <v>1713</v>
      </c>
      <c r="C1138" s="189" t="s">
        <v>601</v>
      </c>
      <c r="D1138" s="176"/>
      <c r="E1138" s="176"/>
      <c r="F1138" s="176"/>
      <c r="G1138" s="176"/>
      <c r="H1138" s="141"/>
      <c r="I1138" s="158" t="s">
        <v>566</v>
      </c>
      <c r="J1138" s="186">
        <v>1</v>
      </c>
      <c r="K1138" s="156" t="s">
        <v>730</v>
      </c>
      <c r="L1138" s="145" t="s">
        <v>2518</v>
      </c>
      <c r="M1138" s="11" t="str">
        <f>VLOOKUP(N1138,'Mã NV'!$A$3:$B$196,2,0)</f>
        <v>TE64</v>
      </c>
      <c r="N1138" s="302" t="s">
        <v>2582</v>
      </c>
      <c r="O1138" s="381">
        <v>44197</v>
      </c>
      <c r="P1138" s="371"/>
      <c r="Q1138" s="156"/>
      <c r="R1138" s="169"/>
    </row>
    <row r="1139" spans="1:18" ht="35.25" hidden="1" customHeight="1">
      <c r="A1139" s="15">
        <f t="shared" si="17"/>
        <v>1129</v>
      </c>
      <c r="B1139" s="142" t="s">
        <v>1714</v>
      </c>
      <c r="C1139" s="150" t="s">
        <v>1646</v>
      </c>
      <c r="D1139" s="176"/>
      <c r="E1139" s="176"/>
      <c r="F1139" s="176"/>
      <c r="G1139" s="150" t="s">
        <v>2425</v>
      </c>
      <c r="H1139" s="141"/>
      <c r="I1139" s="153" t="s">
        <v>566</v>
      </c>
      <c r="J1139" s="153">
        <v>1</v>
      </c>
      <c r="K1139" s="156" t="s">
        <v>730</v>
      </c>
      <c r="L1139" s="142" t="s">
        <v>2518</v>
      </c>
      <c r="M1139" s="11" t="str">
        <f>VLOOKUP(N1139,'Mã NV'!$A$3:$B$196,2,0)</f>
        <v>IN27</v>
      </c>
      <c r="N1139" s="310" t="s">
        <v>2583</v>
      </c>
      <c r="O1139" s="380">
        <f>VLOOKUP(B1139,'Tổng hợp (3)'!$C$4:$E$985,3,0)</f>
        <v>44758</v>
      </c>
      <c r="P1139" s="378"/>
      <c r="Q1139" s="156"/>
      <c r="R1139" s="144" t="s">
        <v>2512</v>
      </c>
    </row>
    <row r="1140" spans="1:18" ht="35.25" hidden="1" customHeight="1">
      <c r="A1140" s="15">
        <f t="shared" si="17"/>
        <v>1130</v>
      </c>
      <c r="B1140" s="142" t="s">
        <v>1715</v>
      </c>
      <c r="C1140" s="150" t="s">
        <v>582</v>
      </c>
      <c r="D1140" s="176"/>
      <c r="E1140" s="176"/>
      <c r="F1140" s="176"/>
      <c r="G1140" s="144"/>
      <c r="H1140" s="141"/>
      <c r="I1140" s="153" t="s">
        <v>566</v>
      </c>
      <c r="J1140" s="153">
        <v>1</v>
      </c>
      <c r="K1140" s="156" t="s">
        <v>730</v>
      </c>
      <c r="L1140" s="142" t="s">
        <v>2518</v>
      </c>
      <c r="M1140" s="11" t="str">
        <f>VLOOKUP(N1140,'Mã NV'!$A$3:$B$196,2,0)</f>
        <v>IN27</v>
      </c>
      <c r="N1140" s="310" t="s">
        <v>2583</v>
      </c>
      <c r="O1140" s="381">
        <v>44197</v>
      </c>
      <c r="P1140" s="371"/>
      <c r="Q1140" s="156"/>
      <c r="R1140" s="150"/>
    </row>
    <row r="1141" spans="1:18" ht="35.25" hidden="1" customHeight="1">
      <c r="A1141" s="15">
        <f t="shared" si="17"/>
        <v>1131</v>
      </c>
      <c r="B1141" s="142" t="s">
        <v>1716</v>
      </c>
      <c r="C1141" s="150" t="s">
        <v>1306</v>
      </c>
      <c r="D1141" s="176"/>
      <c r="E1141" s="176"/>
      <c r="F1141" s="176"/>
      <c r="G1141" s="144"/>
      <c r="H1141" s="141"/>
      <c r="I1141" s="153" t="s">
        <v>566</v>
      </c>
      <c r="J1141" s="153">
        <v>1</v>
      </c>
      <c r="K1141" s="156" t="s">
        <v>730</v>
      </c>
      <c r="L1141" s="142" t="s">
        <v>2518</v>
      </c>
      <c r="M1141" s="11" t="str">
        <f>VLOOKUP(N1141,'Mã NV'!$A$3:$B$196,2,0)</f>
        <v>IN27</v>
      </c>
      <c r="N1141" s="310" t="s">
        <v>2583</v>
      </c>
      <c r="O1141" s="381">
        <v>44197</v>
      </c>
      <c r="P1141" s="371"/>
      <c r="Q1141" s="156"/>
      <c r="R1141" s="150"/>
    </row>
    <row r="1142" spans="1:18" ht="35.25" hidden="1" customHeight="1">
      <c r="A1142" s="15">
        <f t="shared" si="17"/>
        <v>1132</v>
      </c>
      <c r="B1142" s="142" t="s">
        <v>1717</v>
      </c>
      <c r="C1142" s="150" t="s">
        <v>1648</v>
      </c>
      <c r="D1142" s="176"/>
      <c r="E1142" s="176"/>
      <c r="F1142" s="176"/>
      <c r="G1142" s="144"/>
      <c r="H1142" s="141"/>
      <c r="I1142" s="153" t="s">
        <v>566</v>
      </c>
      <c r="J1142" s="153">
        <v>1</v>
      </c>
      <c r="K1142" s="156" t="s">
        <v>730</v>
      </c>
      <c r="L1142" s="142" t="s">
        <v>2518</v>
      </c>
      <c r="M1142" s="11" t="str">
        <f>VLOOKUP(N1142,'Mã NV'!$A$3:$B$196,2,0)</f>
        <v>IN27</v>
      </c>
      <c r="N1142" s="310" t="s">
        <v>2583</v>
      </c>
      <c r="O1142" s="381">
        <v>44197</v>
      </c>
      <c r="P1142" s="371"/>
      <c r="Q1142" s="156"/>
      <c r="R1142" s="150"/>
    </row>
    <row r="1143" spans="1:18" ht="35.25" hidden="1" customHeight="1">
      <c r="A1143" s="15">
        <f t="shared" si="17"/>
        <v>1133</v>
      </c>
      <c r="B1143" s="142" t="s">
        <v>1718</v>
      </c>
      <c r="C1143" s="150" t="s">
        <v>1646</v>
      </c>
      <c r="D1143" s="176"/>
      <c r="E1143" s="176"/>
      <c r="F1143" s="176"/>
      <c r="G1143" s="150" t="s">
        <v>2426</v>
      </c>
      <c r="H1143" s="141"/>
      <c r="I1143" s="153" t="s">
        <v>566</v>
      </c>
      <c r="J1143" s="153">
        <v>1</v>
      </c>
      <c r="K1143" s="156" t="s">
        <v>730</v>
      </c>
      <c r="L1143" s="142" t="s">
        <v>2518</v>
      </c>
      <c r="M1143" s="11" t="str">
        <f>VLOOKUP(N1143,'Mã NV'!$A$3:$B$196,2,0)</f>
        <v>TE65</v>
      </c>
      <c r="N1143" s="310" t="s">
        <v>2584</v>
      </c>
      <c r="O1143" s="380">
        <f>VLOOKUP(B1143,'Tổng hợp (3)'!$C$4:$E$985,3,0)</f>
        <v>44394</v>
      </c>
      <c r="P1143" s="378"/>
      <c r="Q1143" s="156"/>
      <c r="R1143" s="144" t="s">
        <v>2513</v>
      </c>
    </row>
    <row r="1144" spans="1:18" ht="35.25" hidden="1" customHeight="1">
      <c r="A1144" s="15">
        <f t="shared" si="17"/>
        <v>1134</v>
      </c>
      <c r="B1144" s="142" t="s">
        <v>1719</v>
      </c>
      <c r="C1144" s="150" t="s">
        <v>1648</v>
      </c>
      <c r="D1144" s="176"/>
      <c r="E1144" s="176"/>
      <c r="F1144" s="176"/>
      <c r="G1144" s="150"/>
      <c r="H1144" s="141"/>
      <c r="I1144" s="153" t="s">
        <v>566</v>
      </c>
      <c r="J1144" s="153">
        <v>1</v>
      </c>
      <c r="K1144" s="156" t="s">
        <v>730</v>
      </c>
      <c r="L1144" s="142" t="s">
        <v>2518</v>
      </c>
      <c r="M1144" s="11" t="str">
        <f>VLOOKUP(N1144,'Mã NV'!$A$3:$B$196,2,0)</f>
        <v>TE65</v>
      </c>
      <c r="N1144" s="316" t="s">
        <v>2584</v>
      </c>
      <c r="O1144" s="381">
        <v>44197</v>
      </c>
      <c r="P1144" s="371"/>
      <c r="Q1144" s="156"/>
      <c r="R1144" s="150"/>
    </row>
    <row r="1145" spans="1:18" ht="35.25" hidden="1" customHeight="1">
      <c r="A1145" s="15">
        <f t="shared" si="17"/>
        <v>1135</v>
      </c>
      <c r="B1145" s="142" t="s">
        <v>1720</v>
      </c>
      <c r="C1145" s="150" t="s">
        <v>451</v>
      </c>
      <c r="D1145" s="176"/>
      <c r="E1145" s="176"/>
      <c r="F1145" s="176"/>
      <c r="G1145" s="144" t="s">
        <v>2409</v>
      </c>
      <c r="H1145" s="141"/>
      <c r="I1145" s="153" t="s">
        <v>566</v>
      </c>
      <c r="J1145" s="153">
        <v>1</v>
      </c>
      <c r="K1145" s="156" t="s">
        <v>730</v>
      </c>
      <c r="L1145" s="142" t="s">
        <v>2518</v>
      </c>
      <c r="M1145" s="11" t="str">
        <f>VLOOKUP(N1145,'Mã NV'!$A$3:$B$196,2,0)</f>
        <v>TE65</v>
      </c>
      <c r="N1145" s="316" t="s">
        <v>2584</v>
      </c>
      <c r="O1145" s="380">
        <f>VLOOKUP(B1145,'Tổng hợp (3)'!$C$4:$E$985,3,0)</f>
        <v>44756</v>
      </c>
      <c r="P1145" s="378"/>
      <c r="Q1145" s="156"/>
      <c r="R1145" s="150"/>
    </row>
    <row r="1146" spans="1:18" ht="35.25" hidden="1" customHeight="1">
      <c r="A1146" s="15">
        <f t="shared" si="17"/>
        <v>1136</v>
      </c>
      <c r="B1146" s="142" t="s">
        <v>1721</v>
      </c>
      <c r="C1146" s="150" t="s">
        <v>32</v>
      </c>
      <c r="D1146" s="176"/>
      <c r="E1146" s="176"/>
      <c r="F1146" s="176"/>
      <c r="G1146" s="144"/>
      <c r="H1146" s="141"/>
      <c r="I1146" s="153" t="s">
        <v>566</v>
      </c>
      <c r="J1146" s="153">
        <v>1</v>
      </c>
      <c r="K1146" s="156" t="s">
        <v>730</v>
      </c>
      <c r="L1146" s="142" t="s">
        <v>2518</v>
      </c>
      <c r="M1146" s="11" t="str">
        <f>VLOOKUP(N1146,'Mã NV'!$A$3:$B$196,2,0)</f>
        <v>TE65</v>
      </c>
      <c r="N1146" s="316" t="s">
        <v>2584</v>
      </c>
      <c r="O1146" s="381">
        <v>44197</v>
      </c>
      <c r="P1146" s="371"/>
      <c r="Q1146" s="156"/>
      <c r="R1146" s="150"/>
    </row>
    <row r="1147" spans="1:18" ht="35.25" hidden="1" customHeight="1">
      <c r="A1147" s="15">
        <f t="shared" si="17"/>
        <v>1137</v>
      </c>
      <c r="B1147" s="142" t="s">
        <v>1722</v>
      </c>
      <c r="C1147" s="150" t="s">
        <v>582</v>
      </c>
      <c r="D1147" s="176"/>
      <c r="E1147" s="176"/>
      <c r="F1147" s="176"/>
      <c r="G1147" s="144"/>
      <c r="H1147" s="141"/>
      <c r="I1147" s="153" t="s">
        <v>566</v>
      </c>
      <c r="J1147" s="153">
        <v>1</v>
      </c>
      <c r="K1147" s="156" t="s">
        <v>730</v>
      </c>
      <c r="L1147" s="142" t="s">
        <v>2518</v>
      </c>
      <c r="M1147" s="11" t="str">
        <f>VLOOKUP(N1147,'Mã NV'!$A$3:$B$196,2,0)</f>
        <v>TE65</v>
      </c>
      <c r="N1147" s="316" t="s">
        <v>2584</v>
      </c>
      <c r="O1147" s="381">
        <v>44197</v>
      </c>
      <c r="P1147" s="371"/>
      <c r="Q1147" s="156"/>
      <c r="R1147" s="150"/>
    </row>
    <row r="1148" spans="1:18" ht="35.25" hidden="1" customHeight="1">
      <c r="A1148" s="15">
        <f t="shared" si="17"/>
        <v>1138</v>
      </c>
      <c r="B1148" s="142" t="s">
        <v>1723</v>
      </c>
      <c r="C1148" s="150" t="s">
        <v>1306</v>
      </c>
      <c r="D1148" s="176"/>
      <c r="E1148" s="176"/>
      <c r="F1148" s="176"/>
      <c r="G1148" s="144"/>
      <c r="H1148" s="141"/>
      <c r="I1148" s="153" t="s">
        <v>584</v>
      </c>
      <c r="J1148" s="153">
        <v>1</v>
      </c>
      <c r="K1148" s="156" t="s">
        <v>730</v>
      </c>
      <c r="L1148" s="142" t="s">
        <v>2518</v>
      </c>
      <c r="M1148" s="11" t="str">
        <f>VLOOKUP(N1148,'Mã NV'!$A$3:$B$196,2,0)</f>
        <v>TE65</v>
      </c>
      <c r="N1148" s="316" t="s">
        <v>2584</v>
      </c>
      <c r="O1148" s="381">
        <v>44197</v>
      </c>
      <c r="P1148" s="371"/>
      <c r="Q1148" s="156"/>
      <c r="R1148" s="150"/>
    </row>
    <row r="1149" spans="1:18" ht="35.25" hidden="1" customHeight="1">
      <c r="A1149" s="15">
        <f t="shared" si="17"/>
        <v>1139</v>
      </c>
      <c r="B1149" s="142" t="s">
        <v>1724</v>
      </c>
      <c r="C1149" s="150" t="s">
        <v>582</v>
      </c>
      <c r="D1149" s="176"/>
      <c r="E1149" s="176"/>
      <c r="F1149" s="176"/>
      <c r="G1149" s="144"/>
      <c r="H1149" s="141"/>
      <c r="I1149" s="153" t="s">
        <v>566</v>
      </c>
      <c r="J1149" s="153">
        <v>1</v>
      </c>
      <c r="K1149" s="156" t="s">
        <v>730</v>
      </c>
      <c r="L1149" s="142" t="s">
        <v>2518</v>
      </c>
      <c r="M1149" s="11" t="str">
        <f>VLOOKUP(N1149,'Mã NV'!$A$3:$B$196,2,0)</f>
        <v>TE104</v>
      </c>
      <c r="N1149" s="310" t="s">
        <v>2585</v>
      </c>
      <c r="O1149" s="381">
        <v>44197</v>
      </c>
      <c r="P1149" s="371"/>
      <c r="Q1149" s="156"/>
      <c r="R1149" s="150"/>
    </row>
    <row r="1150" spans="1:18" ht="35.25" hidden="1" customHeight="1">
      <c r="A1150" s="15">
        <f t="shared" si="17"/>
        <v>1140</v>
      </c>
      <c r="B1150" s="142" t="s">
        <v>1725</v>
      </c>
      <c r="C1150" s="150" t="s">
        <v>1306</v>
      </c>
      <c r="D1150" s="176"/>
      <c r="E1150" s="176"/>
      <c r="F1150" s="176"/>
      <c r="G1150" s="144"/>
      <c r="H1150" s="141"/>
      <c r="I1150" s="153" t="s">
        <v>566</v>
      </c>
      <c r="J1150" s="153">
        <v>1</v>
      </c>
      <c r="K1150" s="156" t="s">
        <v>730</v>
      </c>
      <c r="L1150" s="142" t="s">
        <v>2518</v>
      </c>
      <c r="M1150" s="11" t="str">
        <f>VLOOKUP(N1150,'Mã NV'!$A$3:$B$196,2,0)</f>
        <v>TE104</v>
      </c>
      <c r="N1150" s="310" t="s">
        <v>2585</v>
      </c>
      <c r="O1150" s="381">
        <v>44197</v>
      </c>
      <c r="P1150" s="371"/>
      <c r="Q1150" s="156"/>
      <c r="R1150" s="150"/>
    </row>
    <row r="1151" spans="1:18" ht="35.25" hidden="1" customHeight="1">
      <c r="A1151" s="15">
        <f t="shared" si="17"/>
        <v>1141</v>
      </c>
      <c r="B1151" s="142" t="s">
        <v>1726</v>
      </c>
      <c r="C1151" s="150" t="s">
        <v>32</v>
      </c>
      <c r="D1151" s="176"/>
      <c r="E1151" s="176"/>
      <c r="F1151" s="176"/>
      <c r="G1151" s="144"/>
      <c r="H1151" s="141"/>
      <c r="I1151" s="153" t="s">
        <v>566</v>
      </c>
      <c r="J1151" s="153">
        <v>1</v>
      </c>
      <c r="K1151" s="156" t="s">
        <v>730</v>
      </c>
      <c r="L1151" s="142" t="s">
        <v>2518</v>
      </c>
      <c r="M1151" s="11" t="str">
        <f>VLOOKUP(N1151,'Mã NV'!$A$3:$B$196,2,0)</f>
        <v>TE104</v>
      </c>
      <c r="N1151" s="310" t="s">
        <v>2585</v>
      </c>
      <c r="O1151" s="380" t="str">
        <f>VLOOKUP(B1151,'Tổng hợp (3)'!$C$4:$E$985,3,0)</f>
        <v>29/9/2022</v>
      </c>
      <c r="P1151" s="378"/>
      <c r="Q1151" s="156"/>
      <c r="R1151" s="150"/>
    </row>
    <row r="1152" spans="1:18" ht="35.25" hidden="1" customHeight="1">
      <c r="A1152" s="15">
        <f t="shared" si="17"/>
        <v>1142</v>
      </c>
      <c r="B1152" s="142" t="s">
        <v>1727</v>
      </c>
      <c r="C1152" s="150" t="s">
        <v>1675</v>
      </c>
      <c r="D1152" s="176"/>
      <c r="E1152" s="176"/>
      <c r="F1152" s="176"/>
      <c r="G1152" s="150" t="s">
        <v>2427</v>
      </c>
      <c r="H1152" s="141"/>
      <c r="I1152" s="153" t="s">
        <v>566</v>
      </c>
      <c r="J1152" s="153">
        <v>1</v>
      </c>
      <c r="K1152" s="156" t="s">
        <v>730</v>
      </c>
      <c r="L1152" s="142" t="s">
        <v>2518</v>
      </c>
      <c r="M1152" s="11" t="str">
        <f>VLOOKUP(N1152,'Mã NV'!$A$3:$B$196,2,0)</f>
        <v>TE104</v>
      </c>
      <c r="N1152" s="310" t="s">
        <v>2585</v>
      </c>
      <c r="O1152" s="380">
        <f>VLOOKUP(B1152,'Tổng hợp (3)'!$C$4:$E$985,3,0)</f>
        <v>44882</v>
      </c>
      <c r="P1152" s="378"/>
      <c r="Q1152" s="156"/>
      <c r="R1152" s="150"/>
    </row>
    <row r="1153" spans="1:18" ht="35.25" hidden="1" customHeight="1">
      <c r="A1153" s="15">
        <f t="shared" si="17"/>
        <v>1143</v>
      </c>
      <c r="B1153" s="142" t="s">
        <v>1728</v>
      </c>
      <c r="C1153" s="150" t="s">
        <v>1648</v>
      </c>
      <c r="D1153" s="176"/>
      <c r="E1153" s="176"/>
      <c r="F1153" s="176"/>
      <c r="G1153" s="150"/>
      <c r="H1153" s="141"/>
      <c r="I1153" s="153" t="s">
        <v>566</v>
      </c>
      <c r="J1153" s="153">
        <v>1</v>
      </c>
      <c r="K1153" s="156" t="s">
        <v>730</v>
      </c>
      <c r="L1153" s="142" t="s">
        <v>2518</v>
      </c>
      <c r="M1153" s="11" t="str">
        <f>VLOOKUP(N1153,'Mã NV'!$A$3:$B$196,2,0)</f>
        <v>TE104</v>
      </c>
      <c r="N1153" s="310" t="s">
        <v>2585</v>
      </c>
      <c r="O1153" s="380">
        <f>VLOOKUP(B1153,'Tổng hợp (3)'!$C$4:$E$985,3,0)</f>
        <v>44882</v>
      </c>
      <c r="P1153" s="378"/>
      <c r="Q1153" s="156"/>
      <c r="R1153" s="150"/>
    </row>
    <row r="1154" spans="1:18" ht="35.25" hidden="1" customHeight="1">
      <c r="A1154" s="15">
        <f t="shared" si="17"/>
        <v>1144</v>
      </c>
      <c r="B1154" s="142" t="s">
        <v>1729</v>
      </c>
      <c r="C1154" s="150" t="s">
        <v>32</v>
      </c>
      <c r="D1154" s="176"/>
      <c r="E1154" s="176"/>
      <c r="F1154" s="176"/>
      <c r="G1154" s="144"/>
      <c r="H1154" s="141"/>
      <c r="I1154" s="153" t="s">
        <v>566</v>
      </c>
      <c r="J1154" s="153">
        <v>1</v>
      </c>
      <c r="K1154" s="156" t="s">
        <v>730</v>
      </c>
      <c r="L1154" s="142" t="s">
        <v>2518</v>
      </c>
      <c r="M1154" s="11" t="str">
        <f>VLOOKUP(N1154,'Mã NV'!$A$3:$B$196,2,0)</f>
        <v>TE101</v>
      </c>
      <c r="N1154" s="310" t="s">
        <v>2586</v>
      </c>
      <c r="O1154" s="380" t="str">
        <f>VLOOKUP(B1154,'Tổng hợp (3)'!$C$4:$E$985,3,0)</f>
        <v>29/9/2022</v>
      </c>
      <c r="P1154" s="378"/>
      <c r="Q1154" s="156"/>
      <c r="R1154" s="150"/>
    </row>
    <row r="1155" spans="1:18" ht="35.25" hidden="1" customHeight="1">
      <c r="A1155" s="15">
        <f t="shared" si="17"/>
        <v>1145</v>
      </c>
      <c r="B1155" s="142" t="s">
        <v>1730</v>
      </c>
      <c r="C1155" s="150" t="s">
        <v>582</v>
      </c>
      <c r="D1155" s="176"/>
      <c r="E1155" s="176"/>
      <c r="F1155" s="176"/>
      <c r="G1155" s="144"/>
      <c r="H1155" s="141"/>
      <c r="I1155" s="153" t="s">
        <v>566</v>
      </c>
      <c r="J1155" s="153">
        <v>1</v>
      </c>
      <c r="K1155" s="156" t="s">
        <v>730</v>
      </c>
      <c r="L1155" s="142" t="s">
        <v>2518</v>
      </c>
      <c r="M1155" s="11" t="str">
        <f>VLOOKUP(N1155,'Mã NV'!$A$3:$B$196,2,0)</f>
        <v>TE101</v>
      </c>
      <c r="N1155" s="310" t="s">
        <v>2586</v>
      </c>
      <c r="O1155" s="381">
        <v>44197</v>
      </c>
      <c r="P1155" s="371"/>
      <c r="Q1155" s="156"/>
      <c r="R1155" s="150"/>
    </row>
    <row r="1156" spans="1:18" ht="35.25" hidden="1" customHeight="1">
      <c r="A1156" s="15">
        <f t="shared" si="17"/>
        <v>1146</v>
      </c>
      <c r="B1156" s="142" t="s">
        <v>1731</v>
      </c>
      <c r="C1156" s="150" t="s">
        <v>1306</v>
      </c>
      <c r="D1156" s="176"/>
      <c r="E1156" s="176"/>
      <c r="F1156" s="176"/>
      <c r="G1156" s="144"/>
      <c r="H1156" s="141"/>
      <c r="I1156" s="153" t="s">
        <v>566</v>
      </c>
      <c r="J1156" s="153">
        <v>1</v>
      </c>
      <c r="K1156" s="156" t="s">
        <v>730</v>
      </c>
      <c r="L1156" s="142" t="s">
        <v>2518</v>
      </c>
      <c r="M1156" s="11" t="str">
        <f>VLOOKUP(N1156,'Mã NV'!$A$3:$B$196,2,0)</f>
        <v>TE101</v>
      </c>
      <c r="N1156" s="310" t="s">
        <v>2586</v>
      </c>
      <c r="O1156" s="381">
        <v>44197</v>
      </c>
      <c r="P1156" s="371"/>
      <c r="Q1156" s="156"/>
      <c r="R1156" s="150"/>
    </row>
    <row r="1157" spans="1:18" ht="35.25" hidden="1" customHeight="1">
      <c r="A1157" s="15">
        <f t="shared" si="17"/>
        <v>1147</v>
      </c>
      <c r="B1157" s="142" t="s">
        <v>1732</v>
      </c>
      <c r="C1157" s="150" t="s">
        <v>1733</v>
      </c>
      <c r="D1157" s="176"/>
      <c r="E1157" s="176"/>
      <c r="F1157" s="176"/>
      <c r="G1157" s="144"/>
      <c r="H1157" s="141"/>
      <c r="I1157" s="153" t="s">
        <v>566</v>
      </c>
      <c r="J1157" s="153">
        <v>1</v>
      </c>
      <c r="K1157" s="156" t="s">
        <v>730</v>
      </c>
      <c r="L1157" s="142" t="s">
        <v>2518</v>
      </c>
      <c r="M1157" s="11" t="str">
        <f>VLOOKUP(N1157,'Mã NV'!$A$3:$B$196,2,0)</f>
        <v>TE101</v>
      </c>
      <c r="N1157" s="310" t="s">
        <v>2586</v>
      </c>
      <c r="O1157" s="381">
        <v>44967</v>
      </c>
      <c r="P1157" s="371"/>
      <c r="Q1157" s="156"/>
      <c r="R1157" s="150"/>
    </row>
    <row r="1158" spans="1:18" ht="35.25" hidden="1" customHeight="1">
      <c r="A1158" s="15">
        <f t="shared" si="17"/>
        <v>1148</v>
      </c>
      <c r="B1158" s="142" t="s">
        <v>1734</v>
      </c>
      <c r="C1158" s="150" t="s">
        <v>1735</v>
      </c>
      <c r="D1158" s="176"/>
      <c r="E1158" s="176"/>
      <c r="F1158" s="176"/>
      <c r="G1158" s="144"/>
      <c r="H1158" s="141"/>
      <c r="I1158" s="153" t="s">
        <v>566</v>
      </c>
      <c r="J1158" s="153">
        <v>1</v>
      </c>
      <c r="K1158" s="156" t="s">
        <v>730</v>
      </c>
      <c r="L1158" s="142" t="s">
        <v>2518</v>
      </c>
      <c r="M1158" s="11" t="str">
        <f>VLOOKUP(N1158,'Mã NV'!$A$3:$B$196,2,0)</f>
        <v>TE101</v>
      </c>
      <c r="N1158" s="310" t="s">
        <v>2586</v>
      </c>
      <c r="O1158" s="381">
        <v>44967</v>
      </c>
      <c r="P1158" s="371"/>
      <c r="Q1158" s="156"/>
      <c r="R1158" s="150"/>
    </row>
    <row r="1159" spans="1:18" ht="35.25" hidden="1" customHeight="1">
      <c r="A1159" s="15">
        <f t="shared" si="17"/>
        <v>1149</v>
      </c>
      <c r="B1159" s="142" t="s">
        <v>1736</v>
      </c>
      <c r="C1159" s="150" t="s">
        <v>1737</v>
      </c>
      <c r="D1159" s="176"/>
      <c r="E1159" s="176"/>
      <c r="F1159" s="176"/>
      <c r="G1159" s="144"/>
      <c r="H1159" s="141"/>
      <c r="I1159" s="153" t="s">
        <v>566</v>
      </c>
      <c r="J1159" s="153">
        <v>1</v>
      </c>
      <c r="K1159" s="156" t="s">
        <v>730</v>
      </c>
      <c r="L1159" s="142" t="s">
        <v>2518</v>
      </c>
      <c r="M1159" s="11" t="str">
        <f>VLOOKUP(N1159,'Mã NV'!$A$3:$B$196,2,0)</f>
        <v>TE101</v>
      </c>
      <c r="N1159" s="310" t="s">
        <v>2586</v>
      </c>
      <c r="O1159" s="381">
        <v>44978</v>
      </c>
      <c r="P1159" s="371"/>
      <c r="Q1159" s="156"/>
      <c r="R1159" s="150"/>
    </row>
    <row r="1160" spans="1:18" ht="35.25" hidden="1" customHeight="1">
      <c r="A1160" s="15">
        <f t="shared" si="17"/>
        <v>1150</v>
      </c>
      <c r="B1160" s="142" t="s">
        <v>1738</v>
      </c>
      <c r="C1160" s="150" t="s">
        <v>1739</v>
      </c>
      <c r="D1160" s="176"/>
      <c r="E1160" s="176"/>
      <c r="F1160" s="176"/>
      <c r="G1160" s="144"/>
      <c r="H1160" s="141"/>
      <c r="I1160" s="153" t="s">
        <v>181</v>
      </c>
      <c r="J1160" s="153">
        <v>1</v>
      </c>
      <c r="K1160" s="156" t="s">
        <v>730</v>
      </c>
      <c r="L1160" s="142" t="s">
        <v>2518</v>
      </c>
      <c r="M1160" s="11" t="str">
        <f>VLOOKUP(N1160,'Mã NV'!$A$3:$B$196,2,0)</f>
        <v>TE101</v>
      </c>
      <c r="N1160" s="310" t="s">
        <v>2586</v>
      </c>
      <c r="O1160" s="381">
        <v>44978</v>
      </c>
      <c r="P1160" s="371"/>
      <c r="Q1160" s="156"/>
      <c r="R1160" s="150"/>
    </row>
    <row r="1161" spans="1:18" ht="35.25" hidden="1" customHeight="1">
      <c r="A1161" s="15">
        <f t="shared" si="17"/>
        <v>1151</v>
      </c>
      <c r="B1161" s="145" t="s">
        <v>1740</v>
      </c>
      <c r="C1161" s="169" t="s">
        <v>1741</v>
      </c>
      <c r="D1161" s="176"/>
      <c r="E1161" s="176"/>
      <c r="F1161" s="176"/>
      <c r="G1161" s="156"/>
      <c r="H1161" s="141"/>
      <c r="I1161" s="158" t="s">
        <v>2502</v>
      </c>
      <c r="J1161" s="158">
        <v>1</v>
      </c>
      <c r="K1161" s="156" t="s">
        <v>730</v>
      </c>
      <c r="L1161" s="145" t="s">
        <v>2518</v>
      </c>
      <c r="M1161" s="11" t="str">
        <f>VLOOKUP(N1161,'Mã NV'!$A$3:$B$196,2,0)</f>
        <v>TE48</v>
      </c>
      <c r="N1161" s="302" t="s">
        <v>2587</v>
      </c>
      <c r="O1161" s="380">
        <f>VLOOKUP(B1161,'Tổng hợp (3)'!$C$4:$E$985,3,0)</f>
        <v>44756</v>
      </c>
      <c r="P1161" s="378"/>
      <c r="Q1161" s="156"/>
      <c r="R1161" s="169"/>
    </row>
    <row r="1162" spans="1:18" ht="35.25" hidden="1" customHeight="1">
      <c r="A1162" s="15">
        <f t="shared" si="17"/>
        <v>1152</v>
      </c>
      <c r="B1162" s="145" t="s">
        <v>1742</v>
      </c>
      <c r="C1162" s="169" t="s">
        <v>1743</v>
      </c>
      <c r="D1162" s="176"/>
      <c r="E1162" s="176"/>
      <c r="F1162" s="176"/>
      <c r="G1162" s="156"/>
      <c r="H1162" s="141"/>
      <c r="I1162" s="158" t="s">
        <v>2502</v>
      </c>
      <c r="J1162" s="158">
        <v>1</v>
      </c>
      <c r="K1162" s="156" t="s">
        <v>730</v>
      </c>
      <c r="L1162" s="145" t="s">
        <v>2518</v>
      </c>
      <c r="M1162" s="11" t="str">
        <f>VLOOKUP(N1162,'Mã NV'!$A$3:$B$196,2,0)</f>
        <v>TE48</v>
      </c>
      <c r="N1162" s="302" t="s">
        <v>2587</v>
      </c>
      <c r="O1162" s="380" t="str">
        <f>VLOOKUP(B1162,'Tổng hợp (3)'!$C$4:$E$985,3,0)</f>
        <v>17/10/2022</v>
      </c>
      <c r="P1162" s="378"/>
      <c r="Q1162" s="156"/>
      <c r="R1162" s="169"/>
    </row>
    <row r="1163" spans="1:18" ht="35.25" hidden="1" customHeight="1">
      <c r="A1163" s="15">
        <f t="shared" si="17"/>
        <v>1153</v>
      </c>
      <c r="B1163" s="145" t="s">
        <v>1744</v>
      </c>
      <c r="C1163" s="169" t="s">
        <v>1745</v>
      </c>
      <c r="D1163" s="176"/>
      <c r="E1163" s="176"/>
      <c r="F1163" s="176"/>
      <c r="G1163" s="169" t="s">
        <v>1745</v>
      </c>
      <c r="H1163" s="141"/>
      <c r="I1163" s="158" t="s">
        <v>18</v>
      </c>
      <c r="J1163" s="158">
        <v>1</v>
      </c>
      <c r="K1163" s="156" t="s">
        <v>730</v>
      </c>
      <c r="L1163" s="145" t="s">
        <v>2518</v>
      </c>
      <c r="M1163" s="11" t="str">
        <f>VLOOKUP(N1163,'Mã NV'!$A$3:$B$196,2,0)</f>
        <v>TE48</v>
      </c>
      <c r="N1163" s="302" t="s">
        <v>2587</v>
      </c>
      <c r="O1163" s="386">
        <v>45002</v>
      </c>
      <c r="P1163" s="371"/>
      <c r="Q1163" s="156"/>
      <c r="R1163" s="169"/>
    </row>
    <row r="1164" spans="1:18" ht="35.25" hidden="1" customHeight="1">
      <c r="A1164" s="15">
        <f t="shared" si="17"/>
        <v>1154</v>
      </c>
      <c r="B1164" s="145" t="s">
        <v>1746</v>
      </c>
      <c r="C1164" s="169" t="s">
        <v>1226</v>
      </c>
      <c r="D1164" s="176"/>
      <c r="E1164" s="176"/>
      <c r="F1164" s="176"/>
      <c r="G1164" s="156"/>
      <c r="H1164" s="141"/>
      <c r="I1164" s="158" t="s">
        <v>18</v>
      </c>
      <c r="J1164" s="158">
        <v>1</v>
      </c>
      <c r="K1164" s="156" t="s">
        <v>730</v>
      </c>
      <c r="L1164" s="145" t="s">
        <v>2518</v>
      </c>
      <c r="M1164" s="11" t="str">
        <f>VLOOKUP(N1164,'Mã NV'!$A$3:$B$196,2,0)</f>
        <v>TE48</v>
      </c>
      <c r="N1164" s="302" t="s">
        <v>2587</v>
      </c>
      <c r="O1164" s="386">
        <v>45002</v>
      </c>
      <c r="P1164" s="371"/>
      <c r="Q1164" s="156"/>
      <c r="R1164" s="169"/>
    </row>
    <row r="1165" spans="1:18" ht="35.25" hidden="1" customHeight="1">
      <c r="A1165" s="15">
        <f t="shared" si="17"/>
        <v>1155</v>
      </c>
      <c r="B1165" s="142" t="s">
        <v>1747</v>
      </c>
      <c r="C1165" s="150" t="s">
        <v>1748</v>
      </c>
      <c r="D1165" s="176"/>
      <c r="E1165" s="176"/>
      <c r="F1165" s="176"/>
      <c r="G1165" s="144"/>
      <c r="H1165" s="141"/>
      <c r="I1165" s="153" t="s">
        <v>566</v>
      </c>
      <c r="J1165" s="153">
        <v>1</v>
      </c>
      <c r="K1165" s="156" t="s">
        <v>730</v>
      </c>
      <c r="L1165" s="142" t="s">
        <v>2518</v>
      </c>
      <c r="M1165" s="11" t="str">
        <f>VLOOKUP(N1165,'Mã NV'!$A$3:$B$196,2,0)</f>
        <v>TE28</v>
      </c>
      <c r="N1165" s="310" t="s">
        <v>2588</v>
      </c>
      <c r="O1165" s="380">
        <f>VLOOKUP(B1165,'Tổng hợp (3)'!$C$4:$E$985,3,0)</f>
        <v>44772</v>
      </c>
      <c r="P1165" s="378"/>
      <c r="Q1165" s="156"/>
      <c r="R1165" s="150"/>
    </row>
    <row r="1166" spans="1:18" ht="35.25" hidden="1" customHeight="1">
      <c r="A1166" s="15">
        <f t="shared" si="17"/>
        <v>1156</v>
      </c>
      <c r="B1166" s="142" t="s">
        <v>1749</v>
      </c>
      <c r="C1166" s="150" t="s">
        <v>1648</v>
      </c>
      <c r="D1166" s="176"/>
      <c r="E1166" s="176"/>
      <c r="F1166" s="176"/>
      <c r="G1166" s="144"/>
      <c r="H1166" s="141"/>
      <c r="I1166" s="153" t="s">
        <v>566</v>
      </c>
      <c r="J1166" s="153">
        <v>1</v>
      </c>
      <c r="K1166" s="156" t="s">
        <v>730</v>
      </c>
      <c r="L1166" s="142" t="s">
        <v>2518</v>
      </c>
      <c r="M1166" s="11" t="str">
        <f>VLOOKUP(N1166,'Mã NV'!$A$3:$B$196,2,0)</f>
        <v>TE28</v>
      </c>
      <c r="N1166" s="310" t="s">
        <v>2588</v>
      </c>
      <c r="O1166" s="381">
        <v>44197</v>
      </c>
      <c r="P1166" s="371"/>
      <c r="Q1166" s="156"/>
      <c r="R1166" s="150"/>
    </row>
    <row r="1167" spans="1:18" ht="35.25" hidden="1" customHeight="1">
      <c r="A1167" s="15">
        <f t="shared" si="17"/>
        <v>1157</v>
      </c>
      <c r="B1167" s="142" t="s">
        <v>1750</v>
      </c>
      <c r="C1167" s="150" t="s">
        <v>1741</v>
      </c>
      <c r="D1167" s="176"/>
      <c r="E1167" s="176"/>
      <c r="F1167" s="176"/>
      <c r="G1167" s="144"/>
      <c r="H1167" s="141"/>
      <c r="I1167" s="153" t="s">
        <v>566</v>
      </c>
      <c r="J1167" s="153">
        <v>1</v>
      </c>
      <c r="K1167" s="156" t="s">
        <v>730</v>
      </c>
      <c r="L1167" s="142" t="s">
        <v>2518</v>
      </c>
      <c r="M1167" s="11" t="str">
        <f>VLOOKUP(N1167,'Mã NV'!$A$3:$B$196,2,0)</f>
        <v>TE28</v>
      </c>
      <c r="N1167" s="310" t="s">
        <v>2588</v>
      </c>
      <c r="O1167" s="380">
        <f>VLOOKUP(B1167,'Tổng hợp (3)'!$C$4:$E$985,3,0)</f>
        <v>44558</v>
      </c>
      <c r="P1167" s="378"/>
      <c r="Q1167" s="156"/>
      <c r="R1167" s="150"/>
    </row>
    <row r="1168" spans="1:18" ht="35.25" hidden="1" customHeight="1">
      <c r="A1168" s="15">
        <f t="shared" si="17"/>
        <v>1158</v>
      </c>
      <c r="B1168" s="142" t="s">
        <v>1751</v>
      </c>
      <c r="C1168" s="150" t="s">
        <v>32</v>
      </c>
      <c r="D1168" s="176"/>
      <c r="E1168" s="176"/>
      <c r="F1168" s="176"/>
      <c r="G1168" s="144"/>
      <c r="H1168" s="141"/>
      <c r="I1168" s="153" t="s">
        <v>566</v>
      </c>
      <c r="J1168" s="153">
        <v>1</v>
      </c>
      <c r="K1168" s="156" t="s">
        <v>730</v>
      </c>
      <c r="L1168" s="142" t="s">
        <v>2518</v>
      </c>
      <c r="M1168" s="11" t="str">
        <f>VLOOKUP(N1168,'Mã NV'!$A$3:$B$196,2,0)</f>
        <v>TE28</v>
      </c>
      <c r="N1168" s="310" t="s">
        <v>2588</v>
      </c>
      <c r="O1168" s="381">
        <v>44197</v>
      </c>
      <c r="P1168" s="371"/>
      <c r="Q1168" s="156"/>
      <c r="R1168" s="150"/>
    </row>
    <row r="1169" spans="1:18" ht="35.25" hidden="1" customHeight="1">
      <c r="A1169" s="15">
        <f t="shared" si="17"/>
        <v>1159</v>
      </c>
      <c r="B1169" s="142" t="s">
        <v>1752</v>
      </c>
      <c r="C1169" s="150" t="s">
        <v>1352</v>
      </c>
      <c r="D1169" s="176"/>
      <c r="E1169" s="176"/>
      <c r="F1169" s="176"/>
      <c r="G1169" s="144"/>
      <c r="H1169" s="141"/>
      <c r="I1169" s="153" t="s">
        <v>566</v>
      </c>
      <c r="J1169" s="153">
        <v>1</v>
      </c>
      <c r="K1169" s="156" t="s">
        <v>730</v>
      </c>
      <c r="L1169" s="142" t="s">
        <v>2518</v>
      </c>
      <c r="M1169" s="11" t="str">
        <f>VLOOKUP(N1169,'Mã NV'!$A$3:$B$196,2,0)</f>
        <v>TE28</v>
      </c>
      <c r="N1169" s="310" t="s">
        <v>2588</v>
      </c>
      <c r="O1169" s="381">
        <v>44197</v>
      </c>
      <c r="P1169" s="371"/>
      <c r="Q1169" s="156"/>
      <c r="R1169" s="150"/>
    </row>
    <row r="1170" spans="1:18" ht="35.25" hidden="1" customHeight="1">
      <c r="A1170" s="15">
        <f t="shared" ref="A1170:A1233" si="18">A1169+1</f>
        <v>1160</v>
      </c>
      <c r="B1170" s="142" t="s">
        <v>1753</v>
      </c>
      <c r="C1170" s="150" t="s">
        <v>1202</v>
      </c>
      <c r="D1170" s="176"/>
      <c r="E1170" s="176"/>
      <c r="F1170" s="176"/>
      <c r="G1170" s="144"/>
      <c r="H1170" s="141"/>
      <c r="I1170" s="153" t="s">
        <v>566</v>
      </c>
      <c r="J1170" s="153">
        <v>1</v>
      </c>
      <c r="K1170" s="156" t="s">
        <v>730</v>
      </c>
      <c r="L1170" s="142" t="s">
        <v>2518</v>
      </c>
      <c r="M1170" s="11" t="str">
        <f>VLOOKUP(N1170,'Mã NV'!$A$3:$B$196,2,0)</f>
        <v>TE28</v>
      </c>
      <c r="N1170" s="310" t="s">
        <v>2588</v>
      </c>
      <c r="O1170" s="381">
        <v>44197</v>
      </c>
      <c r="P1170" s="371"/>
      <c r="Q1170" s="156"/>
      <c r="R1170" s="150"/>
    </row>
    <row r="1171" spans="1:18" ht="35.25" hidden="1" customHeight="1">
      <c r="A1171" s="15">
        <f t="shared" si="18"/>
        <v>1161</v>
      </c>
      <c r="B1171" s="142" t="s">
        <v>1754</v>
      </c>
      <c r="C1171" s="150" t="s">
        <v>1306</v>
      </c>
      <c r="D1171" s="176"/>
      <c r="E1171" s="176"/>
      <c r="F1171" s="176"/>
      <c r="G1171" s="144"/>
      <c r="H1171" s="141"/>
      <c r="I1171" s="153" t="s">
        <v>566</v>
      </c>
      <c r="J1171" s="153">
        <v>1</v>
      </c>
      <c r="K1171" s="156" t="s">
        <v>730</v>
      </c>
      <c r="L1171" s="142" t="s">
        <v>2518</v>
      </c>
      <c r="M1171" s="11" t="str">
        <f>VLOOKUP(N1171,'Mã NV'!$A$3:$B$196,2,0)</f>
        <v>TE28</v>
      </c>
      <c r="N1171" s="310" t="s">
        <v>2588</v>
      </c>
      <c r="O1171" s="381">
        <v>44197</v>
      </c>
      <c r="P1171" s="371"/>
      <c r="Q1171" s="156"/>
      <c r="R1171" s="150"/>
    </row>
    <row r="1172" spans="1:18" ht="35.25" hidden="1" customHeight="1">
      <c r="A1172" s="15">
        <f t="shared" si="18"/>
        <v>1162</v>
      </c>
      <c r="B1172" s="16" t="s">
        <v>1755</v>
      </c>
      <c r="C1172" s="20" t="s">
        <v>1756</v>
      </c>
      <c r="D1172" s="176"/>
      <c r="E1172" s="176"/>
      <c r="F1172" s="176"/>
      <c r="G1172" s="144"/>
      <c r="H1172" s="141"/>
      <c r="I1172" s="153" t="s">
        <v>566</v>
      </c>
      <c r="J1172" s="153">
        <v>1</v>
      </c>
      <c r="K1172" s="156" t="s">
        <v>730</v>
      </c>
      <c r="L1172" s="142" t="s">
        <v>2518</v>
      </c>
      <c r="M1172" s="11" t="str">
        <f>VLOOKUP(N1172,'Mã NV'!$A$3:$B$196,2,0)</f>
        <v>TE28</v>
      </c>
      <c r="N1172" s="310" t="s">
        <v>2588</v>
      </c>
      <c r="O1172" s="380">
        <f>VLOOKUP(B1172,'Tổng hợp (3)'!$C$4:$E$985,3,0)</f>
        <v>44776</v>
      </c>
      <c r="P1172" s="378"/>
      <c r="Q1172" s="156"/>
      <c r="R1172" s="150"/>
    </row>
    <row r="1173" spans="1:18" ht="35.25" hidden="1" customHeight="1">
      <c r="A1173" s="15">
        <f t="shared" si="18"/>
        <v>1163</v>
      </c>
      <c r="B1173" s="142" t="s">
        <v>1757</v>
      </c>
      <c r="C1173" s="150" t="s">
        <v>582</v>
      </c>
      <c r="D1173" s="176"/>
      <c r="E1173" s="176"/>
      <c r="F1173" s="176"/>
      <c r="G1173" s="144"/>
      <c r="H1173" s="141"/>
      <c r="I1173" s="153" t="s">
        <v>566</v>
      </c>
      <c r="J1173" s="153">
        <v>1</v>
      </c>
      <c r="K1173" s="156" t="s">
        <v>730</v>
      </c>
      <c r="L1173" s="142" t="s">
        <v>2518</v>
      </c>
      <c r="M1173" s="11" t="str">
        <f>VLOOKUP(N1173,'Mã NV'!$A$3:$B$196,2,0)</f>
        <v>TE102</v>
      </c>
      <c r="N1173" s="310" t="s">
        <v>2589</v>
      </c>
      <c r="O1173" s="381">
        <v>44197</v>
      </c>
      <c r="P1173" s="371"/>
      <c r="Q1173" s="156"/>
      <c r="R1173" s="150"/>
    </row>
    <row r="1174" spans="1:18" ht="35.25" hidden="1" customHeight="1">
      <c r="A1174" s="15">
        <f t="shared" si="18"/>
        <v>1164</v>
      </c>
      <c r="B1174" s="142" t="s">
        <v>1758</v>
      </c>
      <c r="C1174" s="150" t="s">
        <v>1306</v>
      </c>
      <c r="D1174" s="176"/>
      <c r="E1174" s="176"/>
      <c r="F1174" s="176"/>
      <c r="G1174" s="144"/>
      <c r="H1174" s="141"/>
      <c r="I1174" s="153" t="s">
        <v>566</v>
      </c>
      <c r="J1174" s="153">
        <v>1</v>
      </c>
      <c r="K1174" s="156" t="s">
        <v>730</v>
      </c>
      <c r="L1174" s="142" t="s">
        <v>2518</v>
      </c>
      <c r="M1174" s="11" t="str">
        <f>VLOOKUP(N1174,'Mã NV'!$A$3:$B$196,2,0)</f>
        <v>TE102</v>
      </c>
      <c r="N1174" s="310" t="s">
        <v>2589</v>
      </c>
      <c r="O1174" s="381">
        <v>44197</v>
      </c>
      <c r="P1174" s="371"/>
      <c r="Q1174" s="156"/>
      <c r="R1174" s="150"/>
    </row>
    <row r="1175" spans="1:18" ht="35.25" hidden="1" customHeight="1">
      <c r="A1175" s="15">
        <f t="shared" si="18"/>
        <v>1165</v>
      </c>
      <c r="B1175" s="142" t="s">
        <v>1759</v>
      </c>
      <c r="C1175" s="150" t="s">
        <v>32</v>
      </c>
      <c r="D1175" s="176"/>
      <c r="E1175" s="176"/>
      <c r="F1175" s="176"/>
      <c r="G1175" s="144"/>
      <c r="H1175" s="141"/>
      <c r="I1175" s="153" t="s">
        <v>566</v>
      </c>
      <c r="J1175" s="153">
        <v>1</v>
      </c>
      <c r="K1175" s="156" t="s">
        <v>730</v>
      </c>
      <c r="L1175" s="142" t="s">
        <v>2518</v>
      </c>
      <c r="M1175" s="11" t="str">
        <f>VLOOKUP(N1175,'Mã NV'!$A$3:$B$196,2,0)</f>
        <v>TE102</v>
      </c>
      <c r="N1175" s="310" t="s">
        <v>2589</v>
      </c>
      <c r="O1175" s="380">
        <f>VLOOKUP(B1175,'Tổng hợp (3)'!$C$4:$E$985,3,0)</f>
        <v>44942</v>
      </c>
      <c r="P1175" s="378"/>
      <c r="Q1175" s="156"/>
      <c r="R1175" s="150"/>
    </row>
    <row r="1176" spans="1:18" ht="35.25" hidden="1" customHeight="1">
      <c r="A1176" s="15">
        <f t="shared" si="18"/>
        <v>1166</v>
      </c>
      <c r="B1176" s="142" t="s">
        <v>1760</v>
      </c>
      <c r="C1176" s="150" t="s">
        <v>1761</v>
      </c>
      <c r="D1176" s="176"/>
      <c r="E1176" s="176"/>
      <c r="F1176" s="176"/>
      <c r="G1176" s="144"/>
      <c r="H1176" s="141"/>
      <c r="I1176" s="153" t="s">
        <v>18</v>
      </c>
      <c r="J1176" s="153">
        <v>1</v>
      </c>
      <c r="K1176" s="156" t="s">
        <v>730</v>
      </c>
      <c r="L1176" s="142" t="s">
        <v>2518</v>
      </c>
      <c r="M1176" s="11" t="str">
        <f>VLOOKUP(N1176,'Mã NV'!$A$3:$B$196,2,0)</f>
        <v>TE102</v>
      </c>
      <c r="N1176" s="310" t="s">
        <v>2589</v>
      </c>
      <c r="O1176" s="381">
        <v>44967</v>
      </c>
      <c r="P1176" s="371"/>
      <c r="Q1176" s="156"/>
      <c r="R1176" s="150"/>
    </row>
    <row r="1177" spans="1:18" ht="35.25" hidden="1" customHeight="1">
      <c r="A1177" s="15">
        <f t="shared" si="18"/>
        <v>1167</v>
      </c>
      <c r="B1177" s="142" t="s">
        <v>1762</v>
      </c>
      <c r="C1177" s="150" t="s">
        <v>1763</v>
      </c>
      <c r="D1177" s="176"/>
      <c r="E1177" s="176"/>
      <c r="F1177" s="176"/>
      <c r="G1177" s="144"/>
      <c r="H1177" s="141"/>
      <c r="I1177" s="153" t="s">
        <v>18</v>
      </c>
      <c r="J1177" s="153">
        <v>1</v>
      </c>
      <c r="K1177" s="156" t="s">
        <v>730</v>
      </c>
      <c r="L1177" s="142" t="s">
        <v>2518</v>
      </c>
      <c r="M1177" s="11" t="str">
        <f>VLOOKUP(N1177,'Mã NV'!$A$3:$B$196,2,0)</f>
        <v>TE102</v>
      </c>
      <c r="N1177" s="310" t="s">
        <v>2589</v>
      </c>
      <c r="O1177" s="381">
        <v>44967</v>
      </c>
      <c r="P1177" s="371"/>
      <c r="Q1177" s="156"/>
      <c r="R1177" s="150"/>
    </row>
    <row r="1178" spans="1:18" ht="35.25" hidden="1" customHeight="1">
      <c r="A1178" s="15">
        <f t="shared" si="18"/>
        <v>1168</v>
      </c>
      <c r="B1178" s="142" t="s">
        <v>1764</v>
      </c>
      <c r="C1178" s="150" t="s">
        <v>1765</v>
      </c>
      <c r="D1178" s="176"/>
      <c r="E1178" s="176"/>
      <c r="F1178" s="176"/>
      <c r="G1178" s="144"/>
      <c r="H1178" s="141"/>
      <c r="I1178" s="153" t="s">
        <v>18</v>
      </c>
      <c r="J1178" s="153">
        <v>1</v>
      </c>
      <c r="K1178" s="156" t="s">
        <v>730</v>
      </c>
      <c r="L1178" s="142" t="s">
        <v>2518</v>
      </c>
      <c r="M1178" s="11" t="str">
        <f>VLOOKUP(N1178,'Mã NV'!$A$3:$B$196,2,0)</f>
        <v>TE102</v>
      </c>
      <c r="N1178" s="310" t="s">
        <v>2589</v>
      </c>
      <c r="O1178" s="381">
        <v>44967</v>
      </c>
      <c r="P1178" s="371"/>
      <c r="Q1178" s="156"/>
      <c r="R1178" s="150"/>
    </row>
    <row r="1179" spans="1:18" ht="35.25" hidden="1" customHeight="1">
      <c r="A1179" s="15">
        <f t="shared" si="18"/>
        <v>1169</v>
      </c>
      <c r="B1179" s="146" t="s">
        <v>239</v>
      </c>
      <c r="C1179" s="64" t="s">
        <v>238</v>
      </c>
      <c r="D1179" s="176"/>
      <c r="E1179" s="176"/>
      <c r="F1179" s="176"/>
      <c r="G1179" s="64" t="s">
        <v>238</v>
      </c>
      <c r="H1179" s="141"/>
      <c r="I1179" s="153" t="s">
        <v>18</v>
      </c>
      <c r="J1179" s="153">
        <v>1</v>
      </c>
      <c r="K1179" s="156" t="s">
        <v>730</v>
      </c>
      <c r="L1179" s="142" t="s">
        <v>2518</v>
      </c>
      <c r="M1179" s="11" t="str">
        <f>VLOOKUP(N1179,'Mã NV'!$A$3:$B$196,2,0)</f>
        <v>TE102</v>
      </c>
      <c r="N1179" s="310" t="s">
        <v>2589</v>
      </c>
      <c r="O1179" s="380">
        <f>VLOOKUP(B1179,'Tổng hợp (3)'!$C$4:$E$985,3,0)</f>
        <v>44778</v>
      </c>
      <c r="P1179" s="378"/>
      <c r="Q1179" s="156"/>
      <c r="R1179" s="150" t="s">
        <v>2668</v>
      </c>
    </row>
    <row r="1180" spans="1:18" ht="35.25" hidden="1" customHeight="1">
      <c r="A1180" s="15">
        <f t="shared" si="18"/>
        <v>1170</v>
      </c>
      <c r="B1180" s="142" t="s">
        <v>1766</v>
      </c>
      <c r="C1180" s="150" t="s">
        <v>582</v>
      </c>
      <c r="D1180" s="176"/>
      <c r="E1180" s="176"/>
      <c r="F1180" s="176"/>
      <c r="G1180" s="144"/>
      <c r="H1180" s="141"/>
      <c r="I1180" s="153" t="s">
        <v>566</v>
      </c>
      <c r="J1180" s="153">
        <v>1</v>
      </c>
      <c r="K1180" s="156" t="s">
        <v>730</v>
      </c>
      <c r="L1180" s="142" t="s">
        <v>2518</v>
      </c>
      <c r="M1180" s="11" t="str">
        <f>VLOOKUP(N1180,'Mã NV'!$A$3:$B$196,2,0)</f>
        <v>IN23</v>
      </c>
      <c r="N1180" s="310" t="s">
        <v>2590</v>
      </c>
      <c r="O1180" s="381">
        <v>44197</v>
      </c>
      <c r="P1180" s="371"/>
      <c r="Q1180" s="156"/>
      <c r="R1180" s="150"/>
    </row>
    <row r="1181" spans="1:18" ht="35.25" hidden="1" customHeight="1">
      <c r="A1181" s="15">
        <f t="shared" si="18"/>
        <v>1171</v>
      </c>
      <c r="B1181" s="142" t="s">
        <v>1767</v>
      </c>
      <c r="C1181" s="150" t="s">
        <v>582</v>
      </c>
      <c r="D1181" s="176"/>
      <c r="E1181" s="176"/>
      <c r="F1181" s="176"/>
      <c r="G1181" s="144"/>
      <c r="H1181" s="141"/>
      <c r="I1181" s="153" t="s">
        <v>566</v>
      </c>
      <c r="J1181" s="153">
        <v>1</v>
      </c>
      <c r="K1181" s="156" t="s">
        <v>730</v>
      </c>
      <c r="L1181" s="142" t="s">
        <v>2518</v>
      </c>
      <c r="M1181" s="11" t="str">
        <f>VLOOKUP(N1181,'Mã NV'!$A$3:$B$196,2,0)</f>
        <v>IN24</v>
      </c>
      <c r="N1181" s="310" t="s">
        <v>2591</v>
      </c>
      <c r="O1181" s="381">
        <v>44197</v>
      </c>
      <c r="P1181" s="371"/>
      <c r="Q1181" s="156"/>
      <c r="R1181" s="150"/>
    </row>
    <row r="1182" spans="1:18" ht="35.25" hidden="1" customHeight="1">
      <c r="A1182" s="15">
        <f t="shared" si="18"/>
        <v>1172</v>
      </c>
      <c r="B1182" s="142" t="s">
        <v>1768</v>
      </c>
      <c r="C1182" s="150" t="s">
        <v>1306</v>
      </c>
      <c r="D1182" s="176"/>
      <c r="E1182" s="176"/>
      <c r="F1182" s="176"/>
      <c r="G1182" s="144"/>
      <c r="H1182" s="141"/>
      <c r="I1182" s="153" t="s">
        <v>566</v>
      </c>
      <c r="J1182" s="153">
        <v>1</v>
      </c>
      <c r="K1182" s="156" t="s">
        <v>730</v>
      </c>
      <c r="L1182" s="142" t="s">
        <v>2518</v>
      </c>
      <c r="M1182" s="11" t="str">
        <f>VLOOKUP(N1182,'Mã NV'!$A$3:$B$196,2,0)</f>
        <v>TE26</v>
      </c>
      <c r="N1182" s="310" t="s">
        <v>2575</v>
      </c>
      <c r="O1182" s="381">
        <v>44197</v>
      </c>
      <c r="P1182" s="371"/>
      <c r="Q1182" s="156"/>
      <c r="R1182" s="144" t="s">
        <v>272</v>
      </c>
    </row>
    <row r="1183" spans="1:18" ht="35.25" hidden="1" customHeight="1">
      <c r="A1183" s="15">
        <f t="shared" si="18"/>
        <v>1173</v>
      </c>
      <c r="B1183" s="142" t="s">
        <v>1769</v>
      </c>
      <c r="C1183" s="150" t="s">
        <v>1306</v>
      </c>
      <c r="D1183" s="176"/>
      <c r="E1183" s="176"/>
      <c r="F1183" s="176"/>
      <c r="G1183" s="144"/>
      <c r="H1183" s="141"/>
      <c r="I1183" s="153" t="s">
        <v>566</v>
      </c>
      <c r="J1183" s="153">
        <v>1</v>
      </c>
      <c r="K1183" s="156" t="s">
        <v>730</v>
      </c>
      <c r="L1183" s="142" t="s">
        <v>2518</v>
      </c>
      <c r="M1183" s="11" t="str">
        <f>VLOOKUP(N1183,'Mã NV'!$A$3:$B$196,2,0)</f>
        <v>TE26</v>
      </c>
      <c r="N1183" s="310" t="s">
        <v>2575</v>
      </c>
      <c r="O1183" s="381">
        <v>44197</v>
      </c>
      <c r="P1183" s="371"/>
      <c r="Q1183" s="156"/>
      <c r="R1183" s="144" t="s">
        <v>272</v>
      </c>
    </row>
    <row r="1184" spans="1:18" ht="35.25" hidden="1" customHeight="1">
      <c r="A1184" s="15">
        <f t="shared" si="18"/>
        <v>1174</v>
      </c>
      <c r="B1184" s="142" t="s">
        <v>1770</v>
      </c>
      <c r="C1184" s="150" t="s">
        <v>1306</v>
      </c>
      <c r="D1184" s="176"/>
      <c r="E1184" s="176"/>
      <c r="F1184" s="176"/>
      <c r="G1184" s="144"/>
      <c r="H1184" s="141"/>
      <c r="I1184" s="153" t="s">
        <v>566</v>
      </c>
      <c r="J1184" s="153">
        <v>1</v>
      </c>
      <c r="K1184" s="156" t="s">
        <v>730</v>
      </c>
      <c r="L1184" s="142" t="s">
        <v>2518</v>
      </c>
      <c r="M1184" s="11" t="str">
        <f>VLOOKUP(N1184,'Mã NV'!$A$3:$B$196,2,0)</f>
        <v>TE26</v>
      </c>
      <c r="N1184" s="310" t="s">
        <v>2575</v>
      </c>
      <c r="O1184" s="381">
        <v>44197</v>
      </c>
      <c r="P1184" s="371"/>
      <c r="Q1184" s="156"/>
      <c r="R1184" s="144" t="s">
        <v>272</v>
      </c>
    </row>
    <row r="1185" spans="1:18" ht="35.25" hidden="1" customHeight="1">
      <c r="A1185" s="15">
        <f t="shared" si="18"/>
        <v>1175</v>
      </c>
      <c r="B1185" s="142" t="s">
        <v>1771</v>
      </c>
      <c r="C1185" s="150" t="s">
        <v>32</v>
      </c>
      <c r="D1185" s="176"/>
      <c r="E1185" s="176"/>
      <c r="F1185" s="176"/>
      <c r="G1185" s="144"/>
      <c r="H1185" s="141"/>
      <c r="I1185" s="153" t="s">
        <v>566</v>
      </c>
      <c r="J1185" s="153">
        <v>1</v>
      </c>
      <c r="K1185" s="156" t="s">
        <v>730</v>
      </c>
      <c r="L1185" s="142" t="s">
        <v>2518</v>
      </c>
      <c r="M1185" s="11" t="str">
        <f>VLOOKUP(N1185,'Mã NV'!$A$3:$B$196,2,0)</f>
        <v>TE26</v>
      </c>
      <c r="N1185" s="310" t="s">
        <v>2575</v>
      </c>
      <c r="O1185" s="381">
        <v>44197</v>
      </c>
      <c r="P1185" s="371"/>
      <c r="Q1185" s="156"/>
      <c r="R1185" s="144" t="s">
        <v>272</v>
      </c>
    </row>
    <row r="1186" spans="1:18" ht="35.25" hidden="1" customHeight="1">
      <c r="A1186" s="15">
        <f t="shared" si="18"/>
        <v>1176</v>
      </c>
      <c r="B1186" s="142" t="s">
        <v>1772</v>
      </c>
      <c r="C1186" s="150" t="s">
        <v>32</v>
      </c>
      <c r="D1186" s="176"/>
      <c r="E1186" s="176"/>
      <c r="F1186" s="176"/>
      <c r="G1186" s="144"/>
      <c r="H1186" s="141"/>
      <c r="I1186" s="153" t="s">
        <v>566</v>
      </c>
      <c r="J1186" s="153">
        <v>1</v>
      </c>
      <c r="K1186" s="156" t="s">
        <v>730</v>
      </c>
      <c r="L1186" s="142" t="s">
        <v>2518</v>
      </c>
      <c r="M1186" s="11" t="str">
        <f>VLOOKUP(N1186,'Mã NV'!$A$3:$B$196,2,0)</f>
        <v>TE26</v>
      </c>
      <c r="N1186" s="310" t="s">
        <v>2575</v>
      </c>
      <c r="O1186" s="381">
        <v>44197</v>
      </c>
      <c r="P1186" s="371"/>
      <c r="Q1186" s="156"/>
      <c r="R1186" s="144" t="s">
        <v>272</v>
      </c>
    </row>
    <row r="1187" spans="1:18" ht="35.25" hidden="1" customHeight="1">
      <c r="A1187" s="15">
        <f t="shared" si="18"/>
        <v>1177</v>
      </c>
      <c r="B1187" s="11" t="s">
        <v>1773</v>
      </c>
      <c r="C1187" s="64" t="s">
        <v>154</v>
      </c>
      <c r="D1187" s="176"/>
      <c r="E1187" s="176"/>
      <c r="F1187" s="176"/>
      <c r="G1187" s="144"/>
      <c r="H1187" s="141"/>
      <c r="I1187" s="153" t="s">
        <v>566</v>
      </c>
      <c r="J1187" s="153">
        <v>1</v>
      </c>
      <c r="K1187" s="156" t="s">
        <v>730</v>
      </c>
      <c r="L1187" s="142" t="s">
        <v>2518</v>
      </c>
      <c r="M1187" s="11" t="str">
        <f>VLOOKUP(N1187,'Mã NV'!$A$3:$B$196,2,0)</f>
        <v>TE26</v>
      </c>
      <c r="N1187" s="310" t="s">
        <v>2575</v>
      </c>
      <c r="O1187" s="380">
        <f>VLOOKUP(B1187,'Tổng hợp (3)'!$C$4:$E$985,3,0)</f>
        <v>44719</v>
      </c>
      <c r="P1187" s="378"/>
      <c r="Q1187" s="156"/>
      <c r="R1187" s="144" t="s">
        <v>272</v>
      </c>
    </row>
    <row r="1188" spans="1:18" ht="35.25" hidden="1" customHeight="1">
      <c r="A1188" s="15">
        <f t="shared" si="18"/>
        <v>1178</v>
      </c>
      <c r="B1188" s="11" t="s">
        <v>1774</v>
      </c>
      <c r="C1188" s="64" t="s">
        <v>154</v>
      </c>
      <c r="D1188" s="176"/>
      <c r="E1188" s="176"/>
      <c r="F1188" s="176"/>
      <c r="G1188" s="144"/>
      <c r="H1188" s="141"/>
      <c r="I1188" s="153" t="s">
        <v>566</v>
      </c>
      <c r="J1188" s="153">
        <v>1</v>
      </c>
      <c r="K1188" s="156" t="s">
        <v>730</v>
      </c>
      <c r="L1188" s="142" t="s">
        <v>2518</v>
      </c>
      <c r="M1188" s="11" t="str">
        <f>VLOOKUP(N1188,'Mã NV'!$A$3:$B$196,2,0)</f>
        <v>TE26</v>
      </c>
      <c r="N1188" s="310" t="s">
        <v>2575</v>
      </c>
      <c r="O1188" s="380">
        <f>VLOOKUP(B1188,'Tổng hợp (3)'!$C$4:$E$985,3,0)</f>
        <v>44719</v>
      </c>
      <c r="P1188" s="378"/>
      <c r="Q1188" s="156"/>
      <c r="R1188" s="144" t="s">
        <v>272</v>
      </c>
    </row>
    <row r="1189" spans="1:18" ht="35.25" hidden="1" customHeight="1">
      <c r="A1189" s="15">
        <f t="shared" si="18"/>
        <v>1179</v>
      </c>
      <c r="B1189" s="168" t="s">
        <v>1775</v>
      </c>
      <c r="C1189" s="172" t="s">
        <v>1776</v>
      </c>
      <c r="D1189" s="176"/>
      <c r="E1189" s="176"/>
      <c r="F1189" s="176"/>
      <c r="G1189" s="15"/>
      <c r="H1189" s="141"/>
      <c r="I1189" s="153" t="s">
        <v>566</v>
      </c>
      <c r="J1189" s="153">
        <v>1</v>
      </c>
      <c r="K1189" s="156" t="s">
        <v>730</v>
      </c>
      <c r="L1189" s="142" t="s">
        <v>2518</v>
      </c>
      <c r="M1189" s="11" t="str">
        <f>VLOOKUP(N1189,'Mã NV'!$A$3:$B$196,2,0)</f>
        <v>TE26</v>
      </c>
      <c r="N1189" s="310" t="s">
        <v>2575</v>
      </c>
      <c r="O1189" s="381">
        <v>44197</v>
      </c>
      <c r="P1189" s="371"/>
      <c r="Q1189" s="156"/>
      <c r="R1189" s="144" t="s">
        <v>272</v>
      </c>
    </row>
    <row r="1190" spans="1:18" ht="35.25" hidden="1" customHeight="1">
      <c r="A1190" s="15">
        <f t="shared" si="18"/>
        <v>1180</v>
      </c>
      <c r="B1190" s="168" t="s">
        <v>1777</v>
      </c>
      <c r="C1190" s="172" t="s">
        <v>1776</v>
      </c>
      <c r="D1190" s="176"/>
      <c r="E1190" s="176"/>
      <c r="F1190" s="176"/>
      <c r="G1190" s="15"/>
      <c r="H1190" s="141"/>
      <c r="I1190" s="153" t="s">
        <v>566</v>
      </c>
      <c r="J1190" s="153">
        <v>1</v>
      </c>
      <c r="K1190" s="156" t="s">
        <v>730</v>
      </c>
      <c r="L1190" s="142" t="s">
        <v>2518</v>
      </c>
      <c r="M1190" s="11" t="str">
        <f>VLOOKUP(N1190,'Mã NV'!$A$3:$B$196,2,0)</f>
        <v>TE26</v>
      </c>
      <c r="N1190" s="310" t="s">
        <v>2575</v>
      </c>
      <c r="O1190" s="381">
        <v>44197</v>
      </c>
      <c r="P1190" s="371"/>
      <c r="Q1190" s="156"/>
      <c r="R1190" s="144" t="s">
        <v>272</v>
      </c>
    </row>
    <row r="1191" spans="1:18" ht="35.25" hidden="1" customHeight="1">
      <c r="A1191" s="15">
        <f t="shared" si="18"/>
        <v>1181</v>
      </c>
      <c r="B1191" s="168" t="s">
        <v>1778</v>
      </c>
      <c r="C1191" s="172" t="s">
        <v>1776</v>
      </c>
      <c r="D1191" s="176"/>
      <c r="E1191" s="176"/>
      <c r="F1191" s="176"/>
      <c r="G1191" s="15"/>
      <c r="H1191" s="141"/>
      <c r="I1191" s="153" t="s">
        <v>566</v>
      </c>
      <c r="J1191" s="153">
        <v>1</v>
      </c>
      <c r="K1191" s="156" t="s">
        <v>730</v>
      </c>
      <c r="L1191" s="142" t="s">
        <v>2518</v>
      </c>
      <c r="M1191" s="11" t="str">
        <f>VLOOKUP(N1191,'Mã NV'!$A$3:$B$196,2,0)</f>
        <v>TE26</v>
      </c>
      <c r="N1191" s="310" t="s">
        <v>2575</v>
      </c>
      <c r="O1191" s="381">
        <v>44197</v>
      </c>
      <c r="P1191" s="371"/>
      <c r="Q1191" s="156"/>
      <c r="R1191" s="144" t="s">
        <v>272</v>
      </c>
    </row>
    <row r="1192" spans="1:18" ht="35.25" hidden="1" customHeight="1">
      <c r="A1192" s="15">
        <f t="shared" si="18"/>
        <v>1182</v>
      </c>
      <c r="B1192" s="168" t="s">
        <v>1779</v>
      </c>
      <c r="C1192" s="172" t="s">
        <v>1776</v>
      </c>
      <c r="D1192" s="176"/>
      <c r="E1192" s="176"/>
      <c r="F1192" s="176"/>
      <c r="G1192" s="15"/>
      <c r="H1192" s="141"/>
      <c r="I1192" s="153" t="s">
        <v>566</v>
      </c>
      <c r="J1192" s="153">
        <v>1</v>
      </c>
      <c r="K1192" s="156" t="s">
        <v>730</v>
      </c>
      <c r="L1192" s="142" t="s">
        <v>2518</v>
      </c>
      <c r="M1192" s="11" t="str">
        <f>VLOOKUP(N1192,'Mã NV'!$A$3:$B$196,2,0)</f>
        <v>TE26</v>
      </c>
      <c r="N1192" s="310" t="s">
        <v>2575</v>
      </c>
      <c r="O1192" s="381">
        <v>44197</v>
      </c>
      <c r="P1192" s="371"/>
      <c r="Q1192" s="156"/>
      <c r="R1192" s="144" t="s">
        <v>272</v>
      </c>
    </row>
    <row r="1193" spans="1:18" ht="35.25" hidden="1" customHeight="1">
      <c r="A1193" s="15">
        <f t="shared" si="18"/>
        <v>1183</v>
      </c>
      <c r="B1193" s="168" t="s">
        <v>1780</v>
      </c>
      <c r="C1193" s="172" t="s">
        <v>1776</v>
      </c>
      <c r="D1193" s="176"/>
      <c r="E1193" s="176"/>
      <c r="F1193" s="176"/>
      <c r="G1193" s="15"/>
      <c r="H1193" s="141"/>
      <c r="I1193" s="153" t="s">
        <v>566</v>
      </c>
      <c r="J1193" s="153">
        <v>1</v>
      </c>
      <c r="K1193" s="156" t="s">
        <v>730</v>
      </c>
      <c r="L1193" s="142" t="s">
        <v>2518</v>
      </c>
      <c r="M1193" s="11" t="str">
        <f>VLOOKUP(N1193,'Mã NV'!$A$3:$B$196,2,0)</f>
        <v>TE26</v>
      </c>
      <c r="N1193" s="310" t="s">
        <v>2575</v>
      </c>
      <c r="O1193" s="381">
        <v>44197</v>
      </c>
      <c r="P1193" s="371"/>
      <c r="Q1193" s="156"/>
      <c r="R1193" s="144" t="s">
        <v>272</v>
      </c>
    </row>
    <row r="1194" spans="1:18" ht="35.25" hidden="1" customHeight="1">
      <c r="A1194" s="15">
        <f t="shared" si="18"/>
        <v>1184</v>
      </c>
      <c r="B1194" s="168" t="s">
        <v>1781</v>
      </c>
      <c r="C1194" s="172" t="s">
        <v>1776</v>
      </c>
      <c r="D1194" s="176"/>
      <c r="E1194" s="176"/>
      <c r="F1194" s="176"/>
      <c r="G1194" s="15"/>
      <c r="H1194" s="141"/>
      <c r="I1194" s="153" t="s">
        <v>566</v>
      </c>
      <c r="J1194" s="153">
        <v>1</v>
      </c>
      <c r="K1194" s="156" t="s">
        <v>730</v>
      </c>
      <c r="L1194" s="142" t="s">
        <v>2518</v>
      </c>
      <c r="M1194" s="11" t="str">
        <f>VLOOKUP(N1194,'Mã NV'!$A$3:$B$196,2,0)</f>
        <v>TE26</v>
      </c>
      <c r="N1194" s="310" t="s">
        <v>2575</v>
      </c>
      <c r="O1194" s="381">
        <v>44197</v>
      </c>
      <c r="P1194" s="371"/>
      <c r="Q1194" s="156"/>
      <c r="R1194" s="144" t="s">
        <v>272</v>
      </c>
    </row>
    <row r="1195" spans="1:18" ht="35.25" hidden="1" customHeight="1">
      <c r="A1195" s="15">
        <f t="shared" si="18"/>
        <v>1185</v>
      </c>
      <c r="B1195" s="168" t="s">
        <v>1782</v>
      </c>
      <c r="C1195" s="172" t="s">
        <v>1776</v>
      </c>
      <c r="D1195" s="176"/>
      <c r="E1195" s="176"/>
      <c r="F1195" s="176"/>
      <c r="G1195" s="15"/>
      <c r="H1195" s="141"/>
      <c r="I1195" s="153" t="s">
        <v>566</v>
      </c>
      <c r="J1195" s="153">
        <v>1</v>
      </c>
      <c r="K1195" s="156" t="s">
        <v>730</v>
      </c>
      <c r="L1195" s="142" t="s">
        <v>2518</v>
      </c>
      <c r="M1195" s="11" t="str">
        <f>VLOOKUP(N1195,'Mã NV'!$A$3:$B$196,2,0)</f>
        <v>TE26</v>
      </c>
      <c r="N1195" s="310" t="s">
        <v>2575</v>
      </c>
      <c r="O1195" s="381">
        <v>44197</v>
      </c>
      <c r="P1195" s="371"/>
      <c r="Q1195" s="156"/>
      <c r="R1195" s="144" t="s">
        <v>272</v>
      </c>
    </row>
    <row r="1196" spans="1:18" ht="35.25" hidden="1" customHeight="1">
      <c r="A1196" s="15">
        <f t="shared" si="18"/>
        <v>1186</v>
      </c>
      <c r="B1196" s="168" t="s">
        <v>1783</v>
      </c>
      <c r="C1196" s="172" t="s">
        <v>1776</v>
      </c>
      <c r="D1196" s="176"/>
      <c r="E1196" s="176"/>
      <c r="F1196" s="176"/>
      <c r="G1196" s="15"/>
      <c r="H1196" s="141"/>
      <c r="I1196" s="153" t="s">
        <v>566</v>
      </c>
      <c r="J1196" s="153">
        <v>1</v>
      </c>
      <c r="K1196" s="156" t="s">
        <v>730</v>
      </c>
      <c r="L1196" s="142" t="s">
        <v>2518</v>
      </c>
      <c r="M1196" s="11" t="str">
        <f>VLOOKUP(N1196,'Mã NV'!$A$3:$B$196,2,0)</f>
        <v>TE26</v>
      </c>
      <c r="N1196" s="310" t="s">
        <v>2575</v>
      </c>
      <c r="O1196" s="381">
        <v>44197</v>
      </c>
      <c r="P1196" s="371"/>
      <c r="Q1196" s="156"/>
      <c r="R1196" s="144" t="s">
        <v>272</v>
      </c>
    </row>
    <row r="1197" spans="1:18" ht="35.25" hidden="1" customHeight="1">
      <c r="A1197" s="15">
        <f t="shared" si="18"/>
        <v>1187</v>
      </c>
      <c r="B1197" s="168" t="s">
        <v>1784</v>
      </c>
      <c r="C1197" s="172" t="s">
        <v>1776</v>
      </c>
      <c r="D1197" s="176"/>
      <c r="E1197" s="176"/>
      <c r="F1197" s="176"/>
      <c r="G1197" s="15"/>
      <c r="H1197" s="141"/>
      <c r="I1197" s="153" t="s">
        <v>566</v>
      </c>
      <c r="J1197" s="153">
        <v>1</v>
      </c>
      <c r="K1197" s="156" t="s">
        <v>730</v>
      </c>
      <c r="L1197" s="142" t="s">
        <v>2518</v>
      </c>
      <c r="M1197" s="11" t="str">
        <f>VLOOKUP(N1197,'Mã NV'!$A$3:$B$196,2,0)</f>
        <v>TE26</v>
      </c>
      <c r="N1197" s="310" t="s">
        <v>2575</v>
      </c>
      <c r="O1197" s="381">
        <v>44197</v>
      </c>
      <c r="P1197" s="371"/>
      <c r="Q1197" s="156"/>
      <c r="R1197" s="144" t="s">
        <v>272</v>
      </c>
    </row>
    <row r="1198" spans="1:18" ht="35.25" hidden="1" customHeight="1">
      <c r="A1198" s="15">
        <f t="shared" si="18"/>
        <v>1188</v>
      </c>
      <c r="B1198" s="168" t="s">
        <v>1785</v>
      </c>
      <c r="C1198" s="172" t="s">
        <v>1786</v>
      </c>
      <c r="D1198" s="176"/>
      <c r="E1198" s="176"/>
      <c r="F1198" s="176"/>
      <c r="G1198" s="15"/>
      <c r="H1198" s="141"/>
      <c r="I1198" s="153" t="s">
        <v>566</v>
      </c>
      <c r="J1198" s="153">
        <v>1</v>
      </c>
      <c r="K1198" s="156" t="s">
        <v>730</v>
      </c>
      <c r="L1198" s="142" t="s">
        <v>2518</v>
      </c>
      <c r="M1198" s="11" t="str">
        <f>VLOOKUP(N1198,'Mã NV'!$A$3:$B$196,2,0)</f>
        <v>TE26</v>
      </c>
      <c r="N1198" s="310" t="s">
        <v>2575</v>
      </c>
      <c r="O1198" s="380">
        <f>VLOOKUP(B1198,'Tổng hợp (3)'!$C$4:$E$985,3,0)</f>
        <v>44781</v>
      </c>
      <c r="P1198" s="378"/>
      <c r="Q1198" s="156"/>
      <c r="R1198" s="144" t="s">
        <v>272</v>
      </c>
    </row>
    <row r="1199" spans="1:18" ht="35.25" hidden="1" customHeight="1">
      <c r="A1199" s="15">
        <f t="shared" si="18"/>
        <v>1189</v>
      </c>
      <c r="B1199" s="168" t="s">
        <v>1787</v>
      </c>
      <c r="C1199" s="172" t="s">
        <v>1786</v>
      </c>
      <c r="D1199" s="176"/>
      <c r="E1199" s="176"/>
      <c r="F1199" s="176"/>
      <c r="G1199" s="15"/>
      <c r="H1199" s="141"/>
      <c r="I1199" s="153" t="s">
        <v>566</v>
      </c>
      <c r="J1199" s="153">
        <v>1</v>
      </c>
      <c r="K1199" s="156" t="s">
        <v>730</v>
      </c>
      <c r="L1199" s="142" t="s">
        <v>2518</v>
      </c>
      <c r="M1199" s="11" t="str">
        <f>VLOOKUP(N1199,'Mã NV'!$A$3:$B$196,2,0)</f>
        <v>TE26</v>
      </c>
      <c r="N1199" s="310" t="s">
        <v>2575</v>
      </c>
      <c r="O1199" s="380">
        <f>VLOOKUP(B1199,'Tổng hợp (3)'!$C$4:$E$985,3,0)</f>
        <v>44781</v>
      </c>
      <c r="P1199" s="378"/>
      <c r="Q1199" s="156"/>
      <c r="R1199" s="144" t="s">
        <v>272</v>
      </c>
    </row>
    <row r="1200" spans="1:18" ht="35.25" hidden="1" customHeight="1">
      <c r="A1200" s="15">
        <f t="shared" si="18"/>
        <v>1190</v>
      </c>
      <c r="B1200" s="168" t="s">
        <v>1788</v>
      </c>
      <c r="C1200" s="172" t="s">
        <v>1789</v>
      </c>
      <c r="D1200" s="176"/>
      <c r="E1200" s="176"/>
      <c r="F1200" s="176"/>
      <c r="G1200" s="15"/>
      <c r="H1200" s="141"/>
      <c r="I1200" s="144" t="s">
        <v>18</v>
      </c>
      <c r="J1200" s="153">
        <v>6</v>
      </c>
      <c r="K1200" s="156" t="s">
        <v>730</v>
      </c>
      <c r="L1200" s="142" t="s">
        <v>2518</v>
      </c>
      <c r="M1200" s="11" t="str">
        <f>VLOOKUP(N1200,'Mã NV'!$A$3:$B$196,2,0)</f>
        <v>TE26</v>
      </c>
      <c r="N1200" s="310" t="s">
        <v>2575</v>
      </c>
      <c r="O1200" s="381">
        <v>44197</v>
      </c>
      <c r="P1200" s="371"/>
      <c r="Q1200" s="156"/>
      <c r="R1200" s="144" t="s">
        <v>272</v>
      </c>
    </row>
    <row r="1201" spans="1:18" ht="35.25" hidden="1" customHeight="1">
      <c r="A1201" s="15">
        <f t="shared" si="18"/>
        <v>1191</v>
      </c>
      <c r="B1201" s="11" t="s">
        <v>1790</v>
      </c>
      <c r="C1201" s="149" t="s">
        <v>1791</v>
      </c>
      <c r="D1201" s="176"/>
      <c r="E1201" s="176"/>
      <c r="F1201" s="176"/>
      <c r="G1201" s="144"/>
      <c r="H1201" s="141"/>
      <c r="I1201" s="153" t="s">
        <v>566</v>
      </c>
      <c r="J1201" s="143">
        <v>10</v>
      </c>
      <c r="K1201" s="156" t="s">
        <v>730</v>
      </c>
      <c r="L1201" s="142" t="s">
        <v>2518</v>
      </c>
      <c r="M1201" s="11" t="str">
        <f>VLOOKUP(N1201,'Mã NV'!$A$3:$B$196,2,0)</f>
        <v>TE26</v>
      </c>
      <c r="N1201" s="310" t="s">
        <v>2575</v>
      </c>
      <c r="O1201" s="381">
        <v>44197</v>
      </c>
      <c r="P1201" s="371"/>
      <c r="Q1201" s="156"/>
      <c r="R1201" s="144" t="s">
        <v>272</v>
      </c>
    </row>
    <row r="1202" spans="1:18" ht="35.25" hidden="1" customHeight="1">
      <c r="A1202" s="15">
        <f t="shared" si="18"/>
        <v>1192</v>
      </c>
      <c r="B1202" s="11" t="s">
        <v>1792</v>
      </c>
      <c r="C1202" s="149" t="s">
        <v>1791</v>
      </c>
      <c r="D1202" s="176"/>
      <c r="E1202" s="176"/>
      <c r="F1202" s="176"/>
      <c r="G1202" s="144"/>
      <c r="H1202" s="141"/>
      <c r="I1202" s="153" t="s">
        <v>566</v>
      </c>
      <c r="J1202" s="143">
        <v>10</v>
      </c>
      <c r="K1202" s="156" t="s">
        <v>730</v>
      </c>
      <c r="L1202" s="142" t="s">
        <v>2518</v>
      </c>
      <c r="M1202" s="11" t="str">
        <f>VLOOKUP(N1202,'Mã NV'!$A$3:$B$196,2,0)</f>
        <v>TE26</v>
      </c>
      <c r="N1202" s="310" t="s">
        <v>2575</v>
      </c>
      <c r="O1202" s="381">
        <v>44197</v>
      </c>
      <c r="P1202" s="371"/>
      <c r="Q1202" s="156"/>
      <c r="R1202" s="144" t="s">
        <v>272</v>
      </c>
    </row>
    <row r="1203" spans="1:18" ht="35.25" hidden="1" customHeight="1">
      <c r="A1203" s="15">
        <f t="shared" si="18"/>
        <v>1193</v>
      </c>
      <c r="B1203" s="11" t="s">
        <v>1793</v>
      </c>
      <c r="C1203" s="149" t="s">
        <v>1791</v>
      </c>
      <c r="D1203" s="176"/>
      <c r="E1203" s="176"/>
      <c r="F1203" s="176"/>
      <c r="G1203" s="144"/>
      <c r="H1203" s="141"/>
      <c r="I1203" s="153" t="s">
        <v>566</v>
      </c>
      <c r="J1203" s="143">
        <v>10</v>
      </c>
      <c r="K1203" s="156" t="s">
        <v>730</v>
      </c>
      <c r="L1203" s="142" t="s">
        <v>2518</v>
      </c>
      <c r="M1203" s="11" t="str">
        <f>VLOOKUP(N1203,'Mã NV'!$A$3:$B$196,2,0)</f>
        <v>TE26</v>
      </c>
      <c r="N1203" s="310" t="s">
        <v>2575</v>
      </c>
      <c r="O1203" s="381">
        <v>44197</v>
      </c>
      <c r="P1203" s="371"/>
      <c r="Q1203" s="156"/>
      <c r="R1203" s="144" t="s">
        <v>272</v>
      </c>
    </row>
    <row r="1204" spans="1:18" ht="35.25" hidden="1" customHeight="1">
      <c r="A1204" s="15">
        <f t="shared" si="18"/>
        <v>1194</v>
      </c>
      <c r="B1204" s="11" t="s">
        <v>1794</v>
      </c>
      <c r="C1204" s="149" t="s">
        <v>1791</v>
      </c>
      <c r="D1204" s="176"/>
      <c r="E1204" s="176"/>
      <c r="F1204" s="176"/>
      <c r="G1204" s="144"/>
      <c r="H1204" s="141"/>
      <c r="I1204" s="153" t="s">
        <v>566</v>
      </c>
      <c r="J1204" s="143">
        <v>10</v>
      </c>
      <c r="K1204" s="156" t="s">
        <v>730</v>
      </c>
      <c r="L1204" s="142" t="s">
        <v>2518</v>
      </c>
      <c r="M1204" s="11" t="str">
        <f>VLOOKUP(N1204,'Mã NV'!$A$3:$B$196,2,0)</f>
        <v>TE26</v>
      </c>
      <c r="N1204" s="310" t="s">
        <v>2575</v>
      </c>
      <c r="O1204" s="381">
        <v>44197</v>
      </c>
      <c r="P1204" s="371"/>
      <c r="Q1204" s="156"/>
      <c r="R1204" s="144" t="s">
        <v>272</v>
      </c>
    </row>
    <row r="1205" spans="1:18" ht="35.25" hidden="1" customHeight="1">
      <c r="A1205" s="15">
        <f t="shared" si="18"/>
        <v>1195</v>
      </c>
      <c r="B1205" s="11" t="s">
        <v>1795</v>
      </c>
      <c r="C1205" s="149" t="s">
        <v>1791</v>
      </c>
      <c r="D1205" s="176"/>
      <c r="E1205" s="176"/>
      <c r="F1205" s="176"/>
      <c r="G1205" s="144"/>
      <c r="H1205" s="141"/>
      <c r="I1205" s="153" t="s">
        <v>566</v>
      </c>
      <c r="J1205" s="143">
        <v>20</v>
      </c>
      <c r="K1205" s="156" t="s">
        <v>730</v>
      </c>
      <c r="L1205" s="142" t="s">
        <v>2518</v>
      </c>
      <c r="M1205" s="11" t="str">
        <f>VLOOKUP(N1205,'Mã NV'!$A$3:$B$196,2,0)</f>
        <v>TE26</v>
      </c>
      <c r="N1205" s="310" t="s">
        <v>2575</v>
      </c>
      <c r="O1205" s="381">
        <v>44197</v>
      </c>
      <c r="P1205" s="371"/>
      <c r="Q1205" s="156"/>
      <c r="R1205" s="144" t="s">
        <v>272</v>
      </c>
    </row>
    <row r="1206" spans="1:18" ht="35.25" hidden="1" customHeight="1">
      <c r="A1206" s="15">
        <f t="shared" si="18"/>
        <v>1196</v>
      </c>
      <c r="B1206" s="11" t="s">
        <v>1796</v>
      </c>
      <c r="C1206" s="149" t="s">
        <v>1797</v>
      </c>
      <c r="D1206" s="176"/>
      <c r="E1206" s="176"/>
      <c r="F1206" s="176"/>
      <c r="G1206" s="142" t="s">
        <v>2428</v>
      </c>
      <c r="H1206" s="141"/>
      <c r="I1206" s="153" t="s">
        <v>566</v>
      </c>
      <c r="J1206" s="153">
        <v>1</v>
      </c>
      <c r="K1206" s="156" t="s">
        <v>730</v>
      </c>
      <c r="L1206" s="142" t="s">
        <v>2518</v>
      </c>
      <c r="M1206" s="11" t="str">
        <f>VLOOKUP(N1206,'Mã NV'!$A$3:$B$196,2,0)</f>
        <v>TE26</v>
      </c>
      <c r="N1206" s="310" t="s">
        <v>2575</v>
      </c>
      <c r="O1206" s="381">
        <v>44197</v>
      </c>
      <c r="P1206" s="371"/>
      <c r="Q1206" s="156"/>
      <c r="R1206" s="144" t="s">
        <v>272</v>
      </c>
    </row>
    <row r="1207" spans="1:18" ht="35.25" hidden="1" customHeight="1">
      <c r="A1207" s="15">
        <f t="shared" si="18"/>
        <v>1197</v>
      </c>
      <c r="B1207" s="11" t="s">
        <v>1798</v>
      </c>
      <c r="C1207" s="149" t="s">
        <v>1797</v>
      </c>
      <c r="D1207" s="176"/>
      <c r="E1207" s="176"/>
      <c r="F1207" s="176"/>
      <c r="G1207" s="142" t="s">
        <v>2428</v>
      </c>
      <c r="H1207" s="141"/>
      <c r="I1207" s="153" t="s">
        <v>566</v>
      </c>
      <c r="J1207" s="153">
        <v>1</v>
      </c>
      <c r="K1207" s="156" t="s">
        <v>730</v>
      </c>
      <c r="L1207" s="142" t="s">
        <v>2518</v>
      </c>
      <c r="M1207" s="11" t="str">
        <f>VLOOKUP(N1207,'Mã NV'!$A$3:$B$196,2,0)</f>
        <v>TE26</v>
      </c>
      <c r="N1207" s="310" t="s">
        <v>2575</v>
      </c>
      <c r="O1207" s="381">
        <v>44197</v>
      </c>
      <c r="P1207" s="371"/>
      <c r="Q1207" s="156"/>
      <c r="R1207" s="144" t="s">
        <v>272</v>
      </c>
    </row>
    <row r="1208" spans="1:18" ht="35.25" hidden="1" customHeight="1">
      <c r="A1208" s="15">
        <f t="shared" si="18"/>
        <v>1198</v>
      </c>
      <c r="B1208" s="11" t="s">
        <v>1799</v>
      </c>
      <c r="C1208" s="149" t="s">
        <v>723</v>
      </c>
      <c r="D1208" s="176"/>
      <c r="E1208" s="176"/>
      <c r="F1208" s="176"/>
      <c r="G1208" s="142"/>
      <c r="H1208" s="141"/>
      <c r="I1208" s="153" t="s">
        <v>566</v>
      </c>
      <c r="J1208" s="153">
        <v>1</v>
      </c>
      <c r="K1208" s="156" t="s">
        <v>730</v>
      </c>
      <c r="L1208" s="142" t="s">
        <v>2518</v>
      </c>
      <c r="M1208" s="11" t="str">
        <f>VLOOKUP(N1208,'Mã NV'!$A$3:$B$196,2,0)</f>
        <v>TE26</v>
      </c>
      <c r="N1208" s="310" t="s">
        <v>2575</v>
      </c>
      <c r="O1208" s="381">
        <v>44197</v>
      </c>
      <c r="P1208" s="371"/>
      <c r="Q1208" s="156"/>
      <c r="R1208" s="144" t="s">
        <v>272</v>
      </c>
    </row>
    <row r="1209" spans="1:18" ht="35.25" hidden="1" customHeight="1">
      <c r="A1209" s="15">
        <f t="shared" si="18"/>
        <v>1199</v>
      </c>
      <c r="B1209" s="11" t="s">
        <v>1800</v>
      </c>
      <c r="C1209" s="149" t="s">
        <v>723</v>
      </c>
      <c r="D1209" s="176"/>
      <c r="E1209" s="176"/>
      <c r="F1209" s="176"/>
      <c r="G1209" s="64"/>
      <c r="H1209" s="141"/>
      <c r="I1209" s="153" t="s">
        <v>566</v>
      </c>
      <c r="J1209" s="153">
        <v>1</v>
      </c>
      <c r="K1209" s="156" t="s">
        <v>730</v>
      </c>
      <c r="L1209" s="142" t="s">
        <v>2518</v>
      </c>
      <c r="M1209" s="11" t="str">
        <f>VLOOKUP(N1209,'Mã NV'!$A$3:$B$196,2,0)</f>
        <v>TE26</v>
      </c>
      <c r="N1209" s="310" t="s">
        <v>2575</v>
      </c>
      <c r="O1209" s="381">
        <v>44197</v>
      </c>
      <c r="P1209" s="371"/>
      <c r="Q1209" s="156"/>
      <c r="R1209" s="144" t="s">
        <v>272</v>
      </c>
    </row>
    <row r="1210" spans="1:18" ht="35.25" hidden="1" customHeight="1">
      <c r="A1210" s="15">
        <f t="shared" si="18"/>
        <v>1200</v>
      </c>
      <c r="B1210" s="11" t="s">
        <v>1801</v>
      </c>
      <c r="C1210" s="149" t="s">
        <v>723</v>
      </c>
      <c r="D1210" s="176"/>
      <c r="E1210" s="176"/>
      <c r="F1210" s="176"/>
      <c r="G1210" s="64"/>
      <c r="H1210" s="141"/>
      <c r="I1210" s="153" t="s">
        <v>566</v>
      </c>
      <c r="J1210" s="153">
        <v>1</v>
      </c>
      <c r="K1210" s="156" t="s">
        <v>730</v>
      </c>
      <c r="L1210" s="142" t="s">
        <v>2518</v>
      </c>
      <c r="M1210" s="11" t="str">
        <f>VLOOKUP(N1210,'Mã NV'!$A$3:$B$196,2,0)</f>
        <v>TE26</v>
      </c>
      <c r="N1210" s="310" t="s">
        <v>2575</v>
      </c>
      <c r="O1210" s="381">
        <v>44197</v>
      </c>
      <c r="P1210" s="371"/>
      <c r="Q1210" s="156"/>
      <c r="R1210" s="144" t="s">
        <v>272</v>
      </c>
    </row>
    <row r="1211" spans="1:18" ht="35.25" hidden="1" customHeight="1">
      <c r="A1211" s="15">
        <f t="shared" si="18"/>
        <v>1201</v>
      </c>
      <c r="B1211" s="11" t="s">
        <v>1802</v>
      </c>
      <c r="C1211" s="149" t="s">
        <v>723</v>
      </c>
      <c r="D1211" s="176"/>
      <c r="E1211" s="176"/>
      <c r="F1211" s="176"/>
      <c r="G1211" s="64"/>
      <c r="H1211" s="141"/>
      <c r="I1211" s="153" t="s">
        <v>566</v>
      </c>
      <c r="J1211" s="153">
        <v>1</v>
      </c>
      <c r="K1211" s="156" t="s">
        <v>730</v>
      </c>
      <c r="L1211" s="142" t="s">
        <v>2518</v>
      </c>
      <c r="M1211" s="11" t="str">
        <f>VLOOKUP(N1211,'Mã NV'!$A$3:$B$196,2,0)</f>
        <v>TE26</v>
      </c>
      <c r="N1211" s="310" t="s">
        <v>2575</v>
      </c>
      <c r="O1211" s="381">
        <v>44197</v>
      </c>
      <c r="P1211" s="371"/>
      <c r="Q1211" s="156"/>
      <c r="R1211" s="144" t="s">
        <v>272</v>
      </c>
    </row>
    <row r="1212" spans="1:18" ht="35.25" hidden="1" customHeight="1">
      <c r="A1212" s="15">
        <f t="shared" si="18"/>
        <v>1202</v>
      </c>
      <c r="B1212" s="11" t="s">
        <v>1803</v>
      </c>
      <c r="C1212" s="149" t="s">
        <v>723</v>
      </c>
      <c r="D1212" s="176"/>
      <c r="E1212" s="176"/>
      <c r="F1212" s="176"/>
      <c r="G1212" s="64"/>
      <c r="H1212" s="141"/>
      <c r="I1212" s="153" t="s">
        <v>566</v>
      </c>
      <c r="J1212" s="153">
        <v>1</v>
      </c>
      <c r="K1212" s="156" t="s">
        <v>730</v>
      </c>
      <c r="L1212" s="142" t="s">
        <v>2518</v>
      </c>
      <c r="M1212" s="11" t="str">
        <f>VLOOKUP(N1212,'Mã NV'!$A$3:$B$196,2,0)</f>
        <v>TE26</v>
      </c>
      <c r="N1212" s="310" t="s">
        <v>2575</v>
      </c>
      <c r="O1212" s="381">
        <v>44197</v>
      </c>
      <c r="P1212" s="371"/>
      <c r="Q1212" s="156"/>
      <c r="R1212" s="144" t="s">
        <v>272</v>
      </c>
    </row>
    <row r="1213" spans="1:18" ht="35.25" hidden="1" customHeight="1">
      <c r="A1213" s="15">
        <f t="shared" si="18"/>
        <v>1203</v>
      </c>
      <c r="B1213" s="11" t="s">
        <v>1804</v>
      </c>
      <c r="C1213" s="149" t="s">
        <v>723</v>
      </c>
      <c r="D1213" s="176"/>
      <c r="E1213" s="176"/>
      <c r="F1213" s="176"/>
      <c r="G1213" s="64"/>
      <c r="H1213" s="141"/>
      <c r="I1213" s="153" t="s">
        <v>566</v>
      </c>
      <c r="J1213" s="153">
        <v>1</v>
      </c>
      <c r="K1213" s="156" t="s">
        <v>730</v>
      </c>
      <c r="L1213" s="142" t="s">
        <v>2518</v>
      </c>
      <c r="M1213" s="11" t="str">
        <f>VLOOKUP(N1213,'Mã NV'!$A$3:$B$196,2,0)</f>
        <v>TE26</v>
      </c>
      <c r="N1213" s="310" t="s">
        <v>2575</v>
      </c>
      <c r="O1213" s="381">
        <v>44197</v>
      </c>
      <c r="P1213" s="371"/>
      <c r="Q1213" s="156"/>
      <c r="R1213" s="144" t="s">
        <v>272</v>
      </c>
    </row>
    <row r="1214" spans="1:18" ht="35.25" hidden="1" customHeight="1">
      <c r="A1214" s="15">
        <f t="shared" si="18"/>
        <v>1204</v>
      </c>
      <c r="B1214" s="11" t="s">
        <v>1805</v>
      </c>
      <c r="C1214" s="149" t="s">
        <v>723</v>
      </c>
      <c r="D1214" s="176"/>
      <c r="E1214" s="176"/>
      <c r="F1214" s="176"/>
      <c r="G1214" s="64"/>
      <c r="H1214" s="141"/>
      <c r="I1214" s="153" t="s">
        <v>566</v>
      </c>
      <c r="J1214" s="153">
        <v>1</v>
      </c>
      <c r="K1214" s="156" t="s">
        <v>730</v>
      </c>
      <c r="L1214" s="142" t="s">
        <v>2518</v>
      </c>
      <c r="M1214" s="11" t="str">
        <f>VLOOKUP(N1214,'Mã NV'!$A$3:$B$196,2,0)</f>
        <v>TE26</v>
      </c>
      <c r="N1214" s="310" t="s">
        <v>2575</v>
      </c>
      <c r="O1214" s="381">
        <v>44197</v>
      </c>
      <c r="P1214" s="371"/>
      <c r="Q1214" s="156"/>
      <c r="R1214" s="144" t="s">
        <v>272</v>
      </c>
    </row>
    <row r="1215" spans="1:18" ht="35.25" hidden="1" customHeight="1">
      <c r="A1215" s="15">
        <f t="shared" si="18"/>
        <v>1205</v>
      </c>
      <c r="B1215" s="11" t="s">
        <v>1806</v>
      </c>
      <c r="C1215" s="149" t="s">
        <v>723</v>
      </c>
      <c r="D1215" s="176"/>
      <c r="E1215" s="176"/>
      <c r="F1215" s="176"/>
      <c r="G1215" s="64"/>
      <c r="H1215" s="141"/>
      <c r="I1215" s="153" t="s">
        <v>566</v>
      </c>
      <c r="J1215" s="153">
        <v>1</v>
      </c>
      <c r="K1215" s="156" t="s">
        <v>730</v>
      </c>
      <c r="L1215" s="142" t="s">
        <v>2518</v>
      </c>
      <c r="M1215" s="11" t="str">
        <f>VLOOKUP(N1215,'Mã NV'!$A$3:$B$196,2,0)</f>
        <v>TE26</v>
      </c>
      <c r="N1215" s="310" t="s">
        <v>2575</v>
      </c>
      <c r="O1215" s="381">
        <v>44197</v>
      </c>
      <c r="P1215" s="371"/>
      <c r="Q1215" s="156"/>
      <c r="R1215" s="144" t="s">
        <v>272</v>
      </c>
    </row>
    <row r="1216" spans="1:18" ht="35.25" hidden="1" customHeight="1">
      <c r="A1216" s="15">
        <f t="shared" si="18"/>
        <v>1206</v>
      </c>
      <c r="B1216" s="11" t="s">
        <v>1807</v>
      </c>
      <c r="C1216" s="149" t="s">
        <v>723</v>
      </c>
      <c r="D1216" s="176"/>
      <c r="E1216" s="176"/>
      <c r="F1216" s="176"/>
      <c r="G1216" s="64"/>
      <c r="H1216" s="141"/>
      <c r="I1216" s="153" t="s">
        <v>566</v>
      </c>
      <c r="J1216" s="153">
        <v>1</v>
      </c>
      <c r="K1216" s="156" t="s">
        <v>730</v>
      </c>
      <c r="L1216" s="142" t="s">
        <v>2518</v>
      </c>
      <c r="M1216" s="11" t="str">
        <f>VLOOKUP(N1216,'Mã NV'!$A$3:$B$196,2,0)</f>
        <v>TE26</v>
      </c>
      <c r="N1216" s="310" t="s">
        <v>2575</v>
      </c>
      <c r="O1216" s="381">
        <v>44197</v>
      </c>
      <c r="P1216" s="371"/>
      <c r="Q1216" s="156"/>
      <c r="R1216" s="144" t="s">
        <v>272</v>
      </c>
    </row>
    <row r="1217" spans="1:18" ht="35.25" hidden="1" customHeight="1">
      <c r="A1217" s="15">
        <f t="shared" si="18"/>
        <v>1207</v>
      </c>
      <c r="B1217" s="11" t="s">
        <v>1808</v>
      </c>
      <c r="C1217" s="149" t="s">
        <v>723</v>
      </c>
      <c r="D1217" s="176"/>
      <c r="E1217" s="176"/>
      <c r="F1217" s="176"/>
      <c r="G1217" s="64"/>
      <c r="H1217" s="141"/>
      <c r="I1217" s="153" t="s">
        <v>566</v>
      </c>
      <c r="J1217" s="153">
        <v>1</v>
      </c>
      <c r="K1217" s="156" t="s">
        <v>730</v>
      </c>
      <c r="L1217" s="142" t="s">
        <v>2518</v>
      </c>
      <c r="M1217" s="11" t="str">
        <f>VLOOKUP(N1217,'Mã NV'!$A$3:$B$196,2,0)</f>
        <v>TE26</v>
      </c>
      <c r="N1217" s="310" t="s">
        <v>2575</v>
      </c>
      <c r="O1217" s="381">
        <v>44197</v>
      </c>
      <c r="P1217" s="371"/>
      <c r="Q1217" s="156"/>
      <c r="R1217" s="144" t="s">
        <v>272</v>
      </c>
    </row>
    <row r="1218" spans="1:18" ht="35.25" hidden="1" customHeight="1">
      <c r="A1218" s="15">
        <f t="shared" si="18"/>
        <v>1208</v>
      </c>
      <c r="B1218" s="11" t="s">
        <v>1809</v>
      </c>
      <c r="C1218" s="149" t="s">
        <v>723</v>
      </c>
      <c r="D1218" s="176"/>
      <c r="E1218" s="176"/>
      <c r="F1218" s="176"/>
      <c r="G1218" s="64"/>
      <c r="H1218" s="141"/>
      <c r="I1218" s="153" t="s">
        <v>566</v>
      </c>
      <c r="J1218" s="153">
        <v>1</v>
      </c>
      <c r="K1218" s="156" t="s">
        <v>730</v>
      </c>
      <c r="L1218" s="142" t="s">
        <v>2518</v>
      </c>
      <c r="M1218" s="11" t="str">
        <f>VLOOKUP(N1218,'Mã NV'!$A$3:$B$196,2,0)</f>
        <v>TE26</v>
      </c>
      <c r="N1218" s="310" t="s">
        <v>2575</v>
      </c>
      <c r="O1218" s="381">
        <v>44197</v>
      </c>
      <c r="P1218" s="371"/>
      <c r="Q1218" s="156"/>
      <c r="R1218" s="144" t="s">
        <v>272</v>
      </c>
    </row>
    <row r="1219" spans="1:18" ht="35.25" hidden="1" customHeight="1">
      <c r="A1219" s="15">
        <f t="shared" si="18"/>
        <v>1209</v>
      </c>
      <c r="B1219" s="11" t="s">
        <v>1810</v>
      </c>
      <c r="C1219" s="149" t="s">
        <v>723</v>
      </c>
      <c r="D1219" s="176"/>
      <c r="E1219" s="176"/>
      <c r="F1219" s="176"/>
      <c r="G1219" s="64"/>
      <c r="H1219" s="141"/>
      <c r="I1219" s="153" t="s">
        <v>566</v>
      </c>
      <c r="J1219" s="153">
        <v>1</v>
      </c>
      <c r="K1219" s="156" t="s">
        <v>730</v>
      </c>
      <c r="L1219" s="142" t="s">
        <v>2518</v>
      </c>
      <c r="M1219" s="11" t="str">
        <f>VLOOKUP(N1219,'Mã NV'!$A$3:$B$196,2,0)</f>
        <v>TE26</v>
      </c>
      <c r="N1219" s="310" t="s">
        <v>2575</v>
      </c>
      <c r="O1219" s="381">
        <v>44197</v>
      </c>
      <c r="P1219" s="371"/>
      <c r="Q1219" s="156"/>
      <c r="R1219" s="144" t="s">
        <v>272</v>
      </c>
    </row>
    <row r="1220" spans="1:18" ht="35.25" hidden="1" customHeight="1">
      <c r="A1220" s="15">
        <f t="shared" si="18"/>
        <v>1210</v>
      </c>
      <c r="B1220" s="11" t="s">
        <v>1811</v>
      </c>
      <c r="C1220" s="149" t="s">
        <v>723</v>
      </c>
      <c r="D1220" s="176"/>
      <c r="E1220" s="176"/>
      <c r="F1220" s="176"/>
      <c r="G1220" s="64"/>
      <c r="H1220" s="141"/>
      <c r="I1220" s="153" t="s">
        <v>566</v>
      </c>
      <c r="J1220" s="153">
        <v>1</v>
      </c>
      <c r="K1220" s="156" t="s">
        <v>730</v>
      </c>
      <c r="L1220" s="142" t="s">
        <v>2518</v>
      </c>
      <c r="M1220" s="11" t="str">
        <f>VLOOKUP(N1220,'Mã NV'!$A$3:$B$196,2,0)</f>
        <v>TE26</v>
      </c>
      <c r="N1220" s="310" t="s">
        <v>2575</v>
      </c>
      <c r="O1220" s="381">
        <v>44197</v>
      </c>
      <c r="P1220" s="371"/>
      <c r="Q1220" s="156"/>
      <c r="R1220" s="144" t="s">
        <v>272</v>
      </c>
    </row>
    <row r="1221" spans="1:18" ht="35.25" hidden="1" customHeight="1">
      <c r="A1221" s="15">
        <f t="shared" si="18"/>
        <v>1211</v>
      </c>
      <c r="B1221" s="11" t="s">
        <v>1812</v>
      </c>
      <c r="C1221" s="149" t="s">
        <v>723</v>
      </c>
      <c r="D1221" s="176"/>
      <c r="E1221" s="176"/>
      <c r="F1221" s="176"/>
      <c r="G1221" s="64"/>
      <c r="H1221" s="141"/>
      <c r="I1221" s="153" t="s">
        <v>566</v>
      </c>
      <c r="J1221" s="153">
        <v>1</v>
      </c>
      <c r="K1221" s="156" t="s">
        <v>730</v>
      </c>
      <c r="L1221" s="142" t="s">
        <v>2518</v>
      </c>
      <c r="M1221" s="11" t="str">
        <f>VLOOKUP(N1221,'Mã NV'!$A$3:$B$196,2,0)</f>
        <v>TE26</v>
      </c>
      <c r="N1221" s="310" t="s">
        <v>2575</v>
      </c>
      <c r="O1221" s="381">
        <v>44197</v>
      </c>
      <c r="P1221" s="371"/>
      <c r="Q1221" s="169"/>
      <c r="R1221" s="144" t="s">
        <v>272</v>
      </c>
    </row>
    <row r="1222" spans="1:18" ht="35.25" hidden="1" customHeight="1">
      <c r="A1222" s="15">
        <f t="shared" si="18"/>
        <v>1212</v>
      </c>
      <c r="B1222" s="11" t="s">
        <v>1813</v>
      </c>
      <c r="C1222" s="149" t="s">
        <v>723</v>
      </c>
      <c r="D1222" s="176"/>
      <c r="E1222" s="176"/>
      <c r="F1222" s="176"/>
      <c r="G1222" s="64"/>
      <c r="H1222" s="141"/>
      <c r="I1222" s="153" t="s">
        <v>566</v>
      </c>
      <c r="J1222" s="153">
        <v>1</v>
      </c>
      <c r="K1222" s="156" t="s">
        <v>730</v>
      </c>
      <c r="L1222" s="142" t="s">
        <v>2518</v>
      </c>
      <c r="M1222" s="11" t="str">
        <f>VLOOKUP(N1222,'Mã NV'!$A$3:$B$196,2,0)</f>
        <v>TE26</v>
      </c>
      <c r="N1222" s="310" t="s">
        <v>2575</v>
      </c>
      <c r="O1222" s="381">
        <v>44197</v>
      </c>
      <c r="P1222" s="371"/>
      <c r="Q1222" s="156"/>
      <c r="R1222" s="144" t="s">
        <v>272</v>
      </c>
    </row>
    <row r="1223" spans="1:18" ht="35.25" hidden="1" customHeight="1">
      <c r="A1223" s="15">
        <f t="shared" si="18"/>
        <v>1213</v>
      </c>
      <c r="B1223" s="11" t="s">
        <v>1814</v>
      </c>
      <c r="C1223" s="149" t="s">
        <v>723</v>
      </c>
      <c r="D1223" s="176"/>
      <c r="E1223" s="176"/>
      <c r="F1223" s="176"/>
      <c r="G1223" s="64"/>
      <c r="H1223" s="141"/>
      <c r="I1223" s="153" t="s">
        <v>566</v>
      </c>
      <c r="J1223" s="153">
        <v>1</v>
      </c>
      <c r="K1223" s="156" t="s">
        <v>730</v>
      </c>
      <c r="L1223" s="142" t="s">
        <v>2518</v>
      </c>
      <c r="M1223" s="11" t="str">
        <f>VLOOKUP(N1223,'Mã NV'!$A$3:$B$196,2,0)</f>
        <v>TE26</v>
      </c>
      <c r="N1223" s="310" t="s">
        <v>2575</v>
      </c>
      <c r="O1223" s="381">
        <v>44197</v>
      </c>
      <c r="P1223" s="371"/>
      <c r="Q1223" s="156"/>
      <c r="R1223" s="144" t="s">
        <v>272</v>
      </c>
    </row>
    <row r="1224" spans="1:18" ht="35.25" hidden="1" customHeight="1">
      <c r="A1224" s="15">
        <f t="shared" si="18"/>
        <v>1214</v>
      </c>
      <c r="B1224" s="11" t="s">
        <v>1815</v>
      </c>
      <c r="C1224" s="149" t="s">
        <v>723</v>
      </c>
      <c r="D1224" s="176"/>
      <c r="E1224" s="176"/>
      <c r="F1224" s="176"/>
      <c r="G1224" s="64"/>
      <c r="H1224" s="141"/>
      <c r="I1224" s="153" t="s">
        <v>566</v>
      </c>
      <c r="J1224" s="153">
        <v>1</v>
      </c>
      <c r="K1224" s="156" t="s">
        <v>730</v>
      </c>
      <c r="L1224" s="142" t="s">
        <v>2518</v>
      </c>
      <c r="M1224" s="11" t="str">
        <f>VLOOKUP(N1224,'Mã NV'!$A$3:$B$196,2,0)</f>
        <v>TE26</v>
      </c>
      <c r="N1224" s="310" t="s">
        <v>2575</v>
      </c>
      <c r="O1224" s="381">
        <v>44197</v>
      </c>
      <c r="P1224" s="371"/>
      <c r="Q1224" s="156"/>
      <c r="R1224" s="144" t="s">
        <v>272</v>
      </c>
    </row>
    <row r="1225" spans="1:18" ht="35.25" hidden="1" customHeight="1">
      <c r="A1225" s="15">
        <f t="shared" si="18"/>
        <v>1215</v>
      </c>
      <c r="B1225" s="11" t="s">
        <v>1816</v>
      </c>
      <c r="C1225" s="149" t="s">
        <v>723</v>
      </c>
      <c r="D1225" s="176"/>
      <c r="E1225" s="176"/>
      <c r="F1225" s="176"/>
      <c r="G1225" s="64"/>
      <c r="H1225" s="141"/>
      <c r="I1225" s="153" t="s">
        <v>566</v>
      </c>
      <c r="J1225" s="153">
        <v>1</v>
      </c>
      <c r="K1225" s="156" t="s">
        <v>730</v>
      </c>
      <c r="L1225" s="142" t="s">
        <v>2518</v>
      </c>
      <c r="M1225" s="11" t="str">
        <f>VLOOKUP(N1225,'Mã NV'!$A$3:$B$196,2,0)</f>
        <v>TE26</v>
      </c>
      <c r="N1225" s="310" t="s">
        <v>2575</v>
      </c>
      <c r="O1225" s="381">
        <v>44197</v>
      </c>
      <c r="P1225" s="371"/>
      <c r="Q1225" s="156"/>
      <c r="R1225" s="144" t="s">
        <v>272</v>
      </c>
    </row>
    <row r="1226" spans="1:18" ht="35.25" hidden="1" customHeight="1">
      <c r="A1226" s="15">
        <f t="shared" si="18"/>
        <v>1216</v>
      </c>
      <c r="B1226" s="11" t="s">
        <v>1817</v>
      </c>
      <c r="C1226" s="149" t="s">
        <v>723</v>
      </c>
      <c r="D1226" s="46"/>
      <c r="E1226" s="46"/>
      <c r="F1226" s="46"/>
      <c r="G1226" s="64"/>
      <c r="H1226" s="141"/>
      <c r="I1226" s="153" t="s">
        <v>566</v>
      </c>
      <c r="J1226" s="153">
        <v>1</v>
      </c>
      <c r="K1226" s="156" t="s">
        <v>730</v>
      </c>
      <c r="L1226" s="142" t="s">
        <v>2518</v>
      </c>
      <c r="M1226" s="11" t="str">
        <f>VLOOKUP(N1226,'Mã NV'!$A$3:$B$196,2,0)</f>
        <v>TE26</v>
      </c>
      <c r="N1226" s="310" t="s">
        <v>2575</v>
      </c>
      <c r="O1226" s="381">
        <v>44197</v>
      </c>
      <c r="P1226" s="371"/>
      <c r="Q1226" s="156"/>
      <c r="R1226" s="144" t="s">
        <v>272</v>
      </c>
    </row>
    <row r="1227" spans="1:18" ht="35.25" hidden="1" customHeight="1">
      <c r="A1227" s="15">
        <f t="shared" si="18"/>
        <v>1217</v>
      </c>
      <c r="B1227" s="11" t="s">
        <v>1818</v>
      </c>
      <c r="C1227" s="149" t="s">
        <v>723</v>
      </c>
      <c r="D1227" s="46"/>
      <c r="E1227" s="46"/>
      <c r="F1227" s="46"/>
      <c r="G1227" s="64"/>
      <c r="H1227" s="141"/>
      <c r="I1227" s="153" t="s">
        <v>566</v>
      </c>
      <c r="J1227" s="153">
        <v>1</v>
      </c>
      <c r="K1227" s="156" t="s">
        <v>730</v>
      </c>
      <c r="L1227" s="142" t="s">
        <v>2518</v>
      </c>
      <c r="M1227" s="11" t="str">
        <f>VLOOKUP(N1227,'Mã NV'!$A$3:$B$196,2,0)</f>
        <v>TE26</v>
      </c>
      <c r="N1227" s="310" t="s">
        <v>2575</v>
      </c>
      <c r="O1227" s="381">
        <v>44197</v>
      </c>
      <c r="P1227" s="371"/>
      <c r="Q1227" s="156"/>
      <c r="R1227" s="144" t="s">
        <v>272</v>
      </c>
    </row>
    <row r="1228" spans="1:18" ht="35.25" hidden="1" customHeight="1">
      <c r="A1228" s="15">
        <f t="shared" si="18"/>
        <v>1218</v>
      </c>
      <c r="B1228" s="11" t="s">
        <v>1819</v>
      </c>
      <c r="C1228" s="149" t="s">
        <v>723</v>
      </c>
      <c r="D1228" s="156"/>
      <c r="E1228" s="156"/>
      <c r="F1228" s="156"/>
      <c r="G1228" s="64"/>
      <c r="H1228" s="141"/>
      <c r="I1228" s="153" t="s">
        <v>566</v>
      </c>
      <c r="J1228" s="153">
        <v>1</v>
      </c>
      <c r="K1228" s="156" t="s">
        <v>730</v>
      </c>
      <c r="L1228" s="142" t="s">
        <v>2518</v>
      </c>
      <c r="M1228" s="11" t="str">
        <f>VLOOKUP(N1228,'Mã NV'!$A$3:$B$196,2,0)</f>
        <v>TE26</v>
      </c>
      <c r="N1228" s="310" t="s">
        <v>2575</v>
      </c>
      <c r="O1228" s="381">
        <v>44197</v>
      </c>
      <c r="P1228" s="371"/>
      <c r="Q1228" s="156"/>
      <c r="R1228" s="144" t="s">
        <v>272</v>
      </c>
    </row>
    <row r="1229" spans="1:18" ht="35.25" hidden="1" customHeight="1">
      <c r="A1229" s="15">
        <f t="shared" si="18"/>
        <v>1219</v>
      </c>
      <c r="B1229" s="11" t="s">
        <v>1820</v>
      </c>
      <c r="C1229" s="149" t="s">
        <v>723</v>
      </c>
      <c r="D1229" s="156"/>
      <c r="E1229" s="156"/>
      <c r="F1229" s="156"/>
      <c r="G1229" s="64"/>
      <c r="H1229" s="141"/>
      <c r="I1229" s="153" t="s">
        <v>566</v>
      </c>
      <c r="J1229" s="153">
        <v>1</v>
      </c>
      <c r="K1229" s="156" t="s">
        <v>730</v>
      </c>
      <c r="L1229" s="142" t="s">
        <v>2518</v>
      </c>
      <c r="M1229" s="11" t="str">
        <f>VLOOKUP(N1229,'Mã NV'!$A$3:$B$196,2,0)</f>
        <v>TE26</v>
      </c>
      <c r="N1229" s="310" t="s">
        <v>2575</v>
      </c>
      <c r="O1229" s="381">
        <v>44197</v>
      </c>
      <c r="P1229" s="371"/>
      <c r="Q1229" s="156"/>
      <c r="R1229" s="144" t="s">
        <v>272</v>
      </c>
    </row>
    <row r="1230" spans="1:18" ht="35.25" hidden="1" customHeight="1">
      <c r="A1230" s="15">
        <f t="shared" si="18"/>
        <v>1220</v>
      </c>
      <c r="B1230" s="11" t="s">
        <v>1821</v>
      </c>
      <c r="C1230" s="149" t="s">
        <v>723</v>
      </c>
      <c r="D1230" s="156"/>
      <c r="E1230" s="156"/>
      <c r="F1230" s="156"/>
      <c r="G1230" s="64"/>
      <c r="H1230" s="141"/>
      <c r="I1230" s="153" t="s">
        <v>566</v>
      </c>
      <c r="J1230" s="153">
        <v>1</v>
      </c>
      <c r="K1230" s="156" t="s">
        <v>730</v>
      </c>
      <c r="L1230" s="142" t="s">
        <v>2518</v>
      </c>
      <c r="M1230" s="11" t="str">
        <f>VLOOKUP(N1230,'Mã NV'!$A$3:$B$196,2,0)</f>
        <v>TE26</v>
      </c>
      <c r="N1230" s="310" t="s">
        <v>2575</v>
      </c>
      <c r="O1230" s="381">
        <v>44197</v>
      </c>
      <c r="P1230" s="371"/>
      <c r="Q1230" s="156"/>
      <c r="R1230" s="144" t="s">
        <v>272</v>
      </c>
    </row>
    <row r="1231" spans="1:18" ht="35.25" hidden="1" customHeight="1">
      <c r="A1231" s="15">
        <f t="shared" si="18"/>
        <v>1221</v>
      </c>
      <c r="B1231" s="11" t="s">
        <v>1822</v>
      </c>
      <c r="C1231" s="149" t="s">
        <v>723</v>
      </c>
      <c r="D1231" s="156"/>
      <c r="E1231" s="156"/>
      <c r="F1231" s="156"/>
      <c r="G1231" s="64"/>
      <c r="H1231" s="141"/>
      <c r="I1231" s="153" t="s">
        <v>566</v>
      </c>
      <c r="J1231" s="153">
        <v>1</v>
      </c>
      <c r="K1231" s="156" t="s">
        <v>730</v>
      </c>
      <c r="L1231" s="142" t="s">
        <v>2518</v>
      </c>
      <c r="M1231" s="11" t="str">
        <f>VLOOKUP(N1231,'Mã NV'!$A$3:$B$196,2,0)</f>
        <v>TE26</v>
      </c>
      <c r="N1231" s="310" t="s">
        <v>2575</v>
      </c>
      <c r="O1231" s="381">
        <v>44197</v>
      </c>
      <c r="P1231" s="371"/>
      <c r="Q1231" s="156"/>
      <c r="R1231" s="144" t="s">
        <v>272</v>
      </c>
    </row>
    <row r="1232" spans="1:18" ht="35.25" hidden="1" customHeight="1">
      <c r="A1232" s="15">
        <f t="shared" si="18"/>
        <v>1222</v>
      </c>
      <c r="B1232" s="11" t="s">
        <v>1823</v>
      </c>
      <c r="C1232" s="149" t="s">
        <v>723</v>
      </c>
      <c r="D1232" s="156"/>
      <c r="E1232" s="156"/>
      <c r="F1232" s="156"/>
      <c r="G1232" s="64"/>
      <c r="H1232" s="141"/>
      <c r="I1232" s="153" t="s">
        <v>566</v>
      </c>
      <c r="J1232" s="153">
        <v>1</v>
      </c>
      <c r="K1232" s="156" t="s">
        <v>730</v>
      </c>
      <c r="L1232" s="142" t="s">
        <v>2518</v>
      </c>
      <c r="M1232" s="11" t="str">
        <f>VLOOKUP(N1232,'Mã NV'!$A$3:$B$196,2,0)</f>
        <v>TE26</v>
      </c>
      <c r="N1232" s="310" t="s">
        <v>2575</v>
      </c>
      <c r="O1232" s="381">
        <v>44197</v>
      </c>
      <c r="P1232" s="371"/>
      <c r="Q1232" s="156"/>
      <c r="R1232" s="144" t="s">
        <v>272</v>
      </c>
    </row>
    <row r="1233" spans="1:18" ht="35.25" hidden="1" customHeight="1">
      <c r="A1233" s="15">
        <f t="shared" si="18"/>
        <v>1223</v>
      </c>
      <c r="B1233" s="11" t="s">
        <v>1824</v>
      </c>
      <c r="C1233" s="149" t="s">
        <v>723</v>
      </c>
      <c r="D1233" s="176"/>
      <c r="E1233" s="176"/>
      <c r="F1233" s="176"/>
      <c r="G1233" s="64"/>
      <c r="H1233" s="141"/>
      <c r="I1233" s="153" t="s">
        <v>566</v>
      </c>
      <c r="J1233" s="153">
        <v>1</v>
      </c>
      <c r="K1233" s="156" t="s">
        <v>730</v>
      </c>
      <c r="L1233" s="142" t="s">
        <v>2518</v>
      </c>
      <c r="M1233" s="11" t="str">
        <f>VLOOKUP(N1233,'Mã NV'!$A$3:$B$196,2,0)</f>
        <v>TE26</v>
      </c>
      <c r="N1233" s="310" t="s">
        <v>2575</v>
      </c>
      <c r="O1233" s="381">
        <v>44197</v>
      </c>
      <c r="P1233" s="371"/>
      <c r="Q1233" s="156"/>
      <c r="R1233" s="144" t="s">
        <v>272</v>
      </c>
    </row>
    <row r="1234" spans="1:18" ht="35.25" hidden="1" customHeight="1">
      <c r="A1234" s="15">
        <f t="shared" ref="A1234:A1297" si="19">A1233+1</f>
        <v>1224</v>
      </c>
      <c r="B1234" s="11" t="s">
        <v>1825</v>
      </c>
      <c r="C1234" s="149" t="s">
        <v>723</v>
      </c>
      <c r="D1234" s="176"/>
      <c r="E1234" s="176"/>
      <c r="F1234" s="176"/>
      <c r="G1234" s="64"/>
      <c r="H1234" s="141"/>
      <c r="I1234" s="153" t="s">
        <v>566</v>
      </c>
      <c r="J1234" s="153">
        <v>1</v>
      </c>
      <c r="K1234" s="156" t="s">
        <v>730</v>
      </c>
      <c r="L1234" s="142" t="s">
        <v>2518</v>
      </c>
      <c r="M1234" s="11" t="str">
        <f>VLOOKUP(N1234,'Mã NV'!$A$3:$B$196,2,0)</f>
        <v>TE26</v>
      </c>
      <c r="N1234" s="310" t="s">
        <v>2575</v>
      </c>
      <c r="O1234" s="381">
        <v>44197</v>
      </c>
      <c r="P1234" s="371"/>
      <c r="Q1234" s="156"/>
      <c r="R1234" s="144" t="s">
        <v>272</v>
      </c>
    </row>
    <row r="1235" spans="1:18" ht="35.25" hidden="1" customHeight="1">
      <c r="A1235" s="15">
        <f t="shared" si="19"/>
        <v>1225</v>
      </c>
      <c r="B1235" s="11" t="s">
        <v>1826</v>
      </c>
      <c r="C1235" s="149" t="s">
        <v>723</v>
      </c>
      <c r="D1235" s="176"/>
      <c r="E1235" s="176"/>
      <c r="F1235" s="176"/>
      <c r="G1235" s="64"/>
      <c r="H1235" s="141"/>
      <c r="I1235" s="153" t="s">
        <v>566</v>
      </c>
      <c r="J1235" s="153">
        <v>1</v>
      </c>
      <c r="K1235" s="156" t="s">
        <v>730</v>
      </c>
      <c r="L1235" s="142" t="s">
        <v>2518</v>
      </c>
      <c r="M1235" s="11" t="str">
        <f>VLOOKUP(N1235,'Mã NV'!$A$3:$B$196,2,0)</f>
        <v>TE26</v>
      </c>
      <c r="N1235" s="310" t="s">
        <v>2575</v>
      </c>
      <c r="O1235" s="381">
        <v>44197</v>
      </c>
      <c r="P1235" s="371"/>
      <c r="Q1235" s="156"/>
      <c r="R1235" s="144" t="s">
        <v>272</v>
      </c>
    </row>
    <row r="1236" spans="1:18" ht="35.25" hidden="1" customHeight="1">
      <c r="A1236" s="15">
        <f t="shared" si="19"/>
        <v>1226</v>
      </c>
      <c r="B1236" s="11" t="s">
        <v>1827</v>
      </c>
      <c r="C1236" s="149" t="s">
        <v>723</v>
      </c>
      <c r="D1236" s="176"/>
      <c r="E1236" s="176"/>
      <c r="F1236" s="176"/>
      <c r="G1236" s="64"/>
      <c r="H1236" s="141"/>
      <c r="I1236" s="153" t="s">
        <v>566</v>
      </c>
      <c r="J1236" s="153">
        <v>1</v>
      </c>
      <c r="K1236" s="156" t="s">
        <v>730</v>
      </c>
      <c r="L1236" s="142" t="s">
        <v>2518</v>
      </c>
      <c r="M1236" s="11" t="str">
        <f>VLOOKUP(N1236,'Mã NV'!$A$3:$B$196,2,0)</f>
        <v>TE26</v>
      </c>
      <c r="N1236" s="310" t="s">
        <v>2575</v>
      </c>
      <c r="O1236" s="381">
        <v>44197</v>
      </c>
      <c r="P1236" s="371"/>
      <c r="Q1236" s="156"/>
      <c r="R1236" s="144" t="s">
        <v>272</v>
      </c>
    </row>
    <row r="1237" spans="1:18" ht="35.25" hidden="1" customHeight="1">
      <c r="A1237" s="15">
        <f t="shared" si="19"/>
        <v>1227</v>
      </c>
      <c r="B1237" s="11" t="s">
        <v>1828</v>
      </c>
      <c r="C1237" s="149" t="s">
        <v>723</v>
      </c>
      <c r="D1237" s="156"/>
      <c r="E1237" s="156"/>
      <c r="F1237" s="156"/>
      <c r="G1237" s="64"/>
      <c r="H1237" s="141"/>
      <c r="I1237" s="153" t="s">
        <v>566</v>
      </c>
      <c r="J1237" s="153">
        <v>1</v>
      </c>
      <c r="K1237" s="156" t="s">
        <v>730</v>
      </c>
      <c r="L1237" s="142" t="s">
        <v>2518</v>
      </c>
      <c r="M1237" s="11" t="str">
        <f>VLOOKUP(N1237,'Mã NV'!$A$3:$B$196,2,0)</f>
        <v>TE26</v>
      </c>
      <c r="N1237" s="310" t="s">
        <v>2575</v>
      </c>
      <c r="O1237" s="381">
        <v>44197</v>
      </c>
      <c r="P1237" s="371"/>
      <c r="Q1237" s="156"/>
      <c r="R1237" s="144" t="s">
        <v>272</v>
      </c>
    </row>
    <row r="1238" spans="1:18" ht="35.25" hidden="1" customHeight="1">
      <c r="A1238" s="15">
        <f t="shared" si="19"/>
        <v>1228</v>
      </c>
      <c r="B1238" s="11" t="s">
        <v>1829</v>
      </c>
      <c r="C1238" s="149" t="s">
        <v>723</v>
      </c>
      <c r="D1238" s="156"/>
      <c r="E1238" s="156"/>
      <c r="F1238" s="156"/>
      <c r="G1238" s="64"/>
      <c r="H1238" s="141"/>
      <c r="I1238" s="153" t="s">
        <v>566</v>
      </c>
      <c r="J1238" s="153">
        <v>1</v>
      </c>
      <c r="K1238" s="156" t="s">
        <v>730</v>
      </c>
      <c r="L1238" s="142" t="s">
        <v>2518</v>
      </c>
      <c r="M1238" s="11" t="str">
        <f>VLOOKUP(N1238,'Mã NV'!$A$3:$B$196,2,0)</f>
        <v>TE26</v>
      </c>
      <c r="N1238" s="310" t="s">
        <v>2575</v>
      </c>
      <c r="O1238" s="381">
        <v>44197</v>
      </c>
      <c r="P1238" s="371"/>
      <c r="Q1238" s="156"/>
      <c r="R1238" s="144" t="s">
        <v>272</v>
      </c>
    </row>
    <row r="1239" spans="1:18" ht="35.25" hidden="1" customHeight="1">
      <c r="A1239" s="15">
        <f t="shared" si="19"/>
        <v>1229</v>
      </c>
      <c r="B1239" s="11" t="s">
        <v>1830</v>
      </c>
      <c r="C1239" s="149" t="s">
        <v>723</v>
      </c>
      <c r="D1239" s="156"/>
      <c r="E1239" s="156"/>
      <c r="F1239" s="156"/>
      <c r="G1239" s="64"/>
      <c r="H1239" s="141"/>
      <c r="I1239" s="153" t="s">
        <v>566</v>
      </c>
      <c r="J1239" s="153">
        <v>1</v>
      </c>
      <c r="K1239" s="156" t="s">
        <v>730</v>
      </c>
      <c r="L1239" s="142" t="s">
        <v>2518</v>
      </c>
      <c r="M1239" s="11" t="str">
        <f>VLOOKUP(N1239,'Mã NV'!$A$3:$B$196,2,0)</f>
        <v>TE26</v>
      </c>
      <c r="N1239" s="310" t="s">
        <v>2575</v>
      </c>
      <c r="O1239" s="381">
        <v>44197</v>
      </c>
      <c r="P1239" s="371"/>
      <c r="Q1239" s="156"/>
      <c r="R1239" s="144" t="s">
        <v>272</v>
      </c>
    </row>
    <row r="1240" spans="1:18" ht="35.25" hidden="1" customHeight="1">
      <c r="A1240" s="15">
        <f t="shared" si="19"/>
        <v>1230</v>
      </c>
      <c r="B1240" s="11" t="s">
        <v>1831</v>
      </c>
      <c r="C1240" s="149" t="s">
        <v>723</v>
      </c>
      <c r="D1240" s="46"/>
      <c r="E1240" s="46"/>
      <c r="F1240" s="46"/>
      <c r="G1240" s="64"/>
      <c r="H1240" s="141"/>
      <c r="I1240" s="153" t="s">
        <v>566</v>
      </c>
      <c r="J1240" s="153">
        <v>1</v>
      </c>
      <c r="K1240" s="156" t="s">
        <v>730</v>
      </c>
      <c r="L1240" s="142" t="s">
        <v>2518</v>
      </c>
      <c r="M1240" s="11" t="str">
        <f>VLOOKUP(N1240,'Mã NV'!$A$3:$B$196,2,0)</f>
        <v>TE26</v>
      </c>
      <c r="N1240" s="310" t="s">
        <v>2575</v>
      </c>
      <c r="O1240" s="381">
        <v>44197</v>
      </c>
      <c r="P1240" s="371"/>
      <c r="Q1240" s="156"/>
      <c r="R1240" s="144" t="s">
        <v>272</v>
      </c>
    </row>
    <row r="1241" spans="1:18" ht="35.25" hidden="1" customHeight="1">
      <c r="A1241" s="15">
        <f t="shared" si="19"/>
        <v>1231</v>
      </c>
      <c r="B1241" s="11" t="s">
        <v>1832</v>
      </c>
      <c r="C1241" s="149" t="s">
        <v>723</v>
      </c>
      <c r="D1241" s="46"/>
      <c r="E1241" s="46"/>
      <c r="F1241" s="46"/>
      <c r="G1241" s="64" t="s">
        <v>2343</v>
      </c>
      <c r="H1241" s="141"/>
      <c r="I1241" s="153" t="s">
        <v>566</v>
      </c>
      <c r="J1241" s="153">
        <v>1</v>
      </c>
      <c r="K1241" s="156" t="s">
        <v>730</v>
      </c>
      <c r="L1241" s="142" t="s">
        <v>2518</v>
      </c>
      <c r="M1241" s="11" t="str">
        <f>VLOOKUP(N1241,'Mã NV'!$A$3:$B$196,2,0)</f>
        <v>TE26</v>
      </c>
      <c r="N1241" s="310" t="s">
        <v>2575</v>
      </c>
      <c r="O1241" s="381">
        <v>44995</v>
      </c>
      <c r="P1241" s="371"/>
      <c r="Q1241" s="156"/>
      <c r="R1241" s="144" t="s">
        <v>272</v>
      </c>
    </row>
    <row r="1242" spans="1:18" ht="35.25" hidden="1" customHeight="1">
      <c r="A1242" s="15">
        <f t="shared" si="19"/>
        <v>1232</v>
      </c>
      <c r="B1242" s="11" t="s">
        <v>1833</v>
      </c>
      <c r="C1242" s="149" t="s">
        <v>723</v>
      </c>
      <c r="D1242" s="46"/>
      <c r="E1242" s="46"/>
      <c r="F1242" s="46"/>
      <c r="G1242" s="64" t="s">
        <v>2343</v>
      </c>
      <c r="H1242" s="141"/>
      <c r="I1242" s="153" t="s">
        <v>566</v>
      </c>
      <c r="J1242" s="153">
        <v>1</v>
      </c>
      <c r="K1242" s="156" t="s">
        <v>730</v>
      </c>
      <c r="L1242" s="142" t="s">
        <v>2518</v>
      </c>
      <c r="M1242" s="11" t="str">
        <f>VLOOKUP(N1242,'Mã NV'!$A$3:$B$196,2,0)</f>
        <v>TE26</v>
      </c>
      <c r="N1242" s="310" t="s">
        <v>2575</v>
      </c>
      <c r="O1242" s="381">
        <v>44995</v>
      </c>
      <c r="P1242" s="371"/>
      <c r="Q1242" s="156"/>
      <c r="R1242" s="144" t="s">
        <v>272</v>
      </c>
    </row>
    <row r="1243" spans="1:18" ht="35.25" hidden="1" customHeight="1">
      <c r="A1243" s="15">
        <f t="shared" si="19"/>
        <v>1233</v>
      </c>
      <c r="B1243" s="11" t="s">
        <v>1834</v>
      </c>
      <c r="C1243" s="149" t="s">
        <v>723</v>
      </c>
      <c r="D1243" s="46"/>
      <c r="E1243" s="46"/>
      <c r="F1243" s="46"/>
      <c r="G1243" s="64" t="s">
        <v>2343</v>
      </c>
      <c r="H1243" s="141"/>
      <c r="I1243" s="153" t="s">
        <v>566</v>
      </c>
      <c r="J1243" s="153">
        <v>1</v>
      </c>
      <c r="K1243" s="156" t="s">
        <v>730</v>
      </c>
      <c r="L1243" s="142" t="s">
        <v>2518</v>
      </c>
      <c r="M1243" s="11" t="str">
        <f>VLOOKUP(N1243,'Mã NV'!$A$3:$B$196,2,0)</f>
        <v>TE26</v>
      </c>
      <c r="N1243" s="310" t="s">
        <v>2575</v>
      </c>
      <c r="O1243" s="381">
        <v>44995</v>
      </c>
      <c r="P1243" s="371"/>
      <c r="Q1243" s="156"/>
      <c r="R1243" s="144" t="s">
        <v>272</v>
      </c>
    </row>
    <row r="1244" spans="1:18" ht="35.25" hidden="1" customHeight="1">
      <c r="A1244" s="15">
        <f t="shared" si="19"/>
        <v>1234</v>
      </c>
      <c r="B1244" s="11" t="s">
        <v>1835</v>
      </c>
      <c r="C1244" s="149" t="s">
        <v>723</v>
      </c>
      <c r="D1244" s="169"/>
      <c r="E1244" s="169"/>
      <c r="F1244" s="169"/>
      <c r="G1244" s="64" t="s">
        <v>2429</v>
      </c>
      <c r="H1244" s="141"/>
      <c r="I1244" s="153" t="s">
        <v>566</v>
      </c>
      <c r="J1244" s="153">
        <v>1</v>
      </c>
      <c r="K1244" s="156" t="s">
        <v>730</v>
      </c>
      <c r="L1244" s="142" t="s">
        <v>2518</v>
      </c>
      <c r="M1244" s="11" t="str">
        <f>VLOOKUP(N1244,'Mã NV'!$A$3:$B$196,2,0)</f>
        <v>TE26</v>
      </c>
      <c r="N1244" s="310" t="s">
        <v>2575</v>
      </c>
      <c r="O1244" s="381">
        <v>44995</v>
      </c>
      <c r="P1244" s="371"/>
      <c r="Q1244" s="156"/>
      <c r="R1244" s="144" t="s">
        <v>272</v>
      </c>
    </row>
    <row r="1245" spans="1:18" ht="35.25" hidden="1" customHeight="1">
      <c r="A1245" s="15">
        <f t="shared" si="19"/>
        <v>1235</v>
      </c>
      <c r="B1245" s="11" t="s">
        <v>1836</v>
      </c>
      <c r="C1245" s="149" t="s">
        <v>723</v>
      </c>
      <c r="D1245" s="156"/>
      <c r="E1245" s="156"/>
      <c r="F1245" s="156"/>
      <c r="G1245" s="64" t="s">
        <v>2429</v>
      </c>
      <c r="H1245" s="141"/>
      <c r="I1245" s="153" t="s">
        <v>566</v>
      </c>
      <c r="J1245" s="153">
        <v>1</v>
      </c>
      <c r="K1245" s="156" t="s">
        <v>730</v>
      </c>
      <c r="L1245" s="142" t="s">
        <v>2518</v>
      </c>
      <c r="M1245" s="11" t="str">
        <f>VLOOKUP(N1245,'Mã NV'!$A$3:$B$196,2,0)</f>
        <v>TE26</v>
      </c>
      <c r="N1245" s="310" t="s">
        <v>2575</v>
      </c>
      <c r="O1245" s="381">
        <v>44995</v>
      </c>
      <c r="P1245" s="371"/>
      <c r="Q1245" s="156"/>
      <c r="R1245" s="144" t="s">
        <v>272</v>
      </c>
    </row>
    <row r="1246" spans="1:18" ht="35.25" hidden="1" customHeight="1">
      <c r="A1246" s="15">
        <f t="shared" si="19"/>
        <v>1236</v>
      </c>
      <c r="B1246" s="11" t="s">
        <v>1837</v>
      </c>
      <c r="C1246" s="149" t="s">
        <v>723</v>
      </c>
      <c r="D1246" s="156"/>
      <c r="E1246" s="156"/>
      <c r="F1246" s="156"/>
      <c r="G1246" s="64" t="s">
        <v>2429</v>
      </c>
      <c r="H1246" s="141"/>
      <c r="I1246" s="153" t="s">
        <v>566</v>
      </c>
      <c r="J1246" s="153">
        <v>1</v>
      </c>
      <c r="K1246" s="156" t="s">
        <v>730</v>
      </c>
      <c r="L1246" s="142" t="s">
        <v>2518</v>
      </c>
      <c r="M1246" s="11" t="str">
        <f>VLOOKUP(N1246,'Mã NV'!$A$3:$B$196,2,0)</f>
        <v>TE26</v>
      </c>
      <c r="N1246" s="310" t="s">
        <v>2575</v>
      </c>
      <c r="O1246" s="381">
        <v>44995</v>
      </c>
      <c r="P1246" s="371"/>
      <c r="Q1246" s="156"/>
      <c r="R1246" s="144" t="s">
        <v>272</v>
      </c>
    </row>
    <row r="1247" spans="1:18" ht="35.25" hidden="1" customHeight="1">
      <c r="A1247" s="15">
        <f t="shared" si="19"/>
        <v>1237</v>
      </c>
      <c r="B1247" s="123" t="s">
        <v>1838</v>
      </c>
      <c r="C1247" s="29" t="s">
        <v>1839</v>
      </c>
      <c r="D1247" s="156"/>
      <c r="E1247" s="156"/>
      <c r="F1247" s="156"/>
      <c r="G1247" s="64"/>
      <c r="H1247" s="141"/>
      <c r="I1247" s="153" t="s">
        <v>566</v>
      </c>
      <c r="J1247" s="153">
        <v>1</v>
      </c>
      <c r="K1247" s="156" t="s">
        <v>730</v>
      </c>
      <c r="L1247" s="142" t="s">
        <v>2518</v>
      </c>
      <c r="M1247" s="11" t="str">
        <f>VLOOKUP(N1247,'Mã NV'!$A$3:$B$196,2,0)</f>
        <v>TE26</v>
      </c>
      <c r="N1247" s="310" t="s">
        <v>2575</v>
      </c>
      <c r="O1247" s="381">
        <v>44197</v>
      </c>
      <c r="P1247" s="371"/>
      <c r="Q1247" s="156"/>
      <c r="R1247" s="144" t="s">
        <v>272</v>
      </c>
    </row>
    <row r="1248" spans="1:18" ht="35.25" hidden="1" customHeight="1">
      <c r="A1248" s="15">
        <f t="shared" si="19"/>
        <v>1238</v>
      </c>
      <c r="B1248" s="141" t="s">
        <v>1840</v>
      </c>
      <c r="C1248" s="146" t="s">
        <v>1841</v>
      </c>
      <c r="D1248" s="176"/>
      <c r="E1248" s="176"/>
      <c r="F1248" s="176"/>
      <c r="G1248" s="141" t="s">
        <v>1841</v>
      </c>
      <c r="H1248" s="141"/>
      <c r="I1248" s="202" t="s">
        <v>18</v>
      </c>
      <c r="J1248" s="202">
        <v>1</v>
      </c>
      <c r="K1248" s="156" t="s">
        <v>730</v>
      </c>
      <c r="L1248" s="168" t="s">
        <v>2522</v>
      </c>
      <c r="M1248" s="11" t="str">
        <f>VLOOKUP(N1248,'Mã NV'!$A$3:$B$196,2,0)</f>
        <v>TE77</v>
      </c>
      <c r="N1248" s="317" t="s">
        <v>2597</v>
      </c>
      <c r="O1248" s="380">
        <f>VLOOKUP(B1248,'Tổng hợp (3)'!$C$4:$E$985,3,0)</f>
        <v>44692</v>
      </c>
      <c r="P1248" s="378"/>
      <c r="Q1248" s="156"/>
      <c r="R1248" s="168" t="s">
        <v>272</v>
      </c>
    </row>
    <row r="1249" spans="1:18" ht="35.25" hidden="1" customHeight="1">
      <c r="A1249" s="15">
        <f t="shared" si="19"/>
        <v>1239</v>
      </c>
      <c r="B1249" s="11" t="s">
        <v>1842</v>
      </c>
      <c r="C1249" s="64" t="s">
        <v>154</v>
      </c>
      <c r="D1249" s="176"/>
      <c r="E1249" s="176"/>
      <c r="F1249" s="176"/>
      <c r="G1249" s="11" t="s">
        <v>154</v>
      </c>
      <c r="H1249" s="141"/>
      <c r="I1249" s="202" t="s">
        <v>18</v>
      </c>
      <c r="J1249" s="202">
        <v>1</v>
      </c>
      <c r="K1249" s="156" t="s">
        <v>730</v>
      </c>
      <c r="L1249" s="168" t="s">
        <v>2522</v>
      </c>
      <c r="M1249" s="11" t="str">
        <f>VLOOKUP(N1249,'Mã NV'!$A$3:$B$196,2,0)</f>
        <v>TE77</v>
      </c>
      <c r="N1249" s="317" t="s">
        <v>2597</v>
      </c>
      <c r="O1249" s="380">
        <f>VLOOKUP(B1249,'Tổng hợp (3)'!$C$4:$E$985,3,0)</f>
        <v>44719</v>
      </c>
      <c r="P1249" s="378"/>
      <c r="Q1249" s="156"/>
      <c r="R1249" s="168" t="s">
        <v>272</v>
      </c>
    </row>
    <row r="1250" spans="1:18" ht="35.25" hidden="1" customHeight="1">
      <c r="A1250" s="15">
        <f t="shared" si="19"/>
        <v>1240</v>
      </c>
      <c r="B1250" s="11" t="s">
        <v>1843</v>
      </c>
      <c r="C1250" s="64" t="s">
        <v>154</v>
      </c>
      <c r="D1250" s="156"/>
      <c r="E1250" s="156"/>
      <c r="F1250" s="156"/>
      <c r="G1250" s="11" t="s">
        <v>154</v>
      </c>
      <c r="H1250" s="141"/>
      <c r="I1250" s="202" t="s">
        <v>18</v>
      </c>
      <c r="J1250" s="202">
        <v>1</v>
      </c>
      <c r="K1250" s="156" t="s">
        <v>730</v>
      </c>
      <c r="L1250" s="168" t="s">
        <v>2522</v>
      </c>
      <c r="M1250" s="11" t="str">
        <f>VLOOKUP(N1250,'Mã NV'!$A$3:$B$196,2,0)</f>
        <v>TE77</v>
      </c>
      <c r="N1250" s="317" t="s">
        <v>2597</v>
      </c>
      <c r="O1250" s="380">
        <f>VLOOKUP(B1250,'Tổng hợp (3)'!$C$4:$E$985,3,0)</f>
        <v>44719</v>
      </c>
      <c r="P1250" s="378"/>
      <c r="Q1250" s="158"/>
      <c r="R1250" s="168" t="s">
        <v>272</v>
      </c>
    </row>
    <row r="1251" spans="1:18" ht="35.25" hidden="1" customHeight="1">
      <c r="A1251" s="15">
        <f t="shared" si="19"/>
        <v>1241</v>
      </c>
      <c r="B1251" s="11" t="s">
        <v>1844</v>
      </c>
      <c r="C1251" s="64" t="s">
        <v>154</v>
      </c>
      <c r="D1251" s="156"/>
      <c r="E1251" s="156"/>
      <c r="F1251" s="156"/>
      <c r="G1251" s="11" t="s">
        <v>154</v>
      </c>
      <c r="H1251" s="141"/>
      <c r="I1251" s="202" t="s">
        <v>18</v>
      </c>
      <c r="J1251" s="202">
        <v>1</v>
      </c>
      <c r="K1251" s="156" t="s">
        <v>730</v>
      </c>
      <c r="L1251" s="168" t="s">
        <v>2522</v>
      </c>
      <c r="M1251" s="11" t="str">
        <f>VLOOKUP(N1251,'Mã NV'!$A$3:$B$196,2,0)</f>
        <v>TE77</v>
      </c>
      <c r="N1251" s="317" t="s">
        <v>2597</v>
      </c>
      <c r="O1251" s="380">
        <f>VLOOKUP(B1251,'Tổng hợp (3)'!$C$4:$E$985,3,0)</f>
        <v>44721</v>
      </c>
      <c r="P1251" s="378"/>
      <c r="Q1251" s="158"/>
      <c r="R1251" s="168" t="s">
        <v>272</v>
      </c>
    </row>
    <row r="1252" spans="1:18" ht="35.25" hidden="1" customHeight="1">
      <c r="A1252" s="15">
        <f t="shared" si="19"/>
        <v>1242</v>
      </c>
      <c r="B1252" s="11" t="s">
        <v>1845</v>
      </c>
      <c r="C1252" s="64" t="s">
        <v>154</v>
      </c>
      <c r="D1252" s="156"/>
      <c r="E1252" s="156"/>
      <c r="F1252" s="156"/>
      <c r="G1252" s="11" t="s">
        <v>154</v>
      </c>
      <c r="H1252" s="141"/>
      <c r="I1252" s="202" t="s">
        <v>18</v>
      </c>
      <c r="J1252" s="202">
        <v>1</v>
      </c>
      <c r="K1252" s="156" t="s">
        <v>730</v>
      </c>
      <c r="L1252" s="168" t="s">
        <v>2522</v>
      </c>
      <c r="M1252" s="11" t="str">
        <f>VLOOKUP(N1252,'Mã NV'!$A$3:$B$196,2,0)</f>
        <v>TE77</v>
      </c>
      <c r="N1252" s="317" t="s">
        <v>2597</v>
      </c>
      <c r="O1252" s="380">
        <f>VLOOKUP(B1252,'Tổng hợp (3)'!$C$4:$E$985,3,0)</f>
        <v>44734</v>
      </c>
      <c r="P1252" s="378"/>
      <c r="Q1252" s="158"/>
      <c r="R1252" s="168" t="s">
        <v>272</v>
      </c>
    </row>
    <row r="1253" spans="1:18" ht="35.25" hidden="1" customHeight="1">
      <c r="A1253" s="15">
        <f t="shared" si="19"/>
        <v>1243</v>
      </c>
      <c r="B1253" s="11" t="s">
        <v>1846</v>
      </c>
      <c r="C1253" s="64" t="s">
        <v>154</v>
      </c>
      <c r="D1253" s="169"/>
      <c r="E1253" s="169"/>
      <c r="F1253" s="169"/>
      <c r="G1253" s="11" t="s">
        <v>154</v>
      </c>
      <c r="H1253" s="141"/>
      <c r="I1253" s="202" t="s">
        <v>18</v>
      </c>
      <c r="J1253" s="202">
        <v>1</v>
      </c>
      <c r="K1253" s="156" t="s">
        <v>730</v>
      </c>
      <c r="L1253" s="168" t="s">
        <v>2522</v>
      </c>
      <c r="M1253" s="11" t="str">
        <f>VLOOKUP(N1253,'Mã NV'!$A$3:$B$196,2,0)</f>
        <v>TE77</v>
      </c>
      <c r="N1253" s="317" t="s">
        <v>2597</v>
      </c>
      <c r="O1253" s="380">
        <f>VLOOKUP(B1253,'Tổng hợp (3)'!$C$4:$E$985,3,0)</f>
        <v>44734</v>
      </c>
      <c r="P1253" s="378"/>
      <c r="Q1253" s="158"/>
      <c r="R1253" s="168" t="s">
        <v>272</v>
      </c>
    </row>
    <row r="1254" spans="1:18" ht="35.25" hidden="1" customHeight="1">
      <c r="A1254" s="15">
        <f t="shared" si="19"/>
        <v>1244</v>
      </c>
      <c r="B1254" s="11" t="s">
        <v>1847</v>
      </c>
      <c r="C1254" s="64" t="s">
        <v>154</v>
      </c>
      <c r="D1254" s="169"/>
      <c r="E1254" s="169"/>
      <c r="F1254" s="169"/>
      <c r="G1254" s="11" t="s">
        <v>154</v>
      </c>
      <c r="H1254" s="141"/>
      <c r="I1254" s="202" t="s">
        <v>18</v>
      </c>
      <c r="J1254" s="202">
        <v>1</v>
      </c>
      <c r="K1254" s="156" t="s">
        <v>730</v>
      </c>
      <c r="L1254" s="168" t="s">
        <v>2522</v>
      </c>
      <c r="M1254" s="11" t="str">
        <f>VLOOKUP(N1254,'Mã NV'!$A$3:$B$196,2,0)</f>
        <v>TE77</v>
      </c>
      <c r="N1254" s="317" t="s">
        <v>2597</v>
      </c>
      <c r="O1254" s="380">
        <f>VLOOKUP(B1254,'Tổng hợp (3)'!$C$4:$E$985,3,0)</f>
        <v>44734</v>
      </c>
      <c r="P1254" s="378"/>
      <c r="Q1254" s="158"/>
      <c r="R1254" s="168" t="s">
        <v>272</v>
      </c>
    </row>
    <row r="1255" spans="1:18" ht="35.25" hidden="1" customHeight="1">
      <c r="A1255" s="15">
        <f t="shared" si="19"/>
        <v>1245</v>
      </c>
      <c r="B1255" s="11" t="s">
        <v>1848</v>
      </c>
      <c r="C1255" s="64" t="s">
        <v>154</v>
      </c>
      <c r="D1255" s="156"/>
      <c r="E1255" s="156"/>
      <c r="F1255" s="156"/>
      <c r="G1255" s="11" t="s">
        <v>154</v>
      </c>
      <c r="H1255" s="141"/>
      <c r="I1255" s="202" t="s">
        <v>18</v>
      </c>
      <c r="J1255" s="202">
        <v>1</v>
      </c>
      <c r="K1255" s="156" t="s">
        <v>730</v>
      </c>
      <c r="L1255" s="168" t="s">
        <v>2522</v>
      </c>
      <c r="M1255" s="11" t="str">
        <f>VLOOKUP(N1255,'Mã NV'!$A$3:$B$196,2,0)</f>
        <v>TE77</v>
      </c>
      <c r="N1255" s="317" t="s">
        <v>2597</v>
      </c>
      <c r="O1255" s="380">
        <f>VLOOKUP(B1255,'Tổng hợp (3)'!$C$4:$E$985,3,0)</f>
        <v>44734</v>
      </c>
      <c r="P1255" s="378"/>
      <c r="Q1255" s="156"/>
      <c r="R1255" s="168" t="s">
        <v>272</v>
      </c>
    </row>
    <row r="1256" spans="1:18" ht="35.25" hidden="1" customHeight="1">
      <c r="A1256" s="15">
        <f t="shared" si="19"/>
        <v>1246</v>
      </c>
      <c r="B1256" s="11" t="s">
        <v>1849</v>
      </c>
      <c r="C1256" s="64" t="s">
        <v>1850</v>
      </c>
      <c r="D1256" s="156"/>
      <c r="E1256" s="156"/>
      <c r="F1256" s="156"/>
      <c r="G1256" s="64" t="s">
        <v>1850</v>
      </c>
      <c r="H1256" s="141"/>
      <c r="I1256" s="202" t="s">
        <v>18</v>
      </c>
      <c r="J1256" s="202">
        <v>1</v>
      </c>
      <c r="K1256" s="156" t="s">
        <v>730</v>
      </c>
      <c r="L1256" s="168" t="s">
        <v>2522</v>
      </c>
      <c r="M1256" s="11" t="str">
        <f>VLOOKUP(N1256,'Mã NV'!$A$3:$B$196,2,0)</f>
        <v>TE77</v>
      </c>
      <c r="N1256" s="317" t="s">
        <v>2597</v>
      </c>
      <c r="O1256" s="380">
        <f>VLOOKUP(B1256,'Tổng hợp (3)'!$C$4:$E$985,3,0)</f>
        <v>44761</v>
      </c>
      <c r="P1256" s="378"/>
      <c r="Q1256" s="156"/>
      <c r="R1256" s="168" t="s">
        <v>272</v>
      </c>
    </row>
    <row r="1257" spans="1:18" ht="35.25" hidden="1" customHeight="1">
      <c r="A1257" s="15">
        <f t="shared" si="19"/>
        <v>1247</v>
      </c>
      <c r="B1257" s="11" t="s">
        <v>1851</v>
      </c>
      <c r="C1257" s="64" t="s">
        <v>1850</v>
      </c>
      <c r="D1257" s="156"/>
      <c r="E1257" s="156"/>
      <c r="F1257" s="156"/>
      <c r="G1257" s="64" t="s">
        <v>1850</v>
      </c>
      <c r="H1257" s="141"/>
      <c r="I1257" s="202" t="s">
        <v>18</v>
      </c>
      <c r="J1257" s="202">
        <v>1</v>
      </c>
      <c r="K1257" s="156" t="s">
        <v>730</v>
      </c>
      <c r="L1257" s="168" t="s">
        <v>2522</v>
      </c>
      <c r="M1257" s="11" t="str">
        <f>VLOOKUP(N1257,'Mã NV'!$A$3:$B$196,2,0)</f>
        <v>TE77</v>
      </c>
      <c r="N1257" s="317" t="s">
        <v>2597</v>
      </c>
      <c r="O1257" s="380">
        <f>VLOOKUP(B1257,'Tổng hợp (3)'!$C$4:$E$985,3,0)</f>
        <v>44761</v>
      </c>
      <c r="P1257" s="378"/>
      <c r="Q1257" s="158"/>
      <c r="R1257" s="168" t="s">
        <v>272</v>
      </c>
    </row>
    <row r="1258" spans="1:18" ht="35.25" hidden="1" customHeight="1">
      <c r="A1258" s="15">
        <f t="shared" si="19"/>
        <v>1248</v>
      </c>
      <c r="B1258" s="11" t="s">
        <v>1852</v>
      </c>
      <c r="C1258" s="64" t="s">
        <v>1850</v>
      </c>
      <c r="D1258" s="156"/>
      <c r="E1258" s="156"/>
      <c r="F1258" s="156"/>
      <c r="G1258" s="64" t="s">
        <v>1850</v>
      </c>
      <c r="H1258" s="141"/>
      <c r="I1258" s="202" t="s">
        <v>18</v>
      </c>
      <c r="J1258" s="202">
        <v>1</v>
      </c>
      <c r="K1258" s="156" t="s">
        <v>730</v>
      </c>
      <c r="L1258" s="168" t="s">
        <v>2522</v>
      </c>
      <c r="M1258" s="11" t="str">
        <f>VLOOKUP(N1258,'Mã NV'!$A$3:$B$196,2,0)</f>
        <v>TE77</v>
      </c>
      <c r="N1258" s="317" t="s">
        <v>2597</v>
      </c>
      <c r="O1258" s="380">
        <f>VLOOKUP(B1258,'Tổng hợp (3)'!$C$4:$E$985,3,0)</f>
        <v>44761</v>
      </c>
      <c r="P1258" s="378"/>
      <c r="Q1258" s="156"/>
      <c r="R1258" s="168" t="s">
        <v>272</v>
      </c>
    </row>
    <row r="1259" spans="1:18" ht="35.25" hidden="1" customHeight="1">
      <c r="A1259" s="15">
        <f t="shared" si="19"/>
        <v>1249</v>
      </c>
      <c r="B1259" s="11" t="s">
        <v>1853</v>
      </c>
      <c r="C1259" s="64" t="s">
        <v>1850</v>
      </c>
      <c r="D1259" s="156"/>
      <c r="E1259" s="156"/>
      <c r="F1259" s="156"/>
      <c r="G1259" s="64" t="s">
        <v>1850</v>
      </c>
      <c r="H1259" s="141"/>
      <c r="I1259" s="202" t="s">
        <v>18</v>
      </c>
      <c r="J1259" s="202">
        <v>1</v>
      </c>
      <c r="K1259" s="156" t="s">
        <v>730</v>
      </c>
      <c r="L1259" s="168" t="s">
        <v>2522</v>
      </c>
      <c r="M1259" s="11" t="str">
        <f>VLOOKUP(N1259,'Mã NV'!$A$3:$B$196,2,0)</f>
        <v>TE77</v>
      </c>
      <c r="N1259" s="317" t="s">
        <v>2597</v>
      </c>
      <c r="O1259" s="380">
        <f>VLOOKUP(B1259,'Tổng hợp (3)'!$C$4:$E$985,3,0)</f>
        <v>44761</v>
      </c>
      <c r="P1259" s="378"/>
      <c r="Q1259" s="156"/>
      <c r="R1259" s="168" t="s">
        <v>272</v>
      </c>
    </row>
    <row r="1260" spans="1:18" ht="35.25" hidden="1" customHeight="1">
      <c r="A1260" s="15">
        <f t="shared" si="19"/>
        <v>1250</v>
      </c>
      <c r="B1260" s="11" t="s">
        <v>1854</v>
      </c>
      <c r="C1260" s="64" t="s">
        <v>1850</v>
      </c>
      <c r="D1260" s="156"/>
      <c r="E1260" s="156"/>
      <c r="F1260" s="156"/>
      <c r="G1260" s="64" t="s">
        <v>1850</v>
      </c>
      <c r="H1260" s="141"/>
      <c r="I1260" s="202" t="s">
        <v>18</v>
      </c>
      <c r="J1260" s="202">
        <v>1</v>
      </c>
      <c r="K1260" s="156" t="s">
        <v>730</v>
      </c>
      <c r="L1260" s="168" t="s">
        <v>2522</v>
      </c>
      <c r="M1260" s="11" t="str">
        <f>VLOOKUP(N1260,'Mã NV'!$A$3:$B$196,2,0)</f>
        <v>TE77</v>
      </c>
      <c r="N1260" s="317" t="s">
        <v>2597</v>
      </c>
      <c r="O1260" s="380">
        <f>VLOOKUP(B1260,'Tổng hợp (3)'!$C$4:$E$985,3,0)</f>
        <v>44761</v>
      </c>
      <c r="P1260" s="378"/>
      <c r="Q1260" s="156"/>
      <c r="R1260" s="168" t="s">
        <v>272</v>
      </c>
    </row>
    <row r="1261" spans="1:18" ht="35.25" hidden="1" customHeight="1">
      <c r="A1261" s="15">
        <f t="shared" si="19"/>
        <v>1251</v>
      </c>
      <c r="B1261" s="11" t="s">
        <v>1855</v>
      </c>
      <c r="C1261" s="64" t="s">
        <v>1850</v>
      </c>
      <c r="D1261" s="156"/>
      <c r="E1261" s="156"/>
      <c r="F1261" s="156"/>
      <c r="G1261" s="64" t="s">
        <v>1850</v>
      </c>
      <c r="H1261" s="141"/>
      <c r="I1261" s="202" t="s">
        <v>18</v>
      </c>
      <c r="J1261" s="202">
        <v>1</v>
      </c>
      <c r="K1261" s="156" t="s">
        <v>730</v>
      </c>
      <c r="L1261" s="168" t="s">
        <v>2522</v>
      </c>
      <c r="M1261" s="11" t="str">
        <f>VLOOKUP(N1261,'Mã NV'!$A$3:$B$196,2,0)</f>
        <v>TE77</v>
      </c>
      <c r="N1261" s="317" t="s">
        <v>2597</v>
      </c>
      <c r="O1261" s="380">
        <f>VLOOKUP(B1261,'Tổng hợp (3)'!$C$4:$E$985,3,0)</f>
        <v>44761</v>
      </c>
      <c r="P1261" s="378"/>
      <c r="Q1261" s="156"/>
      <c r="R1261" s="168" t="s">
        <v>272</v>
      </c>
    </row>
    <row r="1262" spans="1:18" ht="35.25" hidden="1" customHeight="1">
      <c r="A1262" s="15">
        <f t="shared" si="19"/>
        <v>1252</v>
      </c>
      <c r="B1262" s="142" t="s">
        <v>1856</v>
      </c>
      <c r="C1262" s="172" t="s">
        <v>1857</v>
      </c>
      <c r="D1262" s="156"/>
      <c r="E1262" s="156"/>
      <c r="F1262" s="156"/>
      <c r="G1262" s="172" t="s">
        <v>1857</v>
      </c>
      <c r="H1262" s="141"/>
      <c r="I1262" s="202" t="s">
        <v>18</v>
      </c>
      <c r="J1262" s="202">
        <v>1</v>
      </c>
      <c r="K1262" s="156" t="s">
        <v>730</v>
      </c>
      <c r="L1262" s="168" t="s">
        <v>2522</v>
      </c>
      <c r="M1262" s="11" t="str">
        <f>VLOOKUP(N1262,'Mã NV'!$A$3:$B$196,2,0)</f>
        <v>TE77</v>
      </c>
      <c r="N1262" s="317" t="s">
        <v>2597</v>
      </c>
      <c r="O1262" s="381">
        <v>44197</v>
      </c>
      <c r="P1262" s="371"/>
      <c r="Q1262" s="156"/>
      <c r="R1262" s="168" t="s">
        <v>272</v>
      </c>
    </row>
    <row r="1263" spans="1:18" ht="35.25" hidden="1" customHeight="1">
      <c r="A1263" s="15">
        <f t="shared" si="19"/>
        <v>1253</v>
      </c>
      <c r="B1263" s="142" t="s">
        <v>1858</v>
      </c>
      <c r="C1263" s="172" t="s">
        <v>1857</v>
      </c>
      <c r="D1263" s="156"/>
      <c r="E1263" s="156"/>
      <c r="F1263" s="156"/>
      <c r="G1263" s="172" t="s">
        <v>1857</v>
      </c>
      <c r="H1263" s="141"/>
      <c r="I1263" s="202" t="s">
        <v>18</v>
      </c>
      <c r="J1263" s="202">
        <v>1</v>
      </c>
      <c r="K1263" s="156" t="s">
        <v>730</v>
      </c>
      <c r="L1263" s="168" t="s">
        <v>2522</v>
      </c>
      <c r="M1263" s="11" t="str">
        <f>VLOOKUP(N1263,'Mã NV'!$A$3:$B$196,2,0)</f>
        <v>TE77</v>
      </c>
      <c r="N1263" s="317" t="s">
        <v>2597</v>
      </c>
      <c r="O1263" s="381">
        <v>44197</v>
      </c>
      <c r="P1263" s="371"/>
      <c r="Q1263" s="156"/>
      <c r="R1263" s="168" t="s">
        <v>272</v>
      </c>
    </row>
    <row r="1264" spans="1:18" ht="35.25" hidden="1" customHeight="1">
      <c r="A1264" s="15">
        <f t="shared" si="19"/>
        <v>1254</v>
      </c>
      <c r="B1264" s="142" t="s">
        <v>1859</v>
      </c>
      <c r="C1264" s="172" t="s">
        <v>1857</v>
      </c>
      <c r="D1264" s="156"/>
      <c r="E1264" s="156"/>
      <c r="F1264" s="156"/>
      <c r="G1264" s="172" t="s">
        <v>1857</v>
      </c>
      <c r="H1264" s="141"/>
      <c r="I1264" s="202" t="s">
        <v>18</v>
      </c>
      <c r="J1264" s="202">
        <v>1</v>
      </c>
      <c r="K1264" s="156" t="s">
        <v>730</v>
      </c>
      <c r="L1264" s="168" t="s">
        <v>2522</v>
      </c>
      <c r="M1264" s="11" t="str">
        <f>VLOOKUP(N1264,'Mã NV'!$A$3:$B$196,2,0)</f>
        <v>TE77</v>
      </c>
      <c r="N1264" s="317" t="s">
        <v>2597</v>
      </c>
      <c r="O1264" s="381">
        <v>44197</v>
      </c>
      <c r="P1264" s="371"/>
      <c r="Q1264" s="156"/>
      <c r="R1264" s="168" t="s">
        <v>272</v>
      </c>
    </row>
    <row r="1265" spans="1:39" ht="35.25" hidden="1" customHeight="1">
      <c r="A1265" s="15">
        <f t="shared" si="19"/>
        <v>1255</v>
      </c>
      <c r="B1265" s="142" t="s">
        <v>1860</v>
      </c>
      <c r="C1265" s="172" t="s">
        <v>1857</v>
      </c>
      <c r="D1265" s="156"/>
      <c r="E1265" s="156"/>
      <c r="F1265" s="156"/>
      <c r="G1265" s="172" t="s">
        <v>1857</v>
      </c>
      <c r="H1265" s="141"/>
      <c r="I1265" s="202" t="s">
        <v>18</v>
      </c>
      <c r="J1265" s="202">
        <v>1</v>
      </c>
      <c r="K1265" s="156" t="s">
        <v>730</v>
      </c>
      <c r="L1265" s="168" t="s">
        <v>2522</v>
      </c>
      <c r="M1265" s="11" t="str">
        <f>VLOOKUP(N1265,'Mã NV'!$A$3:$B$196,2,0)</f>
        <v>TE77</v>
      </c>
      <c r="N1265" s="317" t="s">
        <v>2597</v>
      </c>
      <c r="O1265" s="381">
        <v>44197</v>
      </c>
      <c r="P1265" s="371"/>
      <c r="Q1265" s="156"/>
      <c r="R1265" s="168" t="s">
        <v>272</v>
      </c>
    </row>
    <row r="1266" spans="1:39" ht="35.25" hidden="1" customHeight="1">
      <c r="A1266" s="15">
        <f t="shared" si="19"/>
        <v>1256</v>
      </c>
      <c r="B1266" s="142" t="s">
        <v>1861</v>
      </c>
      <c r="C1266" s="172" t="s">
        <v>1857</v>
      </c>
      <c r="D1266" s="156"/>
      <c r="E1266" s="156"/>
      <c r="F1266" s="156"/>
      <c r="G1266" s="172" t="s">
        <v>1857</v>
      </c>
      <c r="H1266" s="141"/>
      <c r="I1266" s="202" t="s">
        <v>18</v>
      </c>
      <c r="J1266" s="202">
        <v>1</v>
      </c>
      <c r="K1266" s="156" t="s">
        <v>730</v>
      </c>
      <c r="L1266" s="168" t="s">
        <v>2522</v>
      </c>
      <c r="M1266" s="11" t="str">
        <f>VLOOKUP(N1266,'Mã NV'!$A$3:$B$196,2,0)</f>
        <v>TE77</v>
      </c>
      <c r="N1266" s="317" t="s">
        <v>2597</v>
      </c>
      <c r="O1266" s="381">
        <v>44197</v>
      </c>
      <c r="P1266" s="371"/>
      <c r="Q1266" s="156"/>
      <c r="R1266" s="168" t="s">
        <v>272</v>
      </c>
    </row>
    <row r="1267" spans="1:39" ht="35.25" hidden="1" customHeight="1">
      <c r="A1267" s="15">
        <f t="shared" si="19"/>
        <v>1257</v>
      </c>
      <c r="B1267" s="142" t="s">
        <v>1862</v>
      </c>
      <c r="C1267" s="172" t="s">
        <v>1857</v>
      </c>
      <c r="D1267" s="145"/>
      <c r="E1267" s="145"/>
      <c r="F1267" s="145"/>
      <c r="G1267" s="172" t="s">
        <v>1857</v>
      </c>
      <c r="H1267" s="141"/>
      <c r="I1267" s="202" t="s">
        <v>18</v>
      </c>
      <c r="J1267" s="202">
        <v>1</v>
      </c>
      <c r="K1267" s="156" t="s">
        <v>730</v>
      </c>
      <c r="L1267" s="168" t="s">
        <v>2522</v>
      </c>
      <c r="M1267" s="11" t="str">
        <f>VLOOKUP(N1267,'Mã NV'!$A$3:$B$196,2,0)</f>
        <v>TE77</v>
      </c>
      <c r="N1267" s="317" t="s">
        <v>2597</v>
      </c>
      <c r="O1267" s="381">
        <v>44197</v>
      </c>
      <c r="P1267" s="371"/>
      <c r="Q1267" s="156"/>
      <c r="R1267" s="168" t="s">
        <v>272</v>
      </c>
    </row>
    <row r="1268" spans="1:39" ht="35.25" hidden="1" customHeight="1">
      <c r="A1268" s="15">
        <f t="shared" si="19"/>
        <v>1258</v>
      </c>
      <c r="B1268" s="142" t="s">
        <v>1863</v>
      </c>
      <c r="C1268" s="172" t="s">
        <v>1857</v>
      </c>
      <c r="D1268" s="156"/>
      <c r="E1268" s="156"/>
      <c r="F1268" s="156"/>
      <c r="G1268" s="172" t="s">
        <v>1857</v>
      </c>
      <c r="H1268" s="141"/>
      <c r="I1268" s="202" t="s">
        <v>18</v>
      </c>
      <c r="J1268" s="202">
        <v>1</v>
      </c>
      <c r="K1268" s="156" t="s">
        <v>730</v>
      </c>
      <c r="L1268" s="168" t="s">
        <v>2522</v>
      </c>
      <c r="M1268" s="11" t="str">
        <f>VLOOKUP(N1268,'Mã NV'!$A$3:$B$196,2,0)</f>
        <v>TE77</v>
      </c>
      <c r="N1268" s="317" t="s">
        <v>2597</v>
      </c>
      <c r="O1268" s="381">
        <v>44197</v>
      </c>
      <c r="P1268" s="371"/>
      <c r="Q1268" s="156"/>
      <c r="R1268" s="168" t="s">
        <v>272</v>
      </c>
    </row>
    <row r="1269" spans="1:39" ht="35.25" hidden="1" customHeight="1">
      <c r="A1269" s="15">
        <f t="shared" si="19"/>
        <v>1259</v>
      </c>
      <c r="B1269" s="142" t="s">
        <v>1864</v>
      </c>
      <c r="C1269" s="172" t="s">
        <v>1857</v>
      </c>
      <c r="D1269" s="156"/>
      <c r="E1269" s="156"/>
      <c r="F1269" s="156"/>
      <c r="G1269" s="172" t="s">
        <v>1857</v>
      </c>
      <c r="H1269" s="141"/>
      <c r="I1269" s="202" t="s">
        <v>18</v>
      </c>
      <c r="J1269" s="202">
        <v>1</v>
      </c>
      <c r="K1269" s="156" t="s">
        <v>730</v>
      </c>
      <c r="L1269" s="168" t="s">
        <v>2522</v>
      </c>
      <c r="M1269" s="11" t="str">
        <f>VLOOKUP(N1269,'Mã NV'!$A$3:$B$196,2,0)</f>
        <v>TE77</v>
      </c>
      <c r="N1269" s="317" t="s">
        <v>2597</v>
      </c>
      <c r="O1269" s="381">
        <v>44197</v>
      </c>
      <c r="P1269" s="371"/>
      <c r="Q1269" s="156"/>
      <c r="R1269" s="168" t="s">
        <v>272</v>
      </c>
    </row>
    <row r="1270" spans="1:39" s="136" customFormat="1" ht="35.25" hidden="1" customHeight="1">
      <c r="A1270" s="15">
        <f t="shared" si="19"/>
        <v>1260</v>
      </c>
      <c r="B1270" s="142" t="s">
        <v>1865</v>
      </c>
      <c r="C1270" s="172" t="s">
        <v>1857</v>
      </c>
      <c r="D1270" s="156"/>
      <c r="E1270" s="156"/>
      <c r="F1270" s="156"/>
      <c r="G1270" s="172" t="s">
        <v>1857</v>
      </c>
      <c r="H1270" s="141"/>
      <c r="I1270" s="202" t="s">
        <v>18</v>
      </c>
      <c r="J1270" s="202">
        <v>1</v>
      </c>
      <c r="K1270" s="156" t="s">
        <v>730</v>
      </c>
      <c r="L1270" s="168" t="s">
        <v>2522</v>
      </c>
      <c r="M1270" s="11" t="str">
        <f>VLOOKUP(N1270,'Mã NV'!$A$3:$B$196,2,0)</f>
        <v>TE77</v>
      </c>
      <c r="N1270" s="317" t="s">
        <v>2597</v>
      </c>
      <c r="O1270" s="381">
        <v>44197</v>
      </c>
      <c r="P1270" s="371"/>
      <c r="Q1270" s="156"/>
      <c r="R1270" s="168" t="s">
        <v>272</v>
      </c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</row>
    <row r="1271" spans="1:39" ht="35.25" hidden="1" customHeight="1">
      <c r="A1271" s="15">
        <f t="shared" si="19"/>
        <v>1261</v>
      </c>
      <c r="B1271" s="142" t="s">
        <v>1866</v>
      </c>
      <c r="C1271" s="172" t="s">
        <v>1857</v>
      </c>
      <c r="D1271" s="156"/>
      <c r="E1271" s="156"/>
      <c r="F1271" s="156"/>
      <c r="G1271" s="172" t="s">
        <v>1857</v>
      </c>
      <c r="H1271" s="141"/>
      <c r="I1271" s="202" t="s">
        <v>18</v>
      </c>
      <c r="J1271" s="202">
        <v>1</v>
      </c>
      <c r="K1271" s="156" t="s">
        <v>730</v>
      </c>
      <c r="L1271" s="168" t="s">
        <v>2522</v>
      </c>
      <c r="M1271" s="11" t="str">
        <f>VLOOKUP(N1271,'Mã NV'!$A$3:$B$196,2,0)</f>
        <v>TE77</v>
      </c>
      <c r="N1271" s="317" t="s">
        <v>2597</v>
      </c>
      <c r="O1271" s="381">
        <v>44197</v>
      </c>
      <c r="P1271" s="371"/>
      <c r="Q1271" s="156"/>
      <c r="R1271" s="168" t="s">
        <v>272</v>
      </c>
    </row>
    <row r="1272" spans="1:39" ht="35.25" hidden="1" customHeight="1">
      <c r="A1272" s="15">
        <f t="shared" si="19"/>
        <v>1262</v>
      </c>
      <c r="B1272" s="161" t="s">
        <v>1867</v>
      </c>
      <c r="C1272" s="191" t="s">
        <v>1392</v>
      </c>
      <c r="D1272" s="156"/>
      <c r="E1272" s="156"/>
      <c r="F1272" s="156"/>
      <c r="G1272" s="168" t="s">
        <v>2430</v>
      </c>
      <c r="H1272" s="141"/>
      <c r="I1272" s="202" t="s">
        <v>18</v>
      </c>
      <c r="J1272" s="202">
        <v>5</v>
      </c>
      <c r="K1272" s="156" t="s">
        <v>730</v>
      </c>
      <c r="L1272" s="168" t="s">
        <v>2522</v>
      </c>
      <c r="M1272" s="11" t="str">
        <f>VLOOKUP(N1272,'Mã NV'!$A$3:$B$196,2,0)</f>
        <v>TE77</v>
      </c>
      <c r="N1272" s="317" t="s">
        <v>2597</v>
      </c>
      <c r="O1272" s="381">
        <v>44197</v>
      </c>
      <c r="P1272" s="371"/>
      <c r="Q1272" s="156"/>
      <c r="R1272" s="168" t="s">
        <v>2592</v>
      </c>
    </row>
    <row r="1273" spans="1:39" ht="35.25" hidden="1" customHeight="1">
      <c r="A1273" s="15">
        <f t="shared" si="19"/>
        <v>1263</v>
      </c>
      <c r="B1273" s="161" t="s">
        <v>1868</v>
      </c>
      <c r="C1273" s="191" t="s">
        <v>723</v>
      </c>
      <c r="D1273" s="156"/>
      <c r="E1273" s="156"/>
      <c r="F1273" s="156"/>
      <c r="G1273" s="168" t="s">
        <v>2431</v>
      </c>
      <c r="H1273" s="141"/>
      <c r="I1273" s="202" t="s">
        <v>18</v>
      </c>
      <c r="J1273" s="202">
        <v>1</v>
      </c>
      <c r="K1273" s="156" t="s">
        <v>730</v>
      </c>
      <c r="L1273" s="168" t="s">
        <v>2522</v>
      </c>
      <c r="M1273" s="11" t="str">
        <f>VLOOKUP(N1273,'Mã NV'!$A$3:$B$196,2,0)</f>
        <v>TE77</v>
      </c>
      <c r="N1273" s="317" t="s">
        <v>2597</v>
      </c>
      <c r="O1273" s="381">
        <v>44197</v>
      </c>
      <c r="P1273" s="371"/>
      <c r="Q1273" s="156"/>
      <c r="R1273" s="168" t="s">
        <v>2592</v>
      </c>
    </row>
    <row r="1274" spans="1:39" ht="35.25" hidden="1" customHeight="1">
      <c r="A1274" s="15">
        <f t="shared" si="19"/>
        <v>1264</v>
      </c>
      <c r="B1274" s="161" t="s">
        <v>1869</v>
      </c>
      <c r="C1274" s="191" t="s">
        <v>723</v>
      </c>
      <c r="D1274" s="156"/>
      <c r="E1274" s="156"/>
      <c r="F1274" s="156"/>
      <c r="G1274" s="168" t="s">
        <v>2431</v>
      </c>
      <c r="H1274" s="141"/>
      <c r="I1274" s="202" t="s">
        <v>18</v>
      </c>
      <c r="J1274" s="202">
        <v>1</v>
      </c>
      <c r="K1274" s="156" t="s">
        <v>730</v>
      </c>
      <c r="L1274" s="168" t="s">
        <v>2522</v>
      </c>
      <c r="M1274" s="11" t="str">
        <f>VLOOKUP(N1274,'Mã NV'!$A$3:$B$196,2,0)</f>
        <v>TE77</v>
      </c>
      <c r="N1274" s="317" t="s">
        <v>2597</v>
      </c>
      <c r="O1274" s="381">
        <v>44197</v>
      </c>
      <c r="P1274" s="371"/>
      <c r="Q1274" s="156"/>
      <c r="R1274" s="168" t="s">
        <v>2592</v>
      </c>
    </row>
    <row r="1275" spans="1:39" ht="35.25" hidden="1" customHeight="1">
      <c r="A1275" s="15">
        <f t="shared" si="19"/>
        <v>1265</v>
      </c>
      <c r="B1275" s="161" t="s">
        <v>1870</v>
      </c>
      <c r="C1275" s="191" t="s">
        <v>723</v>
      </c>
      <c r="D1275" s="156"/>
      <c r="E1275" s="156"/>
      <c r="F1275" s="156"/>
      <c r="G1275" s="168" t="s">
        <v>2431</v>
      </c>
      <c r="H1275" s="141"/>
      <c r="I1275" s="202" t="s">
        <v>18</v>
      </c>
      <c r="J1275" s="202">
        <v>1</v>
      </c>
      <c r="K1275" s="156" t="s">
        <v>730</v>
      </c>
      <c r="L1275" s="168" t="s">
        <v>2522</v>
      </c>
      <c r="M1275" s="11" t="str">
        <f>VLOOKUP(N1275,'Mã NV'!$A$3:$B$196,2,0)</f>
        <v>TE77</v>
      </c>
      <c r="N1275" s="317" t="s">
        <v>2597</v>
      </c>
      <c r="O1275" s="381">
        <v>44197</v>
      </c>
      <c r="P1275" s="371"/>
      <c r="Q1275" s="156"/>
      <c r="R1275" s="168" t="s">
        <v>2592</v>
      </c>
    </row>
    <row r="1276" spans="1:39" ht="35.25" hidden="1" customHeight="1">
      <c r="A1276" s="15">
        <f t="shared" si="19"/>
        <v>1266</v>
      </c>
      <c r="B1276" s="161" t="s">
        <v>1871</v>
      </c>
      <c r="C1276" s="191" t="s">
        <v>723</v>
      </c>
      <c r="D1276" s="145"/>
      <c r="E1276" s="145"/>
      <c r="F1276" s="145"/>
      <c r="G1276" s="168" t="s">
        <v>2431</v>
      </c>
      <c r="H1276" s="141"/>
      <c r="I1276" s="202" t="s">
        <v>18</v>
      </c>
      <c r="J1276" s="202">
        <v>1</v>
      </c>
      <c r="K1276" s="156" t="s">
        <v>730</v>
      </c>
      <c r="L1276" s="168" t="s">
        <v>2522</v>
      </c>
      <c r="M1276" s="11" t="str">
        <f>VLOOKUP(N1276,'Mã NV'!$A$3:$B$196,2,0)</f>
        <v>TE77</v>
      </c>
      <c r="N1276" s="317" t="s">
        <v>2597</v>
      </c>
      <c r="O1276" s="381">
        <v>44197</v>
      </c>
      <c r="P1276" s="371"/>
      <c r="Q1276" s="156"/>
      <c r="R1276" s="168" t="s">
        <v>2592</v>
      </c>
    </row>
    <row r="1277" spans="1:39" ht="35.25" hidden="1" customHeight="1">
      <c r="A1277" s="15">
        <f t="shared" si="19"/>
        <v>1267</v>
      </c>
      <c r="B1277" s="161" t="s">
        <v>1872</v>
      </c>
      <c r="C1277" s="191" t="s">
        <v>723</v>
      </c>
      <c r="D1277" s="231"/>
      <c r="E1277" s="231"/>
      <c r="F1277" s="231"/>
      <c r="G1277" s="168" t="s">
        <v>2431</v>
      </c>
      <c r="H1277" s="141"/>
      <c r="I1277" s="202" t="s">
        <v>18</v>
      </c>
      <c r="J1277" s="202">
        <v>1</v>
      </c>
      <c r="K1277" s="156" t="s">
        <v>730</v>
      </c>
      <c r="L1277" s="168" t="s">
        <v>2522</v>
      </c>
      <c r="M1277" s="11" t="str">
        <f>VLOOKUP(N1277,'Mã NV'!$A$3:$B$196,2,0)</f>
        <v>TE77</v>
      </c>
      <c r="N1277" s="317" t="s">
        <v>2597</v>
      </c>
      <c r="O1277" s="381">
        <v>44197</v>
      </c>
      <c r="P1277" s="371"/>
      <c r="Q1277" s="232"/>
      <c r="R1277" s="168" t="s">
        <v>2592</v>
      </c>
    </row>
    <row r="1278" spans="1:39" ht="35.25" hidden="1" customHeight="1">
      <c r="A1278" s="15">
        <f t="shared" si="19"/>
        <v>1268</v>
      </c>
      <c r="B1278" s="161" t="s">
        <v>1873</v>
      </c>
      <c r="C1278" s="191" t="s">
        <v>723</v>
      </c>
      <c r="D1278" s="231"/>
      <c r="E1278" s="231"/>
      <c r="F1278" s="231"/>
      <c r="G1278" s="168" t="s">
        <v>2431</v>
      </c>
      <c r="H1278" s="141"/>
      <c r="I1278" s="202" t="s">
        <v>18</v>
      </c>
      <c r="J1278" s="202">
        <v>1</v>
      </c>
      <c r="K1278" s="156" t="s">
        <v>730</v>
      </c>
      <c r="L1278" s="168" t="s">
        <v>2522</v>
      </c>
      <c r="M1278" s="11" t="str">
        <f>VLOOKUP(N1278,'Mã NV'!$A$3:$B$196,2,0)</f>
        <v>TE77</v>
      </c>
      <c r="N1278" s="317" t="s">
        <v>2597</v>
      </c>
      <c r="O1278" s="381">
        <v>44197</v>
      </c>
      <c r="P1278" s="371"/>
      <c r="Q1278" s="232"/>
      <c r="R1278" s="168" t="s">
        <v>2592</v>
      </c>
    </row>
    <row r="1279" spans="1:39" ht="35.25" hidden="1" customHeight="1">
      <c r="A1279" s="15">
        <f t="shared" si="19"/>
        <v>1269</v>
      </c>
      <c r="B1279" s="161" t="s">
        <v>1874</v>
      </c>
      <c r="C1279" s="191" t="s">
        <v>723</v>
      </c>
      <c r="D1279" s="231"/>
      <c r="E1279" s="231"/>
      <c r="F1279" s="231"/>
      <c r="G1279" s="168" t="s">
        <v>2432</v>
      </c>
      <c r="H1279" s="141"/>
      <c r="I1279" s="202" t="s">
        <v>18</v>
      </c>
      <c r="J1279" s="202">
        <v>1</v>
      </c>
      <c r="K1279" s="156" t="s">
        <v>730</v>
      </c>
      <c r="L1279" s="168" t="s">
        <v>2522</v>
      </c>
      <c r="M1279" s="11" t="str">
        <f>VLOOKUP(N1279,'Mã NV'!$A$3:$B$196,2,0)</f>
        <v>TE77</v>
      </c>
      <c r="N1279" s="317" t="s">
        <v>2597</v>
      </c>
      <c r="O1279" s="381">
        <v>44197</v>
      </c>
      <c r="P1279" s="371"/>
      <c r="Q1279" s="232"/>
      <c r="R1279" s="168" t="s">
        <v>2592</v>
      </c>
    </row>
    <row r="1280" spans="1:39" ht="35.25" hidden="1" customHeight="1">
      <c r="A1280" s="15">
        <f t="shared" si="19"/>
        <v>1270</v>
      </c>
      <c r="B1280" s="161" t="s">
        <v>1875</v>
      </c>
      <c r="C1280" s="191" t="s">
        <v>723</v>
      </c>
      <c r="D1280" s="231"/>
      <c r="E1280" s="231"/>
      <c r="F1280" s="231"/>
      <c r="G1280" s="168" t="s">
        <v>2433</v>
      </c>
      <c r="H1280" s="141"/>
      <c r="I1280" s="202" t="s">
        <v>18</v>
      </c>
      <c r="J1280" s="202">
        <v>1</v>
      </c>
      <c r="K1280" s="156" t="s">
        <v>730</v>
      </c>
      <c r="L1280" s="168" t="s">
        <v>2522</v>
      </c>
      <c r="M1280" s="11" t="str">
        <f>VLOOKUP(N1280,'Mã NV'!$A$3:$B$196,2,0)</f>
        <v>TE77</v>
      </c>
      <c r="N1280" s="317" t="s">
        <v>2597</v>
      </c>
      <c r="O1280" s="381">
        <v>44197</v>
      </c>
      <c r="P1280" s="371"/>
      <c r="Q1280" s="232"/>
      <c r="R1280" s="168" t="s">
        <v>2592</v>
      </c>
    </row>
    <row r="1281" spans="1:39" ht="35.25" hidden="1" customHeight="1">
      <c r="A1281" s="15">
        <f t="shared" si="19"/>
        <v>1271</v>
      </c>
      <c r="B1281" s="161" t="s">
        <v>1876</v>
      </c>
      <c r="C1281" s="191" t="s">
        <v>723</v>
      </c>
      <c r="D1281" s="231"/>
      <c r="E1281" s="231"/>
      <c r="F1281" s="231"/>
      <c r="G1281" s="168" t="s">
        <v>2433</v>
      </c>
      <c r="H1281" s="141"/>
      <c r="I1281" s="202" t="s">
        <v>18</v>
      </c>
      <c r="J1281" s="202">
        <v>1</v>
      </c>
      <c r="K1281" s="156" t="s">
        <v>730</v>
      </c>
      <c r="L1281" s="168" t="s">
        <v>2522</v>
      </c>
      <c r="M1281" s="11" t="str">
        <f>VLOOKUP(N1281,'Mã NV'!$A$3:$B$196,2,0)</f>
        <v>TE77</v>
      </c>
      <c r="N1281" s="317" t="s">
        <v>2597</v>
      </c>
      <c r="O1281" s="381">
        <v>44197</v>
      </c>
      <c r="P1281" s="371"/>
      <c r="Q1281" s="232"/>
      <c r="R1281" s="168" t="s">
        <v>2592</v>
      </c>
    </row>
    <row r="1282" spans="1:39" ht="35.25" hidden="1" customHeight="1">
      <c r="A1282" s="15">
        <f t="shared" si="19"/>
        <v>1272</v>
      </c>
      <c r="B1282" s="161" t="s">
        <v>1877</v>
      </c>
      <c r="C1282" s="191" t="s">
        <v>723</v>
      </c>
      <c r="D1282" s="231"/>
      <c r="E1282" s="231"/>
      <c r="F1282" s="231"/>
      <c r="G1282" s="168" t="s">
        <v>2433</v>
      </c>
      <c r="H1282" s="141"/>
      <c r="I1282" s="202" t="s">
        <v>18</v>
      </c>
      <c r="J1282" s="202">
        <v>1</v>
      </c>
      <c r="K1282" s="156" t="s">
        <v>730</v>
      </c>
      <c r="L1282" s="168" t="s">
        <v>2522</v>
      </c>
      <c r="M1282" s="11" t="str">
        <f>VLOOKUP(N1282,'Mã NV'!$A$3:$B$196,2,0)</f>
        <v>TE77</v>
      </c>
      <c r="N1282" s="317" t="s">
        <v>2597</v>
      </c>
      <c r="O1282" s="381">
        <v>44197</v>
      </c>
      <c r="P1282" s="371"/>
      <c r="Q1282" s="232"/>
      <c r="R1282" s="168" t="s">
        <v>2592</v>
      </c>
    </row>
    <row r="1283" spans="1:39" ht="35.25" hidden="1" customHeight="1">
      <c r="A1283" s="15">
        <f t="shared" si="19"/>
        <v>1273</v>
      </c>
      <c r="B1283" s="161" t="s">
        <v>1878</v>
      </c>
      <c r="C1283" s="191" t="s">
        <v>723</v>
      </c>
      <c r="D1283" s="231"/>
      <c r="E1283" s="231"/>
      <c r="F1283" s="231"/>
      <c r="G1283" s="168" t="s">
        <v>2433</v>
      </c>
      <c r="H1283" s="141"/>
      <c r="I1283" s="202" t="s">
        <v>18</v>
      </c>
      <c r="J1283" s="202">
        <v>1</v>
      </c>
      <c r="K1283" s="156" t="s">
        <v>730</v>
      </c>
      <c r="L1283" s="168" t="s">
        <v>2522</v>
      </c>
      <c r="M1283" s="11" t="str">
        <f>VLOOKUP(N1283,'Mã NV'!$A$3:$B$196,2,0)</f>
        <v>TE77</v>
      </c>
      <c r="N1283" s="317" t="s">
        <v>2597</v>
      </c>
      <c r="O1283" s="381">
        <v>44197</v>
      </c>
      <c r="P1283" s="371"/>
      <c r="Q1283" s="232"/>
      <c r="R1283" s="168" t="s">
        <v>2592</v>
      </c>
    </row>
    <row r="1284" spans="1:39" ht="35.25" hidden="1" customHeight="1">
      <c r="A1284" s="15">
        <f t="shared" si="19"/>
        <v>1274</v>
      </c>
      <c r="B1284" s="161" t="s">
        <v>1879</v>
      </c>
      <c r="C1284" s="191" t="s">
        <v>723</v>
      </c>
      <c r="D1284" s="231"/>
      <c r="E1284" s="231"/>
      <c r="F1284" s="231"/>
      <c r="G1284" s="168" t="s">
        <v>2433</v>
      </c>
      <c r="H1284" s="141"/>
      <c r="I1284" s="202" t="s">
        <v>18</v>
      </c>
      <c r="J1284" s="202">
        <v>1</v>
      </c>
      <c r="K1284" s="156" t="s">
        <v>730</v>
      </c>
      <c r="L1284" s="168" t="s">
        <v>2522</v>
      </c>
      <c r="M1284" s="11" t="str">
        <f>VLOOKUP(N1284,'Mã NV'!$A$3:$B$196,2,0)</f>
        <v>TE77</v>
      </c>
      <c r="N1284" s="317" t="s">
        <v>2597</v>
      </c>
      <c r="O1284" s="381">
        <v>44197</v>
      </c>
      <c r="P1284" s="371"/>
      <c r="Q1284" s="232"/>
      <c r="R1284" s="168" t="s">
        <v>2592</v>
      </c>
    </row>
    <row r="1285" spans="1:39" ht="35.25" hidden="1" customHeight="1">
      <c r="A1285" s="15">
        <f t="shared" si="19"/>
        <v>1275</v>
      </c>
      <c r="B1285" s="161" t="s">
        <v>1880</v>
      </c>
      <c r="C1285" s="191" t="s">
        <v>723</v>
      </c>
      <c r="D1285" s="231"/>
      <c r="E1285" s="231"/>
      <c r="F1285" s="231"/>
      <c r="G1285" s="168" t="s">
        <v>2433</v>
      </c>
      <c r="H1285" s="141"/>
      <c r="I1285" s="202" t="s">
        <v>18</v>
      </c>
      <c r="J1285" s="202">
        <v>1</v>
      </c>
      <c r="K1285" s="156" t="s">
        <v>730</v>
      </c>
      <c r="L1285" s="168" t="s">
        <v>2522</v>
      </c>
      <c r="M1285" s="11" t="str">
        <f>VLOOKUP(N1285,'Mã NV'!$A$3:$B$196,2,0)</f>
        <v>TE77</v>
      </c>
      <c r="N1285" s="317" t="s">
        <v>2597</v>
      </c>
      <c r="O1285" s="381">
        <v>44197</v>
      </c>
      <c r="P1285" s="371"/>
      <c r="Q1285" s="233"/>
      <c r="R1285" s="168" t="s">
        <v>2592</v>
      </c>
    </row>
    <row r="1286" spans="1:39" ht="35.25" hidden="1" customHeight="1">
      <c r="A1286" s="15">
        <f t="shared" si="19"/>
        <v>1276</v>
      </c>
      <c r="B1286" s="161" t="s">
        <v>1881</v>
      </c>
      <c r="C1286" s="191" t="s">
        <v>723</v>
      </c>
      <c r="D1286" s="231"/>
      <c r="E1286" s="231"/>
      <c r="F1286" s="231"/>
      <c r="G1286" s="168" t="s">
        <v>2433</v>
      </c>
      <c r="H1286" s="141"/>
      <c r="I1286" s="202" t="s">
        <v>18</v>
      </c>
      <c r="J1286" s="202">
        <v>1</v>
      </c>
      <c r="K1286" s="156" t="s">
        <v>730</v>
      </c>
      <c r="L1286" s="168" t="s">
        <v>2522</v>
      </c>
      <c r="M1286" s="11" t="str">
        <f>VLOOKUP(N1286,'Mã NV'!$A$3:$B$196,2,0)</f>
        <v>TE77</v>
      </c>
      <c r="N1286" s="317" t="s">
        <v>2597</v>
      </c>
      <c r="O1286" s="381">
        <v>44197</v>
      </c>
      <c r="P1286" s="371"/>
      <c r="Q1286" s="233"/>
      <c r="R1286" s="168" t="s">
        <v>2592</v>
      </c>
    </row>
    <row r="1287" spans="1:39" ht="35.25" hidden="1" customHeight="1">
      <c r="A1287" s="15">
        <f t="shared" si="19"/>
        <v>1277</v>
      </c>
      <c r="B1287" s="161" t="s">
        <v>1882</v>
      </c>
      <c r="C1287" s="191" t="s">
        <v>723</v>
      </c>
      <c r="D1287" s="231"/>
      <c r="E1287" s="231"/>
      <c r="F1287" s="231"/>
      <c r="G1287" s="168" t="s">
        <v>2433</v>
      </c>
      <c r="H1287" s="141"/>
      <c r="I1287" s="202" t="s">
        <v>18</v>
      </c>
      <c r="J1287" s="202">
        <v>1</v>
      </c>
      <c r="K1287" s="156" t="s">
        <v>730</v>
      </c>
      <c r="L1287" s="168" t="s">
        <v>2522</v>
      </c>
      <c r="M1287" s="11" t="str">
        <f>VLOOKUP(N1287,'Mã NV'!$A$3:$B$196,2,0)</f>
        <v>TE77</v>
      </c>
      <c r="N1287" s="317" t="s">
        <v>2597</v>
      </c>
      <c r="O1287" s="381">
        <v>44197</v>
      </c>
      <c r="P1287" s="371"/>
      <c r="Q1287" s="233"/>
      <c r="R1287" s="168" t="s">
        <v>2592</v>
      </c>
    </row>
    <row r="1288" spans="1:39" ht="35.25" hidden="1" customHeight="1">
      <c r="A1288" s="15">
        <f t="shared" si="19"/>
        <v>1278</v>
      </c>
      <c r="B1288" s="161" t="s">
        <v>1883</v>
      </c>
      <c r="C1288" s="191" t="s">
        <v>723</v>
      </c>
      <c r="D1288" s="189"/>
      <c r="E1288" s="189"/>
      <c r="F1288" s="189"/>
      <c r="G1288" s="168" t="s">
        <v>2433</v>
      </c>
      <c r="H1288" s="141"/>
      <c r="I1288" s="202" t="s">
        <v>18</v>
      </c>
      <c r="J1288" s="202">
        <v>1</v>
      </c>
      <c r="K1288" s="156" t="s">
        <v>730</v>
      </c>
      <c r="L1288" s="168" t="s">
        <v>2522</v>
      </c>
      <c r="M1288" s="11" t="str">
        <f>VLOOKUP(N1288,'Mã NV'!$A$3:$B$196,2,0)</f>
        <v>TE77</v>
      </c>
      <c r="N1288" s="317" t="s">
        <v>2597</v>
      </c>
      <c r="O1288" s="381">
        <v>44197</v>
      </c>
      <c r="P1288" s="371"/>
      <c r="Q1288" s="190"/>
      <c r="R1288" s="168" t="s">
        <v>2592</v>
      </c>
    </row>
    <row r="1289" spans="1:39" ht="35.25" hidden="1" customHeight="1">
      <c r="A1289" s="15">
        <f t="shared" si="19"/>
        <v>1279</v>
      </c>
      <c r="B1289" s="161" t="s">
        <v>1884</v>
      </c>
      <c r="C1289" s="191" t="s">
        <v>723</v>
      </c>
      <c r="D1289" s="189"/>
      <c r="E1289" s="189"/>
      <c r="F1289" s="189"/>
      <c r="G1289" s="168" t="s">
        <v>2433</v>
      </c>
      <c r="H1289" s="141"/>
      <c r="I1289" s="202" t="s">
        <v>18</v>
      </c>
      <c r="J1289" s="202">
        <v>1</v>
      </c>
      <c r="K1289" s="156" t="s">
        <v>730</v>
      </c>
      <c r="L1289" s="168" t="s">
        <v>2522</v>
      </c>
      <c r="M1289" s="11" t="str">
        <f>VLOOKUP(N1289,'Mã NV'!$A$3:$B$196,2,0)</f>
        <v>TE77</v>
      </c>
      <c r="N1289" s="317" t="s">
        <v>2597</v>
      </c>
      <c r="O1289" s="381">
        <v>44197</v>
      </c>
      <c r="P1289" s="371"/>
      <c r="Q1289" s="190"/>
      <c r="R1289" s="168" t="s">
        <v>2592</v>
      </c>
    </row>
    <row r="1290" spans="1:39" ht="35.25" hidden="1" customHeight="1">
      <c r="A1290" s="15">
        <f t="shared" si="19"/>
        <v>1280</v>
      </c>
      <c r="B1290" s="161" t="s">
        <v>1885</v>
      </c>
      <c r="C1290" s="191" t="s">
        <v>723</v>
      </c>
      <c r="D1290" s="189"/>
      <c r="E1290" s="189"/>
      <c r="F1290" s="189"/>
      <c r="G1290" s="168" t="s">
        <v>2433</v>
      </c>
      <c r="H1290" s="141"/>
      <c r="I1290" s="202" t="s">
        <v>18</v>
      </c>
      <c r="J1290" s="202">
        <v>1</v>
      </c>
      <c r="K1290" s="156" t="s">
        <v>730</v>
      </c>
      <c r="L1290" s="168" t="s">
        <v>2522</v>
      </c>
      <c r="M1290" s="11" t="str">
        <f>VLOOKUP(N1290,'Mã NV'!$A$3:$B$196,2,0)</f>
        <v>TE77</v>
      </c>
      <c r="N1290" s="317" t="s">
        <v>2597</v>
      </c>
      <c r="O1290" s="381">
        <v>44197</v>
      </c>
      <c r="P1290" s="371"/>
      <c r="Q1290" s="190"/>
      <c r="R1290" s="168" t="s">
        <v>2592</v>
      </c>
    </row>
    <row r="1291" spans="1:39" ht="35.25" hidden="1" customHeight="1">
      <c r="A1291" s="15">
        <f t="shared" si="19"/>
        <v>1281</v>
      </c>
      <c r="B1291" s="161" t="s">
        <v>1886</v>
      </c>
      <c r="C1291" s="191" t="s">
        <v>723</v>
      </c>
      <c r="D1291" s="46"/>
      <c r="E1291" s="46"/>
      <c r="F1291" s="46"/>
      <c r="G1291" s="168" t="s">
        <v>2433</v>
      </c>
      <c r="H1291" s="141"/>
      <c r="I1291" s="202" t="s">
        <v>18</v>
      </c>
      <c r="J1291" s="202">
        <v>1</v>
      </c>
      <c r="K1291" s="156" t="s">
        <v>730</v>
      </c>
      <c r="L1291" s="168" t="s">
        <v>2522</v>
      </c>
      <c r="M1291" s="11" t="str">
        <f>VLOOKUP(N1291,'Mã NV'!$A$3:$B$196,2,0)</f>
        <v>TE77</v>
      </c>
      <c r="N1291" s="317" t="s">
        <v>2597</v>
      </c>
      <c r="O1291" s="381">
        <v>44197</v>
      </c>
      <c r="P1291" s="371"/>
      <c r="Q1291" s="190"/>
      <c r="R1291" s="168" t="s">
        <v>2592</v>
      </c>
    </row>
    <row r="1292" spans="1:39" ht="35.25" hidden="1" customHeight="1">
      <c r="A1292" s="15">
        <f t="shared" si="19"/>
        <v>1282</v>
      </c>
      <c r="B1292" s="161" t="s">
        <v>1887</v>
      </c>
      <c r="C1292" s="191" t="s">
        <v>723</v>
      </c>
      <c r="D1292" s="176"/>
      <c r="E1292" s="176"/>
      <c r="F1292" s="176"/>
      <c r="G1292" s="168" t="s">
        <v>2433</v>
      </c>
      <c r="H1292" s="141"/>
      <c r="I1292" s="202" t="s">
        <v>18</v>
      </c>
      <c r="J1292" s="202">
        <v>1</v>
      </c>
      <c r="K1292" s="156" t="s">
        <v>730</v>
      </c>
      <c r="L1292" s="168" t="s">
        <v>2522</v>
      </c>
      <c r="M1292" s="11" t="str">
        <f>VLOOKUP(N1292,'Mã NV'!$A$3:$B$196,2,0)</f>
        <v>TE77</v>
      </c>
      <c r="N1292" s="317" t="s">
        <v>2597</v>
      </c>
      <c r="O1292" s="381">
        <v>44197</v>
      </c>
      <c r="P1292" s="371"/>
      <c r="Q1292" s="190"/>
      <c r="R1292" s="168" t="s">
        <v>2592</v>
      </c>
    </row>
    <row r="1293" spans="1:39" s="136" customFormat="1" ht="35.25" hidden="1" customHeight="1">
      <c r="A1293" s="15">
        <f t="shared" si="19"/>
        <v>1283</v>
      </c>
      <c r="B1293" s="161" t="s">
        <v>1888</v>
      </c>
      <c r="C1293" s="191" t="s">
        <v>723</v>
      </c>
      <c r="D1293" s="189"/>
      <c r="E1293" s="189"/>
      <c r="F1293" s="189"/>
      <c r="G1293" s="168" t="s">
        <v>2433</v>
      </c>
      <c r="H1293" s="141"/>
      <c r="I1293" s="202" t="s">
        <v>18</v>
      </c>
      <c r="J1293" s="202">
        <v>1</v>
      </c>
      <c r="K1293" s="156" t="s">
        <v>730</v>
      </c>
      <c r="L1293" s="168" t="s">
        <v>2522</v>
      </c>
      <c r="M1293" s="11" t="str">
        <f>VLOOKUP(N1293,'Mã NV'!$A$3:$B$196,2,0)</f>
        <v>TE77</v>
      </c>
      <c r="N1293" s="317" t="s">
        <v>2597</v>
      </c>
      <c r="O1293" s="381">
        <v>44197</v>
      </c>
      <c r="P1293" s="371"/>
      <c r="Q1293" s="190"/>
      <c r="R1293" s="168" t="s">
        <v>2592</v>
      </c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</row>
    <row r="1294" spans="1:39" ht="35.25" hidden="1" customHeight="1">
      <c r="A1294" s="15">
        <f t="shared" si="19"/>
        <v>1284</v>
      </c>
      <c r="B1294" s="161" t="s">
        <v>1889</v>
      </c>
      <c r="C1294" s="191" t="s">
        <v>723</v>
      </c>
      <c r="D1294" s="169"/>
      <c r="E1294" s="169"/>
      <c r="F1294" s="169"/>
      <c r="G1294" s="168" t="s">
        <v>2433</v>
      </c>
      <c r="H1294" s="141"/>
      <c r="I1294" s="202" t="s">
        <v>18</v>
      </c>
      <c r="J1294" s="202">
        <v>1</v>
      </c>
      <c r="K1294" s="156" t="s">
        <v>730</v>
      </c>
      <c r="L1294" s="168" t="s">
        <v>2522</v>
      </c>
      <c r="M1294" s="11" t="str">
        <f>VLOOKUP(N1294,'Mã NV'!$A$3:$B$196,2,0)</f>
        <v>TE77</v>
      </c>
      <c r="N1294" s="317" t="s">
        <v>2597</v>
      </c>
      <c r="O1294" s="381">
        <v>44197</v>
      </c>
      <c r="P1294" s="371"/>
      <c r="Q1294" s="158"/>
      <c r="R1294" s="168" t="s">
        <v>2592</v>
      </c>
    </row>
    <row r="1295" spans="1:39" ht="35.25" hidden="1" customHeight="1">
      <c r="A1295" s="15">
        <f t="shared" si="19"/>
        <v>1285</v>
      </c>
      <c r="B1295" s="161" t="s">
        <v>1890</v>
      </c>
      <c r="C1295" s="191" t="s">
        <v>723</v>
      </c>
      <c r="D1295" s="156"/>
      <c r="E1295" s="156"/>
      <c r="F1295" s="156"/>
      <c r="G1295" s="168" t="s">
        <v>2433</v>
      </c>
      <c r="H1295" s="141"/>
      <c r="I1295" s="202" t="s">
        <v>18</v>
      </c>
      <c r="J1295" s="202">
        <v>1</v>
      </c>
      <c r="K1295" s="156" t="s">
        <v>730</v>
      </c>
      <c r="L1295" s="168" t="s">
        <v>2522</v>
      </c>
      <c r="M1295" s="11" t="str">
        <f>VLOOKUP(N1295,'Mã NV'!$A$3:$B$196,2,0)</f>
        <v>TE77</v>
      </c>
      <c r="N1295" s="317" t="s">
        <v>2597</v>
      </c>
      <c r="O1295" s="381">
        <v>44197</v>
      </c>
      <c r="P1295" s="371"/>
      <c r="Q1295" s="158"/>
      <c r="R1295" s="168" t="s">
        <v>2592</v>
      </c>
    </row>
    <row r="1296" spans="1:39" ht="35.25" hidden="1" customHeight="1">
      <c r="A1296" s="15">
        <f t="shared" si="19"/>
        <v>1286</v>
      </c>
      <c r="B1296" s="161" t="s">
        <v>1891</v>
      </c>
      <c r="C1296" s="191" t="s">
        <v>723</v>
      </c>
      <c r="D1296" s="156"/>
      <c r="E1296" s="156"/>
      <c r="F1296" s="156"/>
      <c r="G1296" s="168" t="s">
        <v>2433</v>
      </c>
      <c r="H1296" s="141"/>
      <c r="I1296" s="202" t="s">
        <v>18</v>
      </c>
      <c r="J1296" s="202">
        <v>1</v>
      </c>
      <c r="K1296" s="156" t="s">
        <v>730</v>
      </c>
      <c r="L1296" s="168" t="s">
        <v>2522</v>
      </c>
      <c r="M1296" s="11" t="str">
        <f>VLOOKUP(N1296,'Mã NV'!$A$3:$B$196,2,0)</f>
        <v>TE77</v>
      </c>
      <c r="N1296" s="317" t="s">
        <v>2597</v>
      </c>
      <c r="O1296" s="381">
        <v>44197</v>
      </c>
      <c r="P1296" s="371"/>
      <c r="Q1296" s="158"/>
      <c r="R1296" s="168" t="s">
        <v>2592</v>
      </c>
    </row>
    <row r="1297" spans="1:39" ht="35.25" hidden="1" customHeight="1">
      <c r="A1297" s="15">
        <f t="shared" si="19"/>
        <v>1287</v>
      </c>
      <c r="B1297" s="161" t="s">
        <v>1892</v>
      </c>
      <c r="C1297" s="191" t="s">
        <v>723</v>
      </c>
      <c r="D1297" s="156"/>
      <c r="E1297" s="156"/>
      <c r="F1297" s="156"/>
      <c r="G1297" s="168" t="s">
        <v>2433</v>
      </c>
      <c r="H1297" s="141"/>
      <c r="I1297" s="202" t="s">
        <v>18</v>
      </c>
      <c r="J1297" s="202">
        <v>1</v>
      </c>
      <c r="K1297" s="156" t="s">
        <v>730</v>
      </c>
      <c r="L1297" s="168" t="s">
        <v>2522</v>
      </c>
      <c r="M1297" s="11" t="str">
        <f>VLOOKUP(N1297,'Mã NV'!$A$3:$B$196,2,0)</f>
        <v>TE77</v>
      </c>
      <c r="N1297" s="317" t="s">
        <v>2597</v>
      </c>
      <c r="O1297" s="381">
        <v>44197</v>
      </c>
      <c r="P1297" s="371"/>
      <c r="Q1297" s="158"/>
      <c r="R1297" s="168" t="s">
        <v>2592</v>
      </c>
    </row>
    <row r="1298" spans="1:39" ht="35.25" hidden="1" customHeight="1">
      <c r="A1298" s="15">
        <f t="shared" ref="A1298:A1361" si="20">A1297+1</f>
        <v>1288</v>
      </c>
      <c r="B1298" s="161" t="s">
        <v>1893</v>
      </c>
      <c r="C1298" s="191" t="s">
        <v>723</v>
      </c>
      <c r="D1298" s="156"/>
      <c r="E1298" s="156"/>
      <c r="F1298" s="156"/>
      <c r="G1298" s="168" t="s">
        <v>2433</v>
      </c>
      <c r="H1298" s="141"/>
      <c r="I1298" s="202" t="s">
        <v>18</v>
      </c>
      <c r="J1298" s="202">
        <v>1</v>
      </c>
      <c r="K1298" s="156" t="s">
        <v>730</v>
      </c>
      <c r="L1298" s="168" t="s">
        <v>2522</v>
      </c>
      <c r="M1298" s="11" t="str">
        <f>VLOOKUP(N1298,'Mã NV'!$A$3:$B$196,2,0)</f>
        <v>TE77</v>
      </c>
      <c r="N1298" s="317" t="s">
        <v>2597</v>
      </c>
      <c r="O1298" s="381">
        <v>44197</v>
      </c>
      <c r="P1298" s="371"/>
      <c r="Q1298" s="158"/>
      <c r="R1298" s="168" t="s">
        <v>2592</v>
      </c>
    </row>
    <row r="1299" spans="1:39" ht="35.25" hidden="1" customHeight="1">
      <c r="A1299" s="15">
        <f t="shared" si="20"/>
        <v>1289</v>
      </c>
      <c r="B1299" s="161" t="s">
        <v>1894</v>
      </c>
      <c r="C1299" s="191" t="s">
        <v>723</v>
      </c>
      <c r="D1299" s="19"/>
      <c r="E1299" s="19"/>
      <c r="F1299" s="19"/>
      <c r="G1299" s="168" t="s">
        <v>2433</v>
      </c>
      <c r="H1299" s="141"/>
      <c r="I1299" s="202" t="s">
        <v>18</v>
      </c>
      <c r="J1299" s="202">
        <v>1</v>
      </c>
      <c r="K1299" s="156" t="s">
        <v>730</v>
      </c>
      <c r="L1299" s="168" t="s">
        <v>2522</v>
      </c>
      <c r="M1299" s="11" t="str">
        <f>VLOOKUP(N1299,'Mã NV'!$A$3:$B$196,2,0)</f>
        <v>TE77</v>
      </c>
      <c r="N1299" s="317" t="s">
        <v>2597</v>
      </c>
      <c r="O1299" s="381">
        <v>44197</v>
      </c>
      <c r="P1299" s="371"/>
      <c r="Q1299" s="158"/>
      <c r="R1299" s="168" t="s">
        <v>2592</v>
      </c>
    </row>
    <row r="1300" spans="1:39" s="136" customFormat="1" ht="35.25" hidden="1" customHeight="1">
      <c r="A1300" s="15">
        <f t="shared" si="20"/>
        <v>1290</v>
      </c>
      <c r="B1300" s="161" t="s">
        <v>1895</v>
      </c>
      <c r="C1300" s="191" t="s">
        <v>723</v>
      </c>
      <c r="D1300" s="176"/>
      <c r="E1300" s="176"/>
      <c r="F1300" s="176"/>
      <c r="G1300" s="168" t="s">
        <v>2433</v>
      </c>
      <c r="H1300" s="141"/>
      <c r="I1300" s="202" t="s">
        <v>18</v>
      </c>
      <c r="J1300" s="202">
        <v>1</v>
      </c>
      <c r="K1300" s="156" t="s">
        <v>730</v>
      </c>
      <c r="L1300" s="168" t="s">
        <v>2522</v>
      </c>
      <c r="M1300" s="11" t="str">
        <f>VLOOKUP(N1300,'Mã NV'!$A$3:$B$196,2,0)</f>
        <v>TE77</v>
      </c>
      <c r="N1300" s="317" t="s">
        <v>2597</v>
      </c>
      <c r="O1300" s="381">
        <v>44197</v>
      </c>
      <c r="P1300" s="371"/>
      <c r="Q1300" s="156"/>
      <c r="R1300" s="168" t="s">
        <v>2592</v>
      </c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</row>
    <row r="1301" spans="1:39" s="136" customFormat="1" ht="35.25" hidden="1" customHeight="1">
      <c r="A1301" s="15">
        <f t="shared" si="20"/>
        <v>1291</v>
      </c>
      <c r="B1301" s="161" t="s">
        <v>1896</v>
      </c>
      <c r="C1301" s="191" t="s">
        <v>723</v>
      </c>
      <c r="D1301" s="176"/>
      <c r="E1301" s="176"/>
      <c r="F1301" s="176"/>
      <c r="G1301" s="168" t="s">
        <v>2433</v>
      </c>
      <c r="H1301" s="141"/>
      <c r="I1301" s="202" t="s">
        <v>18</v>
      </c>
      <c r="J1301" s="202">
        <v>1</v>
      </c>
      <c r="K1301" s="156" t="s">
        <v>730</v>
      </c>
      <c r="L1301" s="168" t="s">
        <v>2522</v>
      </c>
      <c r="M1301" s="11" t="str">
        <f>VLOOKUP(N1301,'Mã NV'!$A$3:$B$196,2,0)</f>
        <v>TE77</v>
      </c>
      <c r="N1301" s="317" t="s">
        <v>2597</v>
      </c>
      <c r="O1301" s="381">
        <v>44197</v>
      </c>
      <c r="P1301" s="371"/>
      <c r="Q1301" s="180"/>
      <c r="R1301" s="168" t="s">
        <v>2592</v>
      </c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</row>
    <row r="1302" spans="1:39" ht="35.25" hidden="1" customHeight="1">
      <c r="A1302" s="15">
        <f t="shared" si="20"/>
        <v>1292</v>
      </c>
      <c r="B1302" s="161" t="s">
        <v>1897</v>
      </c>
      <c r="C1302" s="191" t="s">
        <v>723</v>
      </c>
      <c r="D1302" s="156"/>
      <c r="E1302" s="156"/>
      <c r="F1302" s="156"/>
      <c r="G1302" s="168" t="s">
        <v>2433</v>
      </c>
      <c r="H1302" s="141"/>
      <c r="I1302" s="202" t="s">
        <v>18</v>
      </c>
      <c r="J1302" s="202">
        <v>1</v>
      </c>
      <c r="K1302" s="156" t="s">
        <v>730</v>
      </c>
      <c r="L1302" s="168" t="s">
        <v>2522</v>
      </c>
      <c r="M1302" s="11" t="str">
        <f>VLOOKUP(N1302,'Mã NV'!$A$3:$B$196,2,0)</f>
        <v>TE77</v>
      </c>
      <c r="N1302" s="317" t="s">
        <v>2597</v>
      </c>
      <c r="O1302" s="381">
        <v>44197</v>
      </c>
      <c r="P1302" s="371"/>
      <c r="Q1302" s="177"/>
      <c r="R1302" s="168" t="s">
        <v>2592</v>
      </c>
    </row>
    <row r="1303" spans="1:39" ht="35.25" hidden="1" customHeight="1">
      <c r="A1303" s="15">
        <f t="shared" si="20"/>
        <v>1293</v>
      </c>
      <c r="B1303" s="161" t="s">
        <v>1898</v>
      </c>
      <c r="C1303" s="191" t="s">
        <v>723</v>
      </c>
      <c r="D1303" s="156"/>
      <c r="E1303" s="156"/>
      <c r="F1303" s="156"/>
      <c r="G1303" s="168" t="s">
        <v>2433</v>
      </c>
      <c r="H1303" s="141"/>
      <c r="I1303" s="202" t="s">
        <v>18</v>
      </c>
      <c r="J1303" s="202">
        <v>1</v>
      </c>
      <c r="K1303" s="156" t="s">
        <v>730</v>
      </c>
      <c r="L1303" s="168" t="s">
        <v>2522</v>
      </c>
      <c r="M1303" s="11" t="str">
        <f>VLOOKUP(N1303,'Mã NV'!$A$3:$B$196,2,0)</f>
        <v>TE77</v>
      </c>
      <c r="N1303" s="317" t="s">
        <v>2597</v>
      </c>
      <c r="O1303" s="381">
        <v>44197</v>
      </c>
      <c r="P1303" s="371"/>
      <c r="Q1303" s="158"/>
      <c r="R1303" s="168" t="s">
        <v>2592</v>
      </c>
    </row>
    <row r="1304" spans="1:39" ht="35.25" hidden="1" customHeight="1">
      <c r="A1304" s="15">
        <f t="shared" si="20"/>
        <v>1294</v>
      </c>
      <c r="B1304" s="161" t="s">
        <v>1899</v>
      </c>
      <c r="C1304" s="191" t="s">
        <v>723</v>
      </c>
      <c r="D1304" s="156"/>
      <c r="E1304" s="156"/>
      <c r="F1304" s="156"/>
      <c r="G1304" s="168" t="s">
        <v>2433</v>
      </c>
      <c r="H1304" s="141"/>
      <c r="I1304" s="202" t="s">
        <v>18</v>
      </c>
      <c r="J1304" s="202">
        <v>1</v>
      </c>
      <c r="K1304" s="156" t="s">
        <v>730</v>
      </c>
      <c r="L1304" s="168" t="s">
        <v>2522</v>
      </c>
      <c r="M1304" s="11" t="str">
        <f>VLOOKUP(N1304,'Mã NV'!$A$3:$B$196,2,0)</f>
        <v>TE77</v>
      </c>
      <c r="N1304" s="317" t="s">
        <v>2597</v>
      </c>
      <c r="O1304" s="381">
        <v>44197</v>
      </c>
      <c r="P1304" s="371"/>
      <c r="Q1304" s="177"/>
      <c r="R1304" s="168" t="s">
        <v>2592</v>
      </c>
    </row>
    <row r="1305" spans="1:39" ht="35.25" hidden="1" customHeight="1">
      <c r="A1305" s="15">
        <f t="shared" si="20"/>
        <v>1295</v>
      </c>
      <c r="B1305" s="161" t="s">
        <v>1900</v>
      </c>
      <c r="C1305" s="191" t="s">
        <v>723</v>
      </c>
      <c r="D1305" s="156"/>
      <c r="E1305" s="156"/>
      <c r="F1305" s="156"/>
      <c r="G1305" s="168" t="s">
        <v>2433</v>
      </c>
      <c r="H1305" s="141"/>
      <c r="I1305" s="202" t="s">
        <v>18</v>
      </c>
      <c r="J1305" s="202">
        <v>1</v>
      </c>
      <c r="K1305" s="156" t="s">
        <v>730</v>
      </c>
      <c r="L1305" s="168" t="s">
        <v>2522</v>
      </c>
      <c r="M1305" s="11" t="str">
        <f>VLOOKUP(N1305,'Mã NV'!$A$3:$B$196,2,0)</f>
        <v>TE77</v>
      </c>
      <c r="N1305" s="317" t="s">
        <v>2597</v>
      </c>
      <c r="O1305" s="381">
        <v>44197</v>
      </c>
      <c r="P1305" s="371"/>
      <c r="Q1305" s="158"/>
      <c r="R1305" s="168" t="s">
        <v>2592</v>
      </c>
    </row>
    <row r="1306" spans="1:39" ht="35.25" hidden="1" customHeight="1">
      <c r="A1306" s="15">
        <f t="shared" si="20"/>
        <v>1296</v>
      </c>
      <c r="B1306" s="161" t="s">
        <v>1901</v>
      </c>
      <c r="C1306" s="191" t="s">
        <v>723</v>
      </c>
      <c r="D1306" s="156"/>
      <c r="E1306" s="156"/>
      <c r="F1306" s="156"/>
      <c r="G1306" s="168" t="s">
        <v>2433</v>
      </c>
      <c r="H1306" s="141"/>
      <c r="I1306" s="202" t="s">
        <v>18</v>
      </c>
      <c r="J1306" s="202">
        <v>1</v>
      </c>
      <c r="K1306" s="156" t="s">
        <v>730</v>
      </c>
      <c r="L1306" s="168" t="s">
        <v>2522</v>
      </c>
      <c r="M1306" s="11" t="str">
        <f>VLOOKUP(N1306,'Mã NV'!$A$3:$B$196,2,0)</f>
        <v>TE77</v>
      </c>
      <c r="N1306" s="317" t="s">
        <v>2597</v>
      </c>
      <c r="O1306" s="381">
        <v>44197</v>
      </c>
      <c r="P1306" s="371"/>
      <c r="Q1306" s="158"/>
      <c r="R1306" s="168" t="s">
        <v>2592</v>
      </c>
    </row>
    <row r="1307" spans="1:39" ht="35.25" hidden="1" customHeight="1">
      <c r="A1307" s="15">
        <f t="shared" si="20"/>
        <v>1297</v>
      </c>
      <c r="B1307" s="161" t="s">
        <v>1902</v>
      </c>
      <c r="C1307" s="191" t="s">
        <v>723</v>
      </c>
      <c r="D1307" s="156"/>
      <c r="E1307" s="156"/>
      <c r="F1307" s="156"/>
      <c r="G1307" s="168" t="s">
        <v>2433</v>
      </c>
      <c r="H1307" s="141"/>
      <c r="I1307" s="202" t="s">
        <v>18</v>
      </c>
      <c r="J1307" s="202">
        <v>1</v>
      </c>
      <c r="K1307" s="156" t="s">
        <v>730</v>
      </c>
      <c r="L1307" s="168" t="s">
        <v>2522</v>
      </c>
      <c r="M1307" s="11" t="str">
        <f>VLOOKUP(N1307,'Mã NV'!$A$3:$B$196,2,0)</f>
        <v>TE77</v>
      </c>
      <c r="N1307" s="317" t="s">
        <v>2597</v>
      </c>
      <c r="O1307" s="381">
        <v>44197</v>
      </c>
      <c r="P1307" s="371"/>
      <c r="Q1307" s="158"/>
      <c r="R1307" s="168" t="s">
        <v>2592</v>
      </c>
    </row>
    <row r="1308" spans="1:39" ht="35.25" hidden="1" customHeight="1">
      <c r="A1308" s="15">
        <f t="shared" si="20"/>
        <v>1298</v>
      </c>
      <c r="B1308" s="161" t="s">
        <v>1903</v>
      </c>
      <c r="C1308" s="191" t="s">
        <v>723</v>
      </c>
      <c r="D1308" s="156"/>
      <c r="E1308" s="156"/>
      <c r="F1308" s="156"/>
      <c r="G1308" s="168" t="s">
        <v>2433</v>
      </c>
      <c r="H1308" s="141"/>
      <c r="I1308" s="202" t="s">
        <v>18</v>
      </c>
      <c r="J1308" s="202">
        <v>1</v>
      </c>
      <c r="K1308" s="156" t="s">
        <v>730</v>
      </c>
      <c r="L1308" s="168" t="s">
        <v>2522</v>
      </c>
      <c r="M1308" s="11" t="str">
        <f>VLOOKUP(N1308,'Mã NV'!$A$3:$B$196,2,0)</f>
        <v>TE77</v>
      </c>
      <c r="N1308" s="317" t="s">
        <v>2597</v>
      </c>
      <c r="O1308" s="381">
        <v>44197</v>
      </c>
      <c r="P1308" s="371"/>
      <c r="Q1308" s="158"/>
      <c r="R1308" s="168" t="s">
        <v>2592</v>
      </c>
    </row>
    <row r="1309" spans="1:39" ht="35.25" hidden="1" customHeight="1">
      <c r="A1309" s="15">
        <f t="shared" si="20"/>
        <v>1299</v>
      </c>
      <c r="B1309" s="161" t="s">
        <v>1904</v>
      </c>
      <c r="C1309" s="191" t="s">
        <v>723</v>
      </c>
      <c r="D1309" s="156"/>
      <c r="E1309" s="156"/>
      <c r="F1309" s="156"/>
      <c r="G1309" s="168" t="s">
        <v>2433</v>
      </c>
      <c r="H1309" s="141"/>
      <c r="I1309" s="202" t="s">
        <v>18</v>
      </c>
      <c r="J1309" s="202">
        <v>1</v>
      </c>
      <c r="K1309" s="156" t="s">
        <v>730</v>
      </c>
      <c r="L1309" s="168" t="s">
        <v>2522</v>
      </c>
      <c r="M1309" s="11" t="str">
        <f>VLOOKUP(N1309,'Mã NV'!$A$3:$B$196,2,0)</f>
        <v>TE77</v>
      </c>
      <c r="N1309" s="317" t="s">
        <v>2597</v>
      </c>
      <c r="O1309" s="381">
        <v>44197</v>
      </c>
      <c r="P1309" s="371"/>
      <c r="Q1309" s="158"/>
      <c r="R1309" s="168" t="s">
        <v>2592</v>
      </c>
    </row>
    <row r="1310" spans="1:39" ht="35.25" hidden="1" customHeight="1">
      <c r="A1310" s="15">
        <f t="shared" si="20"/>
        <v>1300</v>
      </c>
      <c r="B1310" s="161" t="s">
        <v>1905</v>
      </c>
      <c r="C1310" s="191" t="s">
        <v>723</v>
      </c>
      <c r="D1310" s="179"/>
      <c r="E1310" s="179"/>
      <c r="F1310" s="179"/>
      <c r="G1310" s="168" t="s">
        <v>2433</v>
      </c>
      <c r="H1310" s="141"/>
      <c r="I1310" s="202" t="s">
        <v>18</v>
      </c>
      <c r="J1310" s="202">
        <v>1</v>
      </c>
      <c r="K1310" s="156" t="s">
        <v>730</v>
      </c>
      <c r="L1310" s="168" t="s">
        <v>2522</v>
      </c>
      <c r="M1310" s="11" t="str">
        <f>VLOOKUP(N1310,'Mã NV'!$A$3:$B$196,2,0)</f>
        <v>TE77</v>
      </c>
      <c r="N1310" s="317" t="s">
        <v>2597</v>
      </c>
      <c r="O1310" s="381">
        <v>44197</v>
      </c>
      <c r="P1310" s="371"/>
      <c r="Q1310" s="158"/>
      <c r="R1310" s="168" t="s">
        <v>2592</v>
      </c>
    </row>
    <row r="1311" spans="1:39" ht="35.25" hidden="1" customHeight="1">
      <c r="A1311" s="15">
        <f t="shared" si="20"/>
        <v>1301</v>
      </c>
      <c r="B1311" s="161" t="s">
        <v>1906</v>
      </c>
      <c r="C1311" s="191" t="s">
        <v>723</v>
      </c>
      <c r="D1311" s="178"/>
      <c r="E1311" s="178"/>
      <c r="F1311" s="178"/>
      <c r="G1311" s="168" t="s">
        <v>2433</v>
      </c>
      <c r="H1311" s="141"/>
      <c r="I1311" s="202" t="s">
        <v>18</v>
      </c>
      <c r="J1311" s="202">
        <v>1</v>
      </c>
      <c r="K1311" s="156" t="s">
        <v>730</v>
      </c>
      <c r="L1311" s="168" t="s">
        <v>2522</v>
      </c>
      <c r="M1311" s="11" t="str">
        <f>VLOOKUP(N1311,'Mã NV'!$A$3:$B$196,2,0)</f>
        <v>TE77</v>
      </c>
      <c r="N1311" s="317" t="s">
        <v>2597</v>
      </c>
      <c r="O1311" s="381">
        <v>44197</v>
      </c>
      <c r="P1311" s="371"/>
      <c r="Q1311" s="255"/>
      <c r="R1311" s="168" t="s">
        <v>2592</v>
      </c>
    </row>
    <row r="1312" spans="1:39" ht="35.25" hidden="1" customHeight="1">
      <c r="A1312" s="15">
        <f t="shared" si="20"/>
        <v>1302</v>
      </c>
      <c r="B1312" s="161" t="s">
        <v>1907</v>
      </c>
      <c r="C1312" s="191" t="s">
        <v>723</v>
      </c>
      <c r="D1312" s="179"/>
      <c r="E1312" s="179"/>
      <c r="F1312" s="179"/>
      <c r="G1312" s="168" t="s">
        <v>2433</v>
      </c>
      <c r="H1312" s="141"/>
      <c r="I1312" s="202" t="s">
        <v>18</v>
      </c>
      <c r="J1312" s="202">
        <v>1</v>
      </c>
      <c r="K1312" s="156" t="s">
        <v>730</v>
      </c>
      <c r="L1312" s="168" t="s">
        <v>2522</v>
      </c>
      <c r="M1312" s="11" t="str">
        <f>VLOOKUP(N1312,'Mã NV'!$A$3:$B$196,2,0)</f>
        <v>TE77</v>
      </c>
      <c r="N1312" s="317" t="s">
        <v>2597</v>
      </c>
      <c r="O1312" s="381">
        <v>44197</v>
      </c>
      <c r="P1312" s="371"/>
      <c r="Q1312" s="255"/>
      <c r="R1312" s="168" t="s">
        <v>2592</v>
      </c>
    </row>
    <row r="1313" spans="1:39" ht="35.25" hidden="1" customHeight="1">
      <c r="A1313" s="15">
        <f t="shared" si="20"/>
        <v>1303</v>
      </c>
      <c r="B1313" s="161" t="s">
        <v>1908</v>
      </c>
      <c r="C1313" s="191" t="s">
        <v>723</v>
      </c>
      <c r="D1313" s="179"/>
      <c r="E1313" s="179"/>
      <c r="F1313" s="179"/>
      <c r="G1313" s="168" t="s">
        <v>2433</v>
      </c>
      <c r="H1313" s="141"/>
      <c r="I1313" s="202" t="s">
        <v>18</v>
      </c>
      <c r="J1313" s="202">
        <v>1</v>
      </c>
      <c r="K1313" s="156" t="s">
        <v>730</v>
      </c>
      <c r="L1313" s="168" t="s">
        <v>2522</v>
      </c>
      <c r="M1313" s="11" t="str">
        <f>VLOOKUP(N1313,'Mã NV'!$A$3:$B$196,2,0)</f>
        <v>TE77</v>
      </c>
      <c r="N1313" s="317" t="s">
        <v>2597</v>
      </c>
      <c r="O1313" s="381">
        <v>44197</v>
      </c>
      <c r="P1313" s="371"/>
      <c r="Q1313" s="255"/>
      <c r="R1313" s="168" t="s">
        <v>2592</v>
      </c>
    </row>
    <row r="1314" spans="1:39" ht="35.25" hidden="1" customHeight="1">
      <c r="A1314" s="15">
        <f t="shared" si="20"/>
        <v>1304</v>
      </c>
      <c r="B1314" s="161" t="s">
        <v>1909</v>
      </c>
      <c r="C1314" s="191" t="s">
        <v>723</v>
      </c>
      <c r="D1314" s="156"/>
      <c r="E1314" s="156"/>
      <c r="F1314" s="156"/>
      <c r="G1314" s="168" t="s">
        <v>2433</v>
      </c>
      <c r="H1314" s="141"/>
      <c r="I1314" s="202" t="s">
        <v>18</v>
      </c>
      <c r="J1314" s="202">
        <v>1</v>
      </c>
      <c r="K1314" s="156" t="s">
        <v>730</v>
      </c>
      <c r="L1314" s="168" t="s">
        <v>2522</v>
      </c>
      <c r="M1314" s="11" t="str">
        <f>VLOOKUP(N1314,'Mã NV'!$A$3:$B$196,2,0)</f>
        <v>TE77</v>
      </c>
      <c r="N1314" s="317" t="s">
        <v>2597</v>
      </c>
      <c r="O1314" s="381">
        <v>44197</v>
      </c>
      <c r="P1314" s="371"/>
      <c r="Q1314" s="158"/>
      <c r="R1314" s="168" t="s">
        <v>2592</v>
      </c>
    </row>
    <row r="1315" spans="1:39" ht="35.25" hidden="1" customHeight="1">
      <c r="A1315" s="15">
        <f t="shared" si="20"/>
        <v>1305</v>
      </c>
      <c r="B1315" s="161" t="s">
        <v>1910</v>
      </c>
      <c r="C1315" s="191" t="s">
        <v>723</v>
      </c>
      <c r="D1315" s="169"/>
      <c r="E1315" s="169"/>
      <c r="F1315" s="169"/>
      <c r="G1315" s="168" t="s">
        <v>2433</v>
      </c>
      <c r="H1315" s="141"/>
      <c r="I1315" s="202" t="s">
        <v>18</v>
      </c>
      <c r="J1315" s="202">
        <v>1</v>
      </c>
      <c r="K1315" s="156" t="s">
        <v>730</v>
      </c>
      <c r="L1315" s="168" t="s">
        <v>2522</v>
      </c>
      <c r="M1315" s="11" t="str">
        <f>VLOOKUP(N1315,'Mã NV'!$A$3:$B$196,2,0)</f>
        <v>TE77</v>
      </c>
      <c r="N1315" s="317" t="s">
        <v>2597</v>
      </c>
      <c r="O1315" s="381">
        <v>44197</v>
      </c>
      <c r="P1315" s="371"/>
      <c r="Q1315" s="158"/>
      <c r="R1315" s="168" t="s">
        <v>2592</v>
      </c>
    </row>
    <row r="1316" spans="1:39" ht="35.25" hidden="1" customHeight="1">
      <c r="A1316" s="15">
        <f t="shared" si="20"/>
        <v>1306</v>
      </c>
      <c r="B1316" s="161" t="s">
        <v>1911</v>
      </c>
      <c r="C1316" s="191" t="s">
        <v>723</v>
      </c>
      <c r="D1316" s="156"/>
      <c r="E1316" s="156"/>
      <c r="F1316" s="156"/>
      <c r="G1316" s="168" t="s">
        <v>2433</v>
      </c>
      <c r="H1316" s="141"/>
      <c r="I1316" s="202" t="s">
        <v>18</v>
      </c>
      <c r="J1316" s="202">
        <v>1</v>
      </c>
      <c r="K1316" s="156" t="s">
        <v>730</v>
      </c>
      <c r="L1316" s="168" t="s">
        <v>2522</v>
      </c>
      <c r="M1316" s="11" t="str">
        <f>VLOOKUP(N1316,'Mã NV'!$A$3:$B$196,2,0)</f>
        <v>TE77</v>
      </c>
      <c r="N1316" s="317" t="s">
        <v>2597</v>
      </c>
      <c r="O1316" s="381">
        <v>44197</v>
      </c>
      <c r="P1316" s="371"/>
      <c r="Q1316" s="158"/>
      <c r="R1316" s="168" t="s">
        <v>2592</v>
      </c>
    </row>
    <row r="1317" spans="1:39" ht="35.25" hidden="1" customHeight="1">
      <c r="A1317" s="15">
        <f t="shared" si="20"/>
        <v>1307</v>
      </c>
      <c r="B1317" s="161" t="s">
        <v>1912</v>
      </c>
      <c r="C1317" s="191" t="s">
        <v>723</v>
      </c>
      <c r="D1317" s="156"/>
      <c r="E1317" s="156"/>
      <c r="F1317" s="156"/>
      <c r="G1317" s="168" t="s">
        <v>2433</v>
      </c>
      <c r="H1317" s="141"/>
      <c r="I1317" s="202" t="s">
        <v>18</v>
      </c>
      <c r="J1317" s="202">
        <v>1</v>
      </c>
      <c r="K1317" s="156" t="s">
        <v>730</v>
      </c>
      <c r="L1317" s="168" t="s">
        <v>2522</v>
      </c>
      <c r="M1317" s="11" t="str">
        <f>VLOOKUP(N1317,'Mã NV'!$A$3:$B$196,2,0)</f>
        <v>TE77</v>
      </c>
      <c r="N1317" s="317" t="s">
        <v>2597</v>
      </c>
      <c r="O1317" s="381">
        <v>44197</v>
      </c>
      <c r="P1317" s="371"/>
      <c r="Q1317" s="158"/>
      <c r="R1317" s="168" t="s">
        <v>2592</v>
      </c>
    </row>
    <row r="1318" spans="1:39" ht="35.25" hidden="1" customHeight="1">
      <c r="A1318" s="15">
        <f t="shared" si="20"/>
        <v>1308</v>
      </c>
      <c r="B1318" s="161" t="s">
        <v>1913</v>
      </c>
      <c r="C1318" s="191" t="s">
        <v>723</v>
      </c>
      <c r="D1318" s="189"/>
      <c r="E1318" s="189"/>
      <c r="F1318" s="189"/>
      <c r="G1318" s="168" t="s">
        <v>2433</v>
      </c>
      <c r="H1318" s="141"/>
      <c r="I1318" s="202" t="s">
        <v>18</v>
      </c>
      <c r="J1318" s="202">
        <v>1</v>
      </c>
      <c r="K1318" s="156" t="s">
        <v>730</v>
      </c>
      <c r="L1318" s="168" t="s">
        <v>2522</v>
      </c>
      <c r="M1318" s="11" t="str">
        <f>VLOOKUP(N1318,'Mã NV'!$A$3:$B$196,2,0)</f>
        <v>TE77</v>
      </c>
      <c r="N1318" s="317" t="s">
        <v>2597</v>
      </c>
      <c r="O1318" s="381">
        <v>44197</v>
      </c>
      <c r="P1318" s="371"/>
      <c r="Q1318" s="190"/>
      <c r="R1318" s="168" t="s">
        <v>2592</v>
      </c>
    </row>
    <row r="1319" spans="1:39" ht="35.25" hidden="1" customHeight="1">
      <c r="A1319" s="15">
        <f t="shared" si="20"/>
        <v>1309</v>
      </c>
      <c r="B1319" s="161" t="s">
        <v>1914</v>
      </c>
      <c r="C1319" s="191" t="s">
        <v>723</v>
      </c>
      <c r="D1319" s="189"/>
      <c r="E1319" s="189"/>
      <c r="F1319" s="189"/>
      <c r="G1319" s="168" t="s">
        <v>2433</v>
      </c>
      <c r="H1319" s="141"/>
      <c r="I1319" s="202" t="s">
        <v>18</v>
      </c>
      <c r="J1319" s="202">
        <v>1</v>
      </c>
      <c r="K1319" s="156" t="s">
        <v>730</v>
      </c>
      <c r="L1319" s="168" t="s">
        <v>2522</v>
      </c>
      <c r="M1319" s="11" t="str">
        <f>VLOOKUP(N1319,'Mã NV'!$A$3:$B$196,2,0)</f>
        <v>TE77</v>
      </c>
      <c r="N1319" s="317" t="s">
        <v>2597</v>
      </c>
      <c r="O1319" s="381">
        <v>44197</v>
      </c>
      <c r="P1319" s="371"/>
      <c r="Q1319" s="190"/>
      <c r="R1319" s="168" t="s">
        <v>2592</v>
      </c>
    </row>
    <row r="1320" spans="1:39" ht="35.25" hidden="1" customHeight="1">
      <c r="A1320" s="15">
        <f t="shared" si="20"/>
        <v>1310</v>
      </c>
      <c r="B1320" s="161" t="s">
        <v>1915</v>
      </c>
      <c r="C1320" s="191" t="s">
        <v>723</v>
      </c>
      <c r="D1320" s="189"/>
      <c r="E1320" s="189"/>
      <c r="F1320" s="189"/>
      <c r="G1320" s="168" t="s">
        <v>2433</v>
      </c>
      <c r="H1320" s="141"/>
      <c r="I1320" s="202" t="s">
        <v>18</v>
      </c>
      <c r="J1320" s="202">
        <v>1</v>
      </c>
      <c r="K1320" s="156" t="s">
        <v>730</v>
      </c>
      <c r="L1320" s="168" t="s">
        <v>2522</v>
      </c>
      <c r="M1320" s="11" t="str">
        <f>VLOOKUP(N1320,'Mã NV'!$A$3:$B$196,2,0)</f>
        <v>TE77</v>
      </c>
      <c r="N1320" s="317" t="s">
        <v>2597</v>
      </c>
      <c r="O1320" s="381">
        <v>44197</v>
      </c>
      <c r="P1320" s="371"/>
      <c r="Q1320" s="158"/>
      <c r="R1320" s="168" t="s">
        <v>2592</v>
      </c>
    </row>
    <row r="1321" spans="1:39" ht="35.25" hidden="1" customHeight="1">
      <c r="A1321" s="15">
        <f t="shared" si="20"/>
        <v>1311</v>
      </c>
      <c r="B1321" s="161" t="s">
        <v>1916</v>
      </c>
      <c r="C1321" s="191" t="s">
        <v>723</v>
      </c>
      <c r="D1321" s="231"/>
      <c r="E1321" s="231"/>
      <c r="F1321" s="231"/>
      <c r="G1321" s="168" t="s">
        <v>2433</v>
      </c>
      <c r="H1321" s="141"/>
      <c r="I1321" s="202" t="s">
        <v>18</v>
      </c>
      <c r="J1321" s="202">
        <v>1</v>
      </c>
      <c r="K1321" s="156" t="s">
        <v>730</v>
      </c>
      <c r="L1321" s="168" t="s">
        <v>2522</v>
      </c>
      <c r="M1321" s="11" t="str">
        <f>VLOOKUP(N1321,'Mã NV'!$A$3:$B$196,2,0)</f>
        <v>TE77</v>
      </c>
      <c r="N1321" s="317" t="s">
        <v>2597</v>
      </c>
      <c r="O1321" s="381">
        <v>44197</v>
      </c>
      <c r="P1321" s="371"/>
      <c r="Q1321" s="158"/>
      <c r="R1321" s="168" t="s">
        <v>2592</v>
      </c>
    </row>
    <row r="1322" spans="1:39" ht="35.25" hidden="1" customHeight="1">
      <c r="A1322" s="15">
        <f t="shared" si="20"/>
        <v>1312</v>
      </c>
      <c r="B1322" s="161" t="s">
        <v>1917</v>
      </c>
      <c r="C1322" s="191" t="s">
        <v>723</v>
      </c>
      <c r="D1322" s="176"/>
      <c r="E1322" s="176"/>
      <c r="F1322" s="176"/>
      <c r="G1322" s="168" t="s">
        <v>2433</v>
      </c>
      <c r="H1322" s="141"/>
      <c r="I1322" s="202" t="s">
        <v>18</v>
      </c>
      <c r="J1322" s="202">
        <v>1</v>
      </c>
      <c r="K1322" s="156" t="s">
        <v>730</v>
      </c>
      <c r="L1322" s="168" t="s">
        <v>2522</v>
      </c>
      <c r="M1322" s="11" t="str">
        <f>VLOOKUP(N1322,'Mã NV'!$A$3:$B$196,2,0)</f>
        <v>TE77</v>
      </c>
      <c r="N1322" s="317" t="s">
        <v>2597</v>
      </c>
      <c r="O1322" s="381">
        <v>44197</v>
      </c>
      <c r="P1322" s="371"/>
      <c r="Q1322" s="158"/>
      <c r="R1322" s="168" t="s">
        <v>2592</v>
      </c>
    </row>
    <row r="1323" spans="1:39" ht="35.25" hidden="1" customHeight="1">
      <c r="A1323" s="15">
        <f t="shared" si="20"/>
        <v>1313</v>
      </c>
      <c r="B1323" s="161" t="s">
        <v>1918</v>
      </c>
      <c r="C1323" s="191" t="s">
        <v>723</v>
      </c>
      <c r="D1323" s="176"/>
      <c r="E1323" s="176"/>
      <c r="F1323" s="176"/>
      <c r="G1323" s="168" t="s">
        <v>2433</v>
      </c>
      <c r="H1323" s="141"/>
      <c r="I1323" s="202" t="s">
        <v>18</v>
      </c>
      <c r="J1323" s="202">
        <v>1</v>
      </c>
      <c r="K1323" s="156" t="s">
        <v>730</v>
      </c>
      <c r="L1323" s="168" t="s">
        <v>2522</v>
      </c>
      <c r="M1323" s="11" t="str">
        <f>VLOOKUP(N1323,'Mã NV'!$A$3:$B$196,2,0)</f>
        <v>TE77</v>
      </c>
      <c r="N1323" s="317" t="s">
        <v>2597</v>
      </c>
      <c r="O1323" s="381">
        <v>44197</v>
      </c>
      <c r="P1323" s="371"/>
      <c r="Q1323" s="158"/>
      <c r="R1323" s="168" t="s">
        <v>2592</v>
      </c>
    </row>
    <row r="1324" spans="1:39" s="136" customFormat="1" ht="35.25" hidden="1" customHeight="1">
      <c r="A1324" s="15">
        <f t="shared" si="20"/>
        <v>1314</v>
      </c>
      <c r="B1324" s="161" t="s">
        <v>1919</v>
      </c>
      <c r="C1324" s="191" t="s">
        <v>723</v>
      </c>
      <c r="D1324" s="156"/>
      <c r="E1324" s="156"/>
      <c r="F1324" s="156"/>
      <c r="G1324" s="168" t="s">
        <v>2433</v>
      </c>
      <c r="H1324" s="141"/>
      <c r="I1324" s="202" t="s">
        <v>18</v>
      </c>
      <c r="J1324" s="202">
        <v>1</v>
      </c>
      <c r="K1324" s="156" t="s">
        <v>730</v>
      </c>
      <c r="L1324" s="168" t="s">
        <v>2522</v>
      </c>
      <c r="M1324" s="11" t="str">
        <f>VLOOKUP(N1324,'Mã NV'!$A$3:$B$196,2,0)</f>
        <v>TE77</v>
      </c>
      <c r="N1324" s="317" t="s">
        <v>2597</v>
      </c>
      <c r="O1324" s="381">
        <v>44197</v>
      </c>
      <c r="P1324" s="371"/>
      <c r="Q1324" s="158"/>
      <c r="R1324" s="168" t="s">
        <v>2592</v>
      </c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</row>
    <row r="1325" spans="1:39" s="136" customFormat="1" ht="35.25" hidden="1" customHeight="1">
      <c r="A1325" s="15">
        <f t="shared" si="20"/>
        <v>1315</v>
      </c>
      <c r="B1325" s="161" t="s">
        <v>1920</v>
      </c>
      <c r="C1325" s="191" t="s">
        <v>723</v>
      </c>
      <c r="D1325" s="156"/>
      <c r="E1325" s="156"/>
      <c r="F1325" s="156"/>
      <c r="G1325" s="168" t="s">
        <v>2433</v>
      </c>
      <c r="H1325" s="141"/>
      <c r="I1325" s="202" t="s">
        <v>18</v>
      </c>
      <c r="J1325" s="202">
        <v>1</v>
      </c>
      <c r="K1325" s="156" t="s">
        <v>730</v>
      </c>
      <c r="L1325" s="168" t="s">
        <v>2522</v>
      </c>
      <c r="M1325" s="11" t="str">
        <f>VLOOKUP(N1325,'Mã NV'!$A$3:$B$196,2,0)</f>
        <v>TE77</v>
      </c>
      <c r="N1325" s="317" t="s">
        <v>2597</v>
      </c>
      <c r="O1325" s="381">
        <v>44197</v>
      </c>
      <c r="P1325" s="371"/>
      <c r="Q1325" s="158"/>
      <c r="R1325" s="168" t="s">
        <v>2592</v>
      </c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</row>
    <row r="1326" spans="1:39" s="136" customFormat="1" ht="35.25" hidden="1" customHeight="1">
      <c r="A1326" s="15">
        <f t="shared" si="20"/>
        <v>1316</v>
      </c>
      <c r="B1326" s="161" t="s">
        <v>1921</v>
      </c>
      <c r="C1326" s="191" t="s">
        <v>723</v>
      </c>
      <c r="D1326" s="156"/>
      <c r="E1326" s="156"/>
      <c r="F1326" s="156"/>
      <c r="G1326" s="168" t="s">
        <v>2433</v>
      </c>
      <c r="H1326" s="141"/>
      <c r="I1326" s="202" t="s">
        <v>18</v>
      </c>
      <c r="J1326" s="202">
        <v>1</v>
      </c>
      <c r="K1326" s="156" t="s">
        <v>730</v>
      </c>
      <c r="L1326" s="168" t="s">
        <v>2522</v>
      </c>
      <c r="M1326" s="11" t="str">
        <f>VLOOKUP(N1326,'Mã NV'!$A$3:$B$196,2,0)</f>
        <v>TE77</v>
      </c>
      <c r="N1326" s="317" t="s">
        <v>2597</v>
      </c>
      <c r="O1326" s="381">
        <v>44197</v>
      </c>
      <c r="P1326" s="371"/>
      <c r="Q1326" s="158"/>
      <c r="R1326" s="168" t="s">
        <v>2592</v>
      </c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</row>
    <row r="1327" spans="1:39" s="136" customFormat="1" ht="35.25" hidden="1" customHeight="1">
      <c r="A1327" s="15">
        <f t="shared" si="20"/>
        <v>1317</v>
      </c>
      <c r="B1327" s="161" t="s">
        <v>1922</v>
      </c>
      <c r="C1327" s="191" t="s">
        <v>723</v>
      </c>
      <c r="D1327" s="156"/>
      <c r="E1327" s="156"/>
      <c r="F1327" s="156"/>
      <c r="G1327" s="168" t="s">
        <v>2433</v>
      </c>
      <c r="H1327" s="141"/>
      <c r="I1327" s="202" t="s">
        <v>18</v>
      </c>
      <c r="J1327" s="202">
        <v>1</v>
      </c>
      <c r="K1327" s="156" t="s">
        <v>730</v>
      </c>
      <c r="L1327" s="168" t="s">
        <v>2522</v>
      </c>
      <c r="M1327" s="11" t="str">
        <f>VLOOKUP(N1327,'Mã NV'!$A$3:$B$196,2,0)</f>
        <v>TE77</v>
      </c>
      <c r="N1327" s="317" t="s">
        <v>2597</v>
      </c>
      <c r="O1327" s="381">
        <v>44197</v>
      </c>
      <c r="P1327" s="371"/>
      <c r="Q1327" s="158"/>
      <c r="R1327" s="168" t="s">
        <v>2592</v>
      </c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</row>
    <row r="1328" spans="1:39" s="136" customFormat="1" ht="35.25" hidden="1" customHeight="1">
      <c r="A1328" s="15">
        <f t="shared" si="20"/>
        <v>1318</v>
      </c>
      <c r="B1328" s="161" t="s">
        <v>1923</v>
      </c>
      <c r="C1328" s="191" t="s">
        <v>723</v>
      </c>
      <c r="D1328" s="156"/>
      <c r="E1328" s="156"/>
      <c r="F1328" s="156"/>
      <c r="G1328" s="168" t="s">
        <v>2433</v>
      </c>
      <c r="H1328" s="141"/>
      <c r="I1328" s="202" t="s">
        <v>18</v>
      </c>
      <c r="J1328" s="202">
        <v>1</v>
      </c>
      <c r="K1328" s="156" t="s">
        <v>730</v>
      </c>
      <c r="L1328" s="168" t="s">
        <v>2522</v>
      </c>
      <c r="M1328" s="11" t="str">
        <f>VLOOKUP(N1328,'Mã NV'!$A$3:$B$196,2,0)</f>
        <v>TE77</v>
      </c>
      <c r="N1328" s="317" t="s">
        <v>2597</v>
      </c>
      <c r="O1328" s="381">
        <v>44197</v>
      </c>
      <c r="P1328" s="371"/>
      <c r="Q1328" s="158"/>
      <c r="R1328" s="168" t="s">
        <v>2592</v>
      </c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</row>
    <row r="1329" spans="1:39" s="136" customFormat="1" ht="35.25" hidden="1" customHeight="1">
      <c r="A1329" s="15">
        <f t="shared" si="20"/>
        <v>1319</v>
      </c>
      <c r="B1329" s="161" t="s">
        <v>1924</v>
      </c>
      <c r="C1329" s="191" t="s">
        <v>723</v>
      </c>
      <c r="D1329" s="176"/>
      <c r="E1329" s="176"/>
      <c r="F1329" s="176"/>
      <c r="G1329" s="168" t="s">
        <v>2433</v>
      </c>
      <c r="H1329" s="141"/>
      <c r="I1329" s="202" t="s">
        <v>18</v>
      </c>
      <c r="J1329" s="202">
        <v>1</v>
      </c>
      <c r="K1329" s="156" t="s">
        <v>730</v>
      </c>
      <c r="L1329" s="168" t="s">
        <v>2522</v>
      </c>
      <c r="M1329" s="11" t="str">
        <f>VLOOKUP(N1329,'Mã NV'!$A$3:$B$196,2,0)</f>
        <v>TE77</v>
      </c>
      <c r="N1329" s="317" t="s">
        <v>2597</v>
      </c>
      <c r="O1329" s="381">
        <v>44197</v>
      </c>
      <c r="P1329" s="371"/>
      <c r="Q1329" s="158"/>
      <c r="R1329" s="168" t="s">
        <v>2592</v>
      </c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</row>
    <row r="1330" spans="1:39" s="136" customFormat="1" ht="35.25" hidden="1" customHeight="1">
      <c r="A1330" s="15">
        <f t="shared" si="20"/>
        <v>1320</v>
      </c>
      <c r="B1330" s="161" t="s">
        <v>1925</v>
      </c>
      <c r="C1330" s="191" t="s">
        <v>723</v>
      </c>
      <c r="D1330" s="176"/>
      <c r="E1330" s="176"/>
      <c r="F1330" s="176"/>
      <c r="G1330" s="168" t="s">
        <v>2433</v>
      </c>
      <c r="H1330" s="141"/>
      <c r="I1330" s="202" t="s">
        <v>18</v>
      </c>
      <c r="J1330" s="202">
        <v>1</v>
      </c>
      <c r="K1330" s="156" t="s">
        <v>730</v>
      </c>
      <c r="L1330" s="168" t="s">
        <v>2522</v>
      </c>
      <c r="M1330" s="11" t="str">
        <f>VLOOKUP(N1330,'Mã NV'!$A$3:$B$196,2,0)</f>
        <v>TE77</v>
      </c>
      <c r="N1330" s="317" t="s">
        <v>2597</v>
      </c>
      <c r="O1330" s="381">
        <v>44197</v>
      </c>
      <c r="P1330" s="371"/>
      <c r="Q1330" s="158"/>
      <c r="R1330" s="168" t="s">
        <v>2592</v>
      </c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</row>
    <row r="1331" spans="1:39" ht="35.25" hidden="1" customHeight="1">
      <c r="A1331" s="15">
        <f t="shared" si="20"/>
        <v>1321</v>
      </c>
      <c r="B1331" s="161" t="s">
        <v>1926</v>
      </c>
      <c r="C1331" s="191" t="s">
        <v>723</v>
      </c>
      <c r="D1331" s="156"/>
      <c r="E1331" s="156"/>
      <c r="F1331" s="156"/>
      <c r="G1331" s="168" t="s">
        <v>2433</v>
      </c>
      <c r="H1331" s="141"/>
      <c r="I1331" s="202" t="s">
        <v>18</v>
      </c>
      <c r="J1331" s="202">
        <v>1</v>
      </c>
      <c r="K1331" s="156" t="s">
        <v>730</v>
      </c>
      <c r="L1331" s="168" t="s">
        <v>2522</v>
      </c>
      <c r="M1331" s="11" t="str">
        <f>VLOOKUP(N1331,'Mã NV'!$A$3:$B$196,2,0)</f>
        <v>TE77</v>
      </c>
      <c r="N1331" s="317" t="s">
        <v>2597</v>
      </c>
      <c r="O1331" s="381">
        <v>44197</v>
      </c>
      <c r="P1331" s="371"/>
      <c r="Q1331" s="158"/>
      <c r="R1331" s="168" t="s">
        <v>2592</v>
      </c>
    </row>
    <row r="1332" spans="1:39" ht="35.25" hidden="1" customHeight="1">
      <c r="A1332" s="15">
        <f t="shared" si="20"/>
        <v>1322</v>
      </c>
      <c r="B1332" s="161" t="s">
        <v>1927</v>
      </c>
      <c r="C1332" s="191" t="s">
        <v>723</v>
      </c>
      <c r="D1332" s="156"/>
      <c r="E1332" s="156"/>
      <c r="F1332" s="156"/>
      <c r="G1332" s="168" t="s">
        <v>2433</v>
      </c>
      <c r="H1332" s="141"/>
      <c r="I1332" s="202" t="s">
        <v>18</v>
      </c>
      <c r="J1332" s="202">
        <v>1</v>
      </c>
      <c r="K1332" s="156" t="s">
        <v>730</v>
      </c>
      <c r="L1332" s="168" t="s">
        <v>2522</v>
      </c>
      <c r="M1332" s="11" t="str">
        <f>VLOOKUP(N1332,'Mã NV'!$A$3:$B$196,2,0)</f>
        <v>TE77</v>
      </c>
      <c r="N1332" s="317" t="s">
        <v>2597</v>
      </c>
      <c r="O1332" s="381">
        <v>44197</v>
      </c>
      <c r="P1332" s="371"/>
      <c r="Q1332" s="158"/>
      <c r="R1332" s="168" t="s">
        <v>2592</v>
      </c>
    </row>
    <row r="1333" spans="1:39" ht="35.25" hidden="1" customHeight="1">
      <c r="A1333" s="15">
        <f t="shared" si="20"/>
        <v>1323</v>
      </c>
      <c r="B1333" s="161" t="s">
        <v>1928</v>
      </c>
      <c r="C1333" s="191" t="s">
        <v>723</v>
      </c>
      <c r="D1333" s="156"/>
      <c r="E1333" s="156"/>
      <c r="F1333" s="156"/>
      <c r="G1333" s="168" t="s">
        <v>2433</v>
      </c>
      <c r="H1333" s="141"/>
      <c r="I1333" s="202" t="s">
        <v>18</v>
      </c>
      <c r="J1333" s="202">
        <v>1</v>
      </c>
      <c r="K1333" s="156" t="s">
        <v>730</v>
      </c>
      <c r="L1333" s="168" t="s">
        <v>2522</v>
      </c>
      <c r="M1333" s="11" t="str">
        <f>VLOOKUP(N1333,'Mã NV'!$A$3:$B$196,2,0)</f>
        <v>TE77</v>
      </c>
      <c r="N1333" s="317" t="s">
        <v>2597</v>
      </c>
      <c r="O1333" s="381">
        <v>44197</v>
      </c>
      <c r="P1333" s="371"/>
      <c r="Q1333" s="158"/>
      <c r="R1333" s="168" t="s">
        <v>2592</v>
      </c>
    </row>
    <row r="1334" spans="1:39" ht="35.25" hidden="1" customHeight="1">
      <c r="A1334" s="15">
        <f t="shared" si="20"/>
        <v>1324</v>
      </c>
      <c r="B1334" s="161" t="s">
        <v>1929</v>
      </c>
      <c r="C1334" s="191" t="s">
        <v>723</v>
      </c>
      <c r="D1334" s="156"/>
      <c r="E1334" s="156"/>
      <c r="F1334" s="156"/>
      <c r="G1334" s="168" t="s">
        <v>2433</v>
      </c>
      <c r="H1334" s="141"/>
      <c r="I1334" s="202" t="s">
        <v>18</v>
      </c>
      <c r="J1334" s="202">
        <v>1</v>
      </c>
      <c r="K1334" s="156" t="s">
        <v>730</v>
      </c>
      <c r="L1334" s="168" t="s">
        <v>2522</v>
      </c>
      <c r="M1334" s="11" t="str">
        <f>VLOOKUP(N1334,'Mã NV'!$A$3:$B$196,2,0)</f>
        <v>TE77</v>
      </c>
      <c r="N1334" s="317" t="s">
        <v>2597</v>
      </c>
      <c r="O1334" s="381">
        <v>44197</v>
      </c>
      <c r="P1334" s="371"/>
      <c r="Q1334" s="158"/>
      <c r="R1334" s="168" t="s">
        <v>2592</v>
      </c>
    </row>
    <row r="1335" spans="1:39" ht="35.25" hidden="1" customHeight="1">
      <c r="A1335" s="15">
        <f t="shared" si="20"/>
        <v>1325</v>
      </c>
      <c r="B1335" s="161" t="s">
        <v>1930</v>
      </c>
      <c r="C1335" s="191" t="s">
        <v>723</v>
      </c>
      <c r="D1335" s="156"/>
      <c r="E1335" s="156"/>
      <c r="F1335" s="156"/>
      <c r="G1335" s="168" t="s">
        <v>2433</v>
      </c>
      <c r="H1335" s="141"/>
      <c r="I1335" s="202" t="s">
        <v>18</v>
      </c>
      <c r="J1335" s="202">
        <v>1</v>
      </c>
      <c r="K1335" s="156" t="s">
        <v>730</v>
      </c>
      <c r="L1335" s="168" t="s">
        <v>2522</v>
      </c>
      <c r="M1335" s="11" t="str">
        <f>VLOOKUP(N1335,'Mã NV'!$A$3:$B$196,2,0)</f>
        <v>TE77</v>
      </c>
      <c r="N1335" s="317" t="s">
        <v>2597</v>
      </c>
      <c r="O1335" s="381">
        <v>44197</v>
      </c>
      <c r="P1335" s="371"/>
      <c r="Q1335" s="158"/>
      <c r="R1335" s="168" t="s">
        <v>2592</v>
      </c>
    </row>
    <row r="1336" spans="1:39" ht="35.25" hidden="1" customHeight="1">
      <c r="A1336" s="15">
        <f t="shared" si="20"/>
        <v>1326</v>
      </c>
      <c r="B1336" s="161" t="s">
        <v>1931</v>
      </c>
      <c r="C1336" s="191" t="s">
        <v>723</v>
      </c>
      <c r="D1336" s="169"/>
      <c r="E1336" s="169"/>
      <c r="F1336" s="169"/>
      <c r="G1336" s="168" t="s">
        <v>2433</v>
      </c>
      <c r="H1336" s="141"/>
      <c r="I1336" s="202" t="s">
        <v>18</v>
      </c>
      <c r="J1336" s="202">
        <v>1</v>
      </c>
      <c r="K1336" s="156" t="s">
        <v>730</v>
      </c>
      <c r="L1336" s="168" t="s">
        <v>2522</v>
      </c>
      <c r="M1336" s="11" t="str">
        <f>VLOOKUP(N1336,'Mã NV'!$A$3:$B$196,2,0)</f>
        <v>TE77</v>
      </c>
      <c r="N1336" s="317" t="s">
        <v>2597</v>
      </c>
      <c r="O1336" s="381">
        <v>44197</v>
      </c>
      <c r="P1336" s="371"/>
      <c r="Q1336" s="158"/>
      <c r="R1336" s="168" t="s">
        <v>2592</v>
      </c>
    </row>
    <row r="1337" spans="1:39" ht="35.25" hidden="1" customHeight="1">
      <c r="A1337" s="15">
        <f t="shared" si="20"/>
        <v>1327</v>
      </c>
      <c r="B1337" s="161" t="s">
        <v>1932</v>
      </c>
      <c r="C1337" s="191" t="s">
        <v>723</v>
      </c>
      <c r="D1337" s="156"/>
      <c r="E1337" s="156"/>
      <c r="F1337" s="156"/>
      <c r="G1337" s="168" t="s">
        <v>2433</v>
      </c>
      <c r="H1337" s="141"/>
      <c r="I1337" s="202" t="s">
        <v>18</v>
      </c>
      <c r="J1337" s="202">
        <v>1</v>
      </c>
      <c r="K1337" s="156" t="s">
        <v>730</v>
      </c>
      <c r="L1337" s="168" t="s">
        <v>2522</v>
      </c>
      <c r="M1337" s="11" t="str">
        <f>VLOOKUP(N1337,'Mã NV'!$A$3:$B$196,2,0)</f>
        <v>TE77</v>
      </c>
      <c r="N1337" s="317" t="s">
        <v>2597</v>
      </c>
      <c r="O1337" s="381">
        <v>44197</v>
      </c>
      <c r="P1337" s="371"/>
      <c r="Q1337" s="158"/>
      <c r="R1337" s="168" t="s">
        <v>2592</v>
      </c>
    </row>
    <row r="1338" spans="1:39" ht="35.25" hidden="1" customHeight="1">
      <c r="A1338" s="15">
        <f t="shared" si="20"/>
        <v>1328</v>
      </c>
      <c r="B1338" s="161" t="s">
        <v>1933</v>
      </c>
      <c r="C1338" s="191" t="s">
        <v>723</v>
      </c>
      <c r="D1338" s="156"/>
      <c r="E1338" s="156"/>
      <c r="F1338" s="156"/>
      <c r="G1338" s="168" t="s">
        <v>2433</v>
      </c>
      <c r="H1338" s="141"/>
      <c r="I1338" s="202" t="s">
        <v>18</v>
      </c>
      <c r="J1338" s="202">
        <v>1</v>
      </c>
      <c r="K1338" s="156" t="s">
        <v>730</v>
      </c>
      <c r="L1338" s="168" t="s">
        <v>2522</v>
      </c>
      <c r="M1338" s="11" t="str">
        <f>VLOOKUP(N1338,'Mã NV'!$A$3:$B$196,2,0)</f>
        <v>TE77</v>
      </c>
      <c r="N1338" s="317" t="s">
        <v>2597</v>
      </c>
      <c r="O1338" s="381">
        <v>44197</v>
      </c>
      <c r="P1338" s="371"/>
      <c r="Q1338" s="158"/>
      <c r="R1338" s="168" t="s">
        <v>2592</v>
      </c>
    </row>
    <row r="1339" spans="1:39" ht="35.25" hidden="1" customHeight="1">
      <c r="A1339" s="15">
        <f t="shared" si="20"/>
        <v>1329</v>
      </c>
      <c r="B1339" s="161" t="s">
        <v>1934</v>
      </c>
      <c r="C1339" s="191" t="s">
        <v>723</v>
      </c>
      <c r="D1339" s="156"/>
      <c r="E1339" s="156"/>
      <c r="F1339" s="156"/>
      <c r="G1339" s="168" t="s">
        <v>2433</v>
      </c>
      <c r="H1339" s="141"/>
      <c r="I1339" s="202" t="s">
        <v>18</v>
      </c>
      <c r="J1339" s="202">
        <v>1</v>
      </c>
      <c r="K1339" s="156" t="s">
        <v>730</v>
      </c>
      <c r="L1339" s="168" t="s">
        <v>2522</v>
      </c>
      <c r="M1339" s="11" t="str">
        <f>VLOOKUP(N1339,'Mã NV'!$A$3:$B$196,2,0)</f>
        <v>TE77</v>
      </c>
      <c r="N1339" s="317" t="s">
        <v>2597</v>
      </c>
      <c r="O1339" s="381">
        <v>44197</v>
      </c>
      <c r="P1339" s="371"/>
      <c r="Q1339" s="158"/>
      <c r="R1339" s="168" t="s">
        <v>2592</v>
      </c>
    </row>
    <row r="1340" spans="1:39" ht="35.25" hidden="1" customHeight="1">
      <c r="A1340" s="15">
        <f t="shared" si="20"/>
        <v>1330</v>
      </c>
      <c r="B1340" s="161" t="s">
        <v>1935</v>
      </c>
      <c r="C1340" s="191" t="s">
        <v>723</v>
      </c>
      <c r="D1340" s="176"/>
      <c r="E1340" s="176"/>
      <c r="F1340" s="176"/>
      <c r="G1340" s="168" t="s">
        <v>2433</v>
      </c>
      <c r="H1340" s="141"/>
      <c r="I1340" s="202" t="s">
        <v>18</v>
      </c>
      <c r="J1340" s="202">
        <v>1</v>
      </c>
      <c r="K1340" s="156" t="s">
        <v>730</v>
      </c>
      <c r="L1340" s="168" t="s">
        <v>2522</v>
      </c>
      <c r="M1340" s="11" t="str">
        <f>VLOOKUP(N1340,'Mã NV'!$A$3:$B$196,2,0)</f>
        <v>TE77</v>
      </c>
      <c r="N1340" s="317" t="s">
        <v>2597</v>
      </c>
      <c r="O1340" s="381">
        <v>44197</v>
      </c>
      <c r="P1340" s="371"/>
      <c r="Q1340" s="158"/>
      <c r="R1340" s="168" t="s">
        <v>2592</v>
      </c>
    </row>
    <row r="1341" spans="1:39" ht="35.25" hidden="1" customHeight="1">
      <c r="A1341" s="15">
        <f t="shared" si="20"/>
        <v>1331</v>
      </c>
      <c r="B1341" s="161" t="s">
        <v>1936</v>
      </c>
      <c r="C1341" s="191" t="s">
        <v>723</v>
      </c>
      <c r="D1341" s="176"/>
      <c r="E1341" s="176"/>
      <c r="F1341" s="176"/>
      <c r="G1341" s="168" t="s">
        <v>2433</v>
      </c>
      <c r="H1341" s="141"/>
      <c r="I1341" s="202" t="s">
        <v>18</v>
      </c>
      <c r="J1341" s="202">
        <v>1</v>
      </c>
      <c r="K1341" s="156" t="s">
        <v>730</v>
      </c>
      <c r="L1341" s="168" t="s">
        <v>2522</v>
      </c>
      <c r="M1341" s="11" t="str">
        <f>VLOOKUP(N1341,'Mã NV'!$A$3:$B$196,2,0)</f>
        <v>TE77</v>
      </c>
      <c r="N1341" s="317" t="s">
        <v>2597</v>
      </c>
      <c r="O1341" s="381">
        <v>44197</v>
      </c>
      <c r="P1341" s="371"/>
      <c r="Q1341" s="158"/>
      <c r="R1341" s="168" t="s">
        <v>2592</v>
      </c>
    </row>
    <row r="1342" spans="1:39" ht="35.25" hidden="1" customHeight="1">
      <c r="A1342" s="15">
        <f t="shared" si="20"/>
        <v>1332</v>
      </c>
      <c r="B1342" s="161" t="s">
        <v>1937</v>
      </c>
      <c r="C1342" s="191" t="s">
        <v>723</v>
      </c>
      <c r="D1342" s="176"/>
      <c r="E1342" s="176"/>
      <c r="F1342" s="176"/>
      <c r="G1342" s="168" t="s">
        <v>2433</v>
      </c>
      <c r="H1342" s="141"/>
      <c r="I1342" s="202" t="s">
        <v>18</v>
      </c>
      <c r="J1342" s="202">
        <v>1</v>
      </c>
      <c r="K1342" s="156" t="s">
        <v>730</v>
      </c>
      <c r="L1342" s="168" t="s">
        <v>2522</v>
      </c>
      <c r="M1342" s="11" t="str">
        <f>VLOOKUP(N1342,'Mã NV'!$A$3:$B$196,2,0)</f>
        <v>TE77</v>
      </c>
      <c r="N1342" s="317" t="s">
        <v>2597</v>
      </c>
      <c r="O1342" s="381">
        <v>44197</v>
      </c>
      <c r="P1342" s="371"/>
      <c r="Q1342" s="158"/>
      <c r="R1342" s="168" t="s">
        <v>2592</v>
      </c>
    </row>
    <row r="1343" spans="1:39" ht="35.25" hidden="1" customHeight="1">
      <c r="A1343" s="15">
        <f t="shared" si="20"/>
        <v>1333</v>
      </c>
      <c r="B1343" s="161" t="s">
        <v>1938</v>
      </c>
      <c r="C1343" s="191" t="s">
        <v>723</v>
      </c>
      <c r="D1343" s="176"/>
      <c r="E1343" s="176"/>
      <c r="F1343" s="176"/>
      <c r="G1343" s="168" t="s">
        <v>2433</v>
      </c>
      <c r="H1343" s="141"/>
      <c r="I1343" s="202" t="s">
        <v>18</v>
      </c>
      <c r="J1343" s="202">
        <v>1</v>
      </c>
      <c r="K1343" s="156" t="s">
        <v>730</v>
      </c>
      <c r="L1343" s="168" t="s">
        <v>2522</v>
      </c>
      <c r="M1343" s="11" t="str">
        <f>VLOOKUP(N1343,'Mã NV'!$A$3:$B$196,2,0)</f>
        <v>TE77</v>
      </c>
      <c r="N1343" s="317" t="s">
        <v>2597</v>
      </c>
      <c r="O1343" s="381">
        <v>44197</v>
      </c>
      <c r="P1343" s="371"/>
      <c r="Q1343" s="158"/>
      <c r="R1343" s="168" t="s">
        <v>2592</v>
      </c>
    </row>
    <row r="1344" spans="1:39" ht="35.25" hidden="1" customHeight="1">
      <c r="A1344" s="15">
        <f t="shared" si="20"/>
        <v>1334</v>
      </c>
      <c r="B1344" s="161" t="s">
        <v>1939</v>
      </c>
      <c r="C1344" s="191" t="s">
        <v>723</v>
      </c>
      <c r="D1344" s="176"/>
      <c r="E1344" s="176"/>
      <c r="F1344" s="176"/>
      <c r="G1344" s="168" t="s">
        <v>2433</v>
      </c>
      <c r="H1344" s="141"/>
      <c r="I1344" s="202" t="s">
        <v>18</v>
      </c>
      <c r="J1344" s="202">
        <v>1</v>
      </c>
      <c r="K1344" s="156" t="s">
        <v>730</v>
      </c>
      <c r="L1344" s="168" t="s">
        <v>2522</v>
      </c>
      <c r="M1344" s="11" t="str">
        <f>VLOOKUP(N1344,'Mã NV'!$A$3:$B$196,2,0)</f>
        <v>TE77</v>
      </c>
      <c r="N1344" s="317" t="s">
        <v>2597</v>
      </c>
      <c r="O1344" s="381">
        <v>44197</v>
      </c>
      <c r="P1344" s="371"/>
      <c r="Q1344" s="158"/>
      <c r="R1344" s="168" t="s">
        <v>2592</v>
      </c>
    </row>
    <row r="1345" spans="1:39" ht="35.25" hidden="1" customHeight="1">
      <c r="A1345" s="15">
        <f t="shared" si="20"/>
        <v>1335</v>
      </c>
      <c r="B1345" s="161" t="s">
        <v>1940</v>
      </c>
      <c r="C1345" s="191" t="s">
        <v>723</v>
      </c>
      <c r="D1345" s="176"/>
      <c r="E1345" s="176"/>
      <c r="F1345" s="176"/>
      <c r="G1345" s="168" t="s">
        <v>2433</v>
      </c>
      <c r="H1345" s="141"/>
      <c r="I1345" s="202" t="s">
        <v>18</v>
      </c>
      <c r="J1345" s="202">
        <v>1</v>
      </c>
      <c r="K1345" s="156" t="s">
        <v>730</v>
      </c>
      <c r="L1345" s="168" t="s">
        <v>2522</v>
      </c>
      <c r="M1345" s="11" t="str">
        <f>VLOOKUP(N1345,'Mã NV'!$A$3:$B$196,2,0)</f>
        <v>TE77</v>
      </c>
      <c r="N1345" s="317" t="s">
        <v>2597</v>
      </c>
      <c r="O1345" s="381">
        <v>44197</v>
      </c>
      <c r="P1345" s="371"/>
      <c r="Q1345" s="158"/>
      <c r="R1345" s="168" t="s">
        <v>2592</v>
      </c>
    </row>
    <row r="1346" spans="1:39" ht="35.25" hidden="1" customHeight="1">
      <c r="A1346" s="15">
        <f t="shared" si="20"/>
        <v>1336</v>
      </c>
      <c r="B1346" s="161" t="s">
        <v>1941</v>
      </c>
      <c r="C1346" s="191" t="s">
        <v>723</v>
      </c>
      <c r="D1346" s="176"/>
      <c r="E1346" s="176"/>
      <c r="F1346" s="176"/>
      <c r="G1346" s="168" t="s">
        <v>2433</v>
      </c>
      <c r="H1346" s="141"/>
      <c r="I1346" s="202" t="s">
        <v>18</v>
      </c>
      <c r="J1346" s="202">
        <v>1</v>
      </c>
      <c r="K1346" s="156" t="s">
        <v>730</v>
      </c>
      <c r="L1346" s="168" t="s">
        <v>2522</v>
      </c>
      <c r="M1346" s="11" t="str">
        <f>VLOOKUP(N1346,'Mã NV'!$A$3:$B$196,2,0)</f>
        <v>TE77</v>
      </c>
      <c r="N1346" s="317" t="s">
        <v>2597</v>
      </c>
      <c r="O1346" s="381">
        <v>44197</v>
      </c>
      <c r="P1346" s="371"/>
      <c r="Q1346" s="158"/>
      <c r="R1346" s="168" t="s">
        <v>2592</v>
      </c>
    </row>
    <row r="1347" spans="1:39" ht="35.25" hidden="1" customHeight="1">
      <c r="A1347" s="15">
        <f t="shared" si="20"/>
        <v>1337</v>
      </c>
      <c r="B1347" s="161" t="s">
        <v>1942</v>
      </c>
      <c r="C1347" s="191" t="s">
        <v>723</v>
      </c>
      <c r="D1347" s="176"/>
      <c r="E1347" s="176"/>
      <c r="F1347" s="176"/>
      <c r="G1347" s="168" t="s">
        <v>2433</v>
      </c>
      <c r="H1347" s="141"/>
      <c r="I1347" s="202" t="s">
        <v>18</v>
      </c>
      <c r="J1347" s="202">
        <v>1</v>
      </c>
      <c r="K1347" s="156" t="s">
        <v>730</v>
      </c>
      <c r="L1347" s="168" t="s">
        <v>2522</v>
      </c>
      <c r="M1347" s="11" t="str">
        <f>VLOOKUP(N1347,'Mã NV'!$A$3:$B$196,2,0)</f>
        <v>TE77</v>
      </c>
      <c r="N1347" s="317" t="s">
        <v>2597</v>
      </c>
      <c r="O1347" s="381">
        <v>44197</v>
      </c>
      <c r="P1347" s="371"/>
      <c r="Q1347" s="158"/>
      <c r="R1347" s="168" t="s">
        <v>2592</v>
      </c>
    </row>
    <row r="1348" spans="1:39" ht="35.25" hidden="1" customHeight="1">
      <c r="A1348" s="15">
        <f t="shared" si="20"/>
        <v>1338</v>
      </c>
      <c r="B1348" s="161" t="s">
        <v>1943</v>
      </c>
      <c r="C1348" s="191" t="s">
        <v>723</v>
      </c>
      <c r="D1348" s="156"/>
      <c r="E1348" s="156"/>
      <c r="F1348" s="156"/>
      <c r="G1348" s="168" t="s">
        <v>2433</v>
      </c>
      <c r="H1348" s="141"/>
      <c r="I1348" s="202" t="s">
        <v>18</v>
      </c>
      <c r="J1348" s="202">
        <v>1</v>
      </c>
      <c r="K1348" s="156" t="s">
        <v>730</v>
      </c>
      <c r="L1348" s="168" t="s">
        <v>2522</v>
      </c>
      <c r="M1348" s="11" t="str">
        <f>VLOOKUP(N1348,'Mã NV'!$A$3:$B$196,2,0)</f>
        <v>TE77</v>
      </c>
      <c r="N1348" s="317" t="s">
        <v>2597</v>
      </c>
      <c r="O1348" s="381">
        <v>44197</v>
      </c>
      <c r="P1348" s="371"/>
      <c r="Q1348" s="158"/>
      <c r="R1348" s="168" t="s">
        <v>2592</v>
      </c>
    </row>
    <row r="1349" spans="1:39" ht="35.25" hidden="1" customHeight="1">
      <c r="A1349" s="15">
        <f t="shared" si="20"/>
        <v>1339</v>
      </c>
      <c r="B1349" s="161" t="s">
        <v>1944</v>
      </c>
      <c r="C1349" s="191" t="s">
        <v>723</v>
      </c>
      <c r="D1349" s="156"/>
      <c r="E1349" s="156"/>
      <c r="F1349" s="156"/>
      <c r="G1349" s="168" t="s">
        <v>2433</v>
      </c>
      <c r="H1349" s="141"/>
      <c r="I1349" s="202" t="s">
        <v>18</v>
      </c>
      <c r="J1349" s="202">
        <v>1</v>
      </c>
      <c r="K1349" s="156" t="s">
        <v>730</v>
      </c>
      <c r="L1349" s="168" t="s">
        <v>2522</v>
      </c>
      <c r="M1349" s="11" t="str">
        <f>VLOOKUP(N1349,'Mã NV'!$A$3:$B$196,2,0)</f>
        <v>TE77</v>
      </c>
      <c r="N1349" s="317" t="s">
        <v>2597</v>
      </c>
      <c r="O1349" s="381">
        <v>44197</v>
      </c>
      <c r="P1349" s="371"/>
      <c r="Q1349" s="158"/>
      <c r="R1349" s="168" t="s">
        <v>2592</v>
      </c>
    </row>
    <row r="1350" spans="1:39" ht="35.25" hidden="1" customHeight="1">
      <c r="A1350" s="15">
        <f t="shared" si="20"/>
        <v>1340</v>
      </c>
      <c r="B1350" s="161" t="s">
        <v>1945</v>
      </c>
      <c r="C1350" s="191" t="s">
        <v>723</v>
      </c>
      <c r="D1350" s="176"/>
      <c r="E1350" s="176"/>
      <c r="F1350" s="176"/>
      <c r="G1350" s="168" t="s">
        <v>2433</v>
      </c>
      <c r="H1350" s="141"/>
      <c r="I1350" s="202" t="s">
        <v>18</v>
      </c>
      <c r="J1350" s="202">
        <v>1</v>
      </c>
      <c r="K1350" s="156" t="s">
        <v>730</v>
      </c>
      <c r="L1350" s="168" t="s">
        <v>2522</v>
      </c>
      <c r="M1350" s="11" t="str">
        <f>VLOOKUP(N1350,'Mã NV'!$A$3:$B$196,2,0)</f>
        <v>TE77</v>
      </c>
      <c r="N1350" s="317" t="s">
        <v>2597</v>
      </c>
      <c r="O1350" s="381">
        <v>44197</v>
      </c>
      <c r="P1350" s="371"/>
      <c r="Q1350" s="158"/>
      <c r="R1350" s="168" t="s">
        <v>2592</v>
      </c>
    </row>
    <row r="1351" spans="1:39" ht="35.25" hidden="1" customHeight="1">
      <c r="A1351" s="15">
        <f t="shared" si="20"/>
        <v>1341</v>
      </c>
      <c r="B1351" s="161" t="s">
        <v>1946</v>
      </c>
      <c r="C1351" s="191" t="s">
        <v>723</v>
      </c>
      <c r="D1351" s="176"/>
      <c r="E1351" s="176"/>
      <c r="F1351" s="176"/>
      <c r="G1351" s="168" t="s">
        <v>2433</v>
      </c>
      <c r="H1351" s="141"/>
      <c r="I1351" s="202" t="s">
        <v>18</v>
      </c>
      <c r="J1351" s="202">
        <v>1</v>
      </c>
      <c r="K1351" s="156" t="s">
        <v>730</v>
      </c>
      <c r="L1351" s="168" t="s">
        <v>2522</v>
      </c>
      <c r="M1351" s="11" t="str">
        <f>VLOOKUP(N1351,'Mã NV'!$A$3:$B$196,2,0)</f>
        <v>TE77</v>
      </c>
      <c r="N1351" s="317" t="s">
        <v>2597</v>
      </c>
      <c r="O1351" s="381">
        <v>44197</v>
      </c>
      <c r="P1351" s="371"/>
      <c r="Q1351" s="158"/>
      <c r="R1351" s="168" t="s">
        <v>2592</v>
      </c>
    </row>
    <row r="1352" spans="1:39" ht="35.25" hidden="1" customHeight="1">
      <c r="A1352" s="15">
        <f t="shared" si="20"/>
        <v>1342</v>
      </c>
      <c r="B1352" s="161" t="s">
        <v>1947</v>
      </c>
      <c r="C1352" s="191" t="s">
        <v>723</v>
      </c>
      <c r="D1352" s="176"/>
      <c r="E1352" s="176"/>
      <c r="F1352" s="176"/>
      <c r="G1352" s="168" t="s">
        <v>2433</v>
      </c>
      <c r="H1352" s="141"/>
      <c r="I1352" s="202" t="s">
        <v>18</v>
      </c>
      <c r="J1352" s="202">
        <v>1</v>
      </c>
      <c r="K1352" s="156" t="s">
        <v>730</v>
      </c>
      <c r="L1352" s="168" t="s">
        <v>2522</v>
      </c>
      <c r="M1352" s="11" t="str">
        <f>VLOOKUP(N1352,'Mã NV'!$A$3:$B$196,2,0)</f>
        <v>TE77</v>
      </c>
      <c r="N1352" s="317" t="s">
        <v>2597</v>
      </c>
      <c r="O1352" s="381">
        <v>44197</v>
      </c>
      <c r="P1352" s="371"/>
      <c r="Q1352" s="158"/>
      <c r="R1352" s="168" t="s">
        <v>2592</v>
      </c>
    </row>
    <row r="1353" spans="1:39" ht="35.25" hidden="1" customHeight="1">
      <c r="A1353" s="15">
        <f t="shared" si="20"/>
        <v>1343</v>
      </c>
      <c r="B1353" s="161" t="s">
        <v>1948</v>
      </c>
      <c r="C1353" s="191" t="s">
        <v>723</v>
      </c>
      <c r="D1353" s="176"/>
      <c r="E1353" s="176"/>
      <c r="F1353" s="176"/>
      <c r="G1353" s="168" t="s">
        <v>2433</v>
      </c>
      <c r="H1353" s="141"/>
      <c r="I1353" s="202" t="s">
        <v>18</v>
      </c>
      <c r="J1353" s="202">
        <v>1</v>
      </c>
      <c r="K1353" s="156" t="s">
        <v>730</v>
      </c>
      <c r="L1353" s="168" t="s">
        <v>2522</v>
      </c>
      <c r="M1353" s="11" t="str">
        <f>VLOOKUP(N1353,'Mã NV'!$A$3:$B$196,2,0)</f>
        <v>TE77</v>
      </c>
      <c r="N1353" s="317" t="s">
        <v>2597</v>
      </c>
      <c r="O1353" s="381">
        <v>44197</v>
      </c>
      <c r="P1353" s="371"/>
      <c r="Q1353" s="158"/>
      <c r="R1353" s="168" t="s">
        <v>2592</v>
      </c>
    </row>
    <row r="1354" spans="1:39" ht="35.25" hidden="1" customHeight="1">
      <c r="A1354" s="15">
        <f t="shared" si="20"/>
        <v>1344</v>
      </c>
      <c r="B1354" s="161" t="s">
        <v>1949</v>
      </c>
      <c r="C1354" s="191" t="s">
        <v>723</v>
      </c>
      <c r="D1354" s="176"/>
      <c r="E1354" s="176"/>
      <c r="F1354" s="176"/>
      <c r="G1354" s="168" t="s">
        <v>2433</v>
      </c>
      <c r="H1354" s="141"/>
      <c r="I1354" s="202" t="s">
        <v>18</v>
      </c>
      <c r="J1354" s="202">
        <v>1</v>
      </c>
      <c r="K1354" s="156" t="s">
        <v>730</v>
      </c>
      <c r="L1354" s="168" t="s">
        <v>2522</v>
      </c>
      <c r="M1354" s="11" t="str">
        <f>VLOOKUP(N1354,'Mã NV'!$A$3:$B$196,2,0)</f>
        <v>TE77</v>
      </c>
      <c r="N1354" s="317" t="s">
        <v>2597</v>
      </c>
      <c r="O1354" s="381">
        <v>44197</v>
      </c>
      <c r="P1354" s="371"/>
      <c r="Q1354" s="158"/>
      <c r="R1354" s="168" t="s">
        <v>2592</v>
      </c>
    </row>
    <row r="1355" spans="1:39" ht="35.25" hidden="1" customHeight="1">
      <c r="A1355" s="15">
        <f t="shared" si="20"/>
        <v>1345</v>
      </c>
      <c r="B1355" s="161" t="s">
        <v>1950</v>
      </c>
      <c r="C1355" s="191" t="s">
        <v>723</v>
      </c>
      <c r="D1355" s="176"/>
      <c r="E1355" s="176"/>
      <c r="F1355" s="176"/>
      <c r="G1355" s="168" t="s">
        <v>2433</v>
      </c>
      <c r="H1355" s="141"/>
      <c r="I1355" s="202" t="s">
        <v>18</v>
      </c>
      <c r="J1355" s="202">
        <v>1</v>
      </c>
      <c r="K1355" s="156" t="s">
        <v>730</v>
      </c>
      <c r="L1355" s="168" t="s">
        <v>2522</v>
      </c>
      <c r="M1355" s="11" t="str">
        <f>VLOOKUP(N1355,'Mã NV'!$A$3:$B$196,2,0)</f>
        <v>TE77</v>
      </c>
      <c r="N1355" s="317" t="s">
        <v>2597</v>
      </c>
      <c r="O1355" s="381">
        <v>44197</v>
      </c>
      <c r="P1355" s="371"/>
      <c r="Q1355" s="158"/>
      <c r="R1355" s="168" t="s">
        <v>2592</v>
      </c>
    </row>
    <row r="1356" spans="1:39" ht="35.25" hidden="1" customHeight="1">
      <c r="A1356" s="15">
        <f t="shared" si="20"/>
        <v>1346</v>
      </c>
      <c r="B1356" s="161" t="s">
        <v>1951</v>
      </c>
      <c r="C1356" s="191" t="s">
        <v>723</v>
      </c>
      <c r="D1356" s="181"/>
      <c r="E1356" s="181"/>
      <c r="F1356" s="181"/>
      <c r="G1356" s="168" t="s">
        <v>2433</v>
      </c>
      <c r="H1356" s="141"/>
      <c r="I1356" s="202" t="s">
        <v>18</v>
      </c>
      <c r="J1356" s="202">
        <v>1</v>
      </c>
      <c r="K1356" s="156" t="s">
        <v>730</v>
      </c>
      <c r="L1356" s="168" t="s">
        <v>2522</v>
      </c>
      <c r="M1356" s="11" t="str">
        <f>VLOOKUP(N1356,'Mã NV'!$A$3:$B$196,2,0)</f>
        <v>TE77</v>
      </c>
      <c r="N1356" s="317" t="s">
        <v>2597</v>
      </c>
      <c r="O1356" s="381">
        <v>44197</v>
      </c>
      <c r="P1356" s="371"/>
      <c r="Q1356" s="158"/>
      <c r="R1356" s="168" t="s">
        <v>2592</v>
      </c>
    </row>
    <row r="1357" spans="1:39" s="136" customFormat="1" ht="35.25" hidden="1" customHeight="1">
      <c r="A1357" s="15">
        <f t="shared" si="20"/>
        <v>1347</v>
      </c>
      <c r="B1357" s="161" t="s">
        <v>1952</v>
      </c>
      <c r="C1357" s="191" t="s">
        <v>723</v>
      </c>
      <c r="D1357" s="176"/>
      <c r="E1357" s="176"/>
      <c r="F1357" s="176"/>
      <c r="G1357" s="168" t="s">
        <v>2433</v>
      </c>
      <c r="H1357" s="141"/>
      <c r="I1357" s="202" t="s">
        <v>18</v>
      </c>
      <c r="J1357" s="202">
        <v>1</v>
      </c>
      <c r="K1357" s="156" t="s">
        <v>730</v>
      </c>
      <c r="L1357" s="168" t="s">
        <v>2522</v>
      </c>
      <c r="M1357" s="11" t="str">
        <f>VLOOKUP(N1357,'Mã NV'!$A$3:$B$196,2,0)</f>
        <v>TE77</v>
      </c>
      <c r="N1357" s="317" t="s">
        <v>2597</v>
      </c>
      <c r="O1357" s="381">
        <v>44197</v>
      </c>
      <c r="P1357" s="371"/>
      <c r="Q1357" s="158"/>
      <c r="R1357" s="168" t="s">
        <v>2592</v>
      </c>
      <c r="S1357"/>
      <c r="T1357"/>
      <c r="U1357"/>
      <c r="V1357"/>
      <c r="W1357"/>
      <c r="X1357"/>
      <c r="Y1357"/>
      <c r="Z1357"/>
      <c r="AA1357"/>
      <c r="AB1357"/>
      <c r="AC1357"/>
      <c r="AD1357"/>
      <c r="AE1357"/>
      <c r="AF1357"/>
      <c r="AG1357"/>
      <c r="AH1357"/>
      <c r="AI1357"/>
      <c r="AJ1357"/>
      <c r="AK1357"/>
      <c r="AL1357"/>
      <c r="AM1357"/>
    </row>
    <row r="1358" spans="1:39" s="136" customFormat="1" ht="35.25" hidden="1" customHeight="1">
      <c r="A1358" s="15">
        <f t="shared" si="20"/>
        <v>1348</v>
      </c>
      <c r="B1358" s="161" t="s">
        <v>1953</v>
      </c>
      <c r="C1358" s="191" t="s">
        <v>723</v>
      </c>
      <c r="D1358" s="176"/>
      <c r="E1358" s="176"/>
      <c r="F1358" s="176"/>
      <c r="G1358" s="168" t="s">
        <v>2433</v>
      </c>
      <c r="H1358" s="141"/>
      <c r="I1358" s="202" t="s">
        <v>18</v>
      </c>
      <c r="J1358" s="202">
        <v>1</v>
      </c>
      <c r="K1358" s="156" t="s">
        <v>730</v>
      </c>
      <c r="L1358" s="168" t="s">
        <v>2522</v>
      </c>
      <c r="M1358" s="11" t="str">
        <f>VLOOKUP(N1358,'Mã NV'!$A$3:$B$196,2,0)</f>
        <v>TE77</v>
      </c>
      <c r="N1358" s="317" t="s">
        <v>2597</v>
      </c>
      <c r="O1358" s="381">
        <v>44197</v>
      </c>
      <c r="P1358" s="371"/>
      <c r="Q1358" s="158"/>
      <c r="R1358" s="168" t="s">
        <v>2592</v>
      </c>
      <c r="S1358"/>
      <c r="T1358"/>
      <c r="U1358"/>
      <c r="V1358"/>
      <c r="W1358"/>
      <c r="X1358"/>
      <c r="Y1358"/>
      <c r="Z1358"/>
      <c r="AA1358"/>
      <c r="AB1358"/>
      <c r="AC1358"/>
      <c r="AD1358"/>
      <c r="AE1358"/>
      <c r="AF1358"/>
      <c r="AG1358"/>
      <c r="AH1358"/>
      <c r="AI1358"/>
      <c r="AJ1358"/>
      <c r="AK1358"/>
      <c r="AL1358"/>
      <c r="AM1358"/>
    </row>
    <row r="1359" spans="1:39" s="136" customFormat="1" ht="35.25" hidden="1" customHeight="1">
      <c r="A1359" s="15">
        <f t="shared" si="20"/>
        <v>1349</v>
      </c>
      <c r="B1359" s="161" t="s">
        <v>1954</v>
      </c>
      <c r="C1359" s="191" t="s">
        <v>723</v>
      </c>
      <c r="D1359" s="176"/>
      <c r="E1359" s="176"/>
      <c r="F1359" s="176"/>
      <c r="G1359" s="168" t="s">
        <v>2433</v>
      </c>
      <c r="H1359" s="141"/>
      <c r="I1359" s="202" t="s">
        <v>18</v>
      </c>
      <c r="J1359" s="202">
        <v>1</v>
      </c>
      <c r="K1359" s="156" t="s">
        <v>730</v>
      </c>
      <c r="L1359" s="168" t="s">
        <v>2522</v>
      </c>
      <c r="M1359" s="11" t="str">
        <f>VLOOKUP(N1359,'Mã NV'!$A$3:$B$196,2,0)</f>
        <v>TE77</v>
      </c>
      <c r="N1359" s="317" t="s">
        <v>2597</v>
      </c>
      <c r="O1359" s="381">
        <v>44197</v>
      </c>
      <c r="P1359" s="371"/>
      <c r="Q1359" s="158"/>
      <c r="R1359" s="168" t="s">
        <v>2592</v>
      </c>
      <c r="S1359"/>
      <c r="T1359"/>
      <c r="U1359"/>
      <c r="V1359"/>
      <c r="W1359"/>
      <c r="X1359"/>
      <c r="Y1359"/>
      <c r="Z1359"/>
      <c r="AA1359"/>
      <c r="AB1359"/>
      <c r="AC1359"/>
      <c r="AD1359"/>
      <c r="AE1359"/>
      <c r="AF1359"/>
      <c r="AG1359"/>
      <c r="AH1359"/>
      <c r="AI1359"/>
      <c r="AJ1359"/>
      <c r="AK1359"/>
      <c r="AL1359"/>
      <c r="AM1359"/>
    </row>
    <row r="1360" spans="1:39" s="136" customFormat="1" ht="35.25" hidden="1" customHeight="1">
      <c r="A1360" s="15">
        <f t="shared" si="20"/>
        <v>1350</v>
      </c>
      <c r="B1360" s="161" t="s">
        <v>1955</v>
      </c>
      <c r="C1360" s="191" t="s">
        <v>723</v>
      </c>
      <c r="D1360" s="176"/>
      <c r="E1360" s="176"/>
      <c r="F1360" s="176"/>
      <c r="G1360" s="168" t="s">
        <v>2433</v>
      </c>
      <c r="H1360" s="141"/>
      <c r="I1360" s="202" t="s">
        <v>18</v>
      </c>
      <c r="J1360" s="202">
        <v>1</v>
      </c>
      <c r="K1360" s="156" t="s">
        <v>730</v>
      </c>
      <c r="L1360" s="168" t="s">
        <v>2522</v>
      </c>
      <c r="M1360" s="11" t="str">
        <f>VLOOKUP(N1360,'Mã NV'!$A$3:$B$196,2,0)</f>
        <v>TE77</v>
      </c>
      <c r="N1360" s="317" t="s">
        <v>2597</v>
      </c>
      <c r="O1360" s="381">
        <v>44197</v>
      </c>
      <c r="P1360" s="371"/>
      <c r="Q1360" s="158"/>
      <c r="R1360" s="168" t="s">
        <v>2592</v>
      </c>
      <c r="S1360"/>
      <c r="T1360"/>
      <c r="U1360"/>
      <c r="V1360"/>
      <c r="W1360"/>
      <c r="X1360"/>
      <c r="Y1360"/>
      <c r="Z1360"/>
      <c r="AA1360"/>
      <c r="AB1360"/>
      <c r="AC1360"/>
      <c r="AD1360"/>
      <c r="AE1360"/>
      <c r="AF1360"/>
      <c r="AG1360"/>
      <c r="AH1360"/>
      <c r="AI1360"/>
      <c r="AJ1360"/>
      <c r="AK1360"/>
      <c r="AL1360"/>
      <c r="AM1360"/>
    </row>
    <row r="1361" spans="1:39" ht="35.25" hidden="1" customHeight="1">
      <c r="A1361" s="15">
        <f t="shared" si="20"/>
        <v>1351</v>
      </c>
      <c r="B1361" s="161" t="s">
        <v>1956</v>
      </c>
      <c r="C1361" s="191" t="s">
        <v>723</v>
      </c>
      <c r="D1361" s="156"/>
      <c r="E1361" s="156"/>
      <c r="F1361" s="156"/>
      <c r="G1361" s="168" t="s">
        <v>2433</v>
      </c>
      <c r="H1361" s="141"/>
      <c r="I1361" s="202" t="s">
        <v>18</v>
      </c>
      <c r="J1361" s="202">
        <v>1</v>
      </c>
      <c r="K1361" s="156" t="s">
        <v>730</v>
      </c>
      <c r="L1361" s="168" t="s">
        <v>2522</v>
      </c>
      <c r="M1361" s="11" t="str">
        <f>VLOOKUP(N1361,'Mã NV'!$A$3:$B$196,2,0)</f>
        <v>TE77</v>
      </c>
      <c r="N1361" s="317" t="s">
        <v>2597</v>
      </c>
      <c r="O1361" s="381">
        <v>44197</v>
      </c>
      <c r="P1361" s="371"/>
      <c r="Q1361" s="158"/>
      <c r="R1361" s="168" t="s">
        <v>2592</v>
      </c>
    </row>
    <row r="1362" spans="1:39" ht="35.25" hidden="1" customHeight="1">
      <c r="A1362" s="15">
        <f t="shared" ref="A1362:A1425" si="21">A1361+1</f>
        <v>1352</v>
      </c>
      <c r="B1362" s="161" t="s">
        <v>1957</v>
      </c>
      <c r="C1362" s="191" t="s">
        <v>723</v>
      </c>
      <c r="D1362" s="156"/>
      <c r="E1362" s="156"/>
      <c r="F1362" s="156"/>
      <c r="G1362" s="168" t="s">
        <v>2433</v>
      </c>
      <c r="H1362" s="141"/>
      <c r="I1362" s="202" t="s">
        <v>18</v>
      </c>
      <c r="J1362" s="202">
        <v>1</v>
      </c>
      <c r="K1362" s="156" t="s">
        <v>730</v>
      </c>
      <c r="L1362" s="168" t="s">
        <v>2522</v>
      </c>
      <c r="M1362" s="11" t="str">
        <f>VLOOKUP(N1362,'Mã NV'!$A$3:$B$196,2,0)</f>
        <v>TE77</v>
      </c>
      <c r="N1362" s="317" t="s">
        <v>2597</v>
      </c>
      <c r="O1362" s="381">
        <v>44197</v>
      </c>
      <c r="P1362" s="371"/>
      <c r="Q1362" s="158"/>
      <c r="R1362" s="168" t="s">
        <v>2592</v>
      </c>
    </row>
    <row r="1363" spans="1:39" s="136" customFormat="1" ht="35.25" hidden="1" customHeight="1">
      <c r="A1363" s="15">
        <f t="shared" si="21"/>
        <v>1353</v>
      </c>
      <c r="B1363" s="161" t="s">
        <v>1958</v>
      </c>
      <c r="C1363" s="191" t="s">
        <v>723</v>
      </c>
      <c r="D1363" s="156"/>
      <c r="E1363" s="156"/>
      <c r="F1363" s="156"/>
      <c r="G1363" s="168" t="s">
        <v>2433</v>
      </c>
      <c r="H1363" s="141"/>
      <c r="I1363" s="202" t="s">
        <v>18</v>
      </c>
      <c r="J1363" s="202">
        <v>1</v>
      </c>
      <c r="K1363" s="156" t="s">
        <v>730</v>
      </c>
      <c r="L1363" s="168" t="s">
        <v>2522</v>
      </c>
      <c r="M1363" s="11" t="str">
        <f>VLOOKUP(N1363,'Mã NV'!$A$3:$B$196,2,0)</f>
        <v>TE77</v>
      </c>
      <c r="N1363" s="317" t="s">
        <v>2597</v>
      </c>
      <c r="O1363" s="381">
        <v>44197</v>
      </c>
      <c r="P1363" s="371"/>
      <c r="Q1363" s="158"/>
      <c r="R1363" s="168" t="s">
        <v>2592</v>
      </c>
      <c r="S1363"/>
      <c r="T1363"/>
      <c r="U1363"/>
      <c r="V1363"/>
      <c r="W1363"/>
      <c r="X1363"/>
      <c r="Y1363"/>
      <c r="Z1363"/>
      <c r="AA1363"/>
      <c r="AB1363"/>
      <c r="AC1363"/>
      <c r="AD1363"/>
      <c r="AE1363"/>
      <c r="AF1363"/>
      <c r="AG1363"/>
      <c r="AH1363"/>
      <c r="AI1363"/>
      <c r="AJ1363"/>
      <c r="AK1363"/>
      <c r="AL1363"/>
      <c r="AM1363"/>
    </row>
    <row r="1364" spans="1:39" s="136" customFormat="1" ht="35.25" hidden="1" customHeight="1">
      <c r="A1364" s="15">
        <f t="shared" si="21"/>
        <v>1354</v>
      </c>
      <c r="B1364" s="161" t="s">
        <v>1959</v>
      </c>
      <c r="C1364" s="191" t="s">
        <v>723</v>
      </c>
      <c r="D1364" s="156"/>
      <c r="E1364" s="156"/>
      <c r="F1364" s="156"/>
      <c r="G1364" s="168" t="s">
        <v>2433</v>
      </c>
      <c r="H1364" s="141"/>
      <c r="I1364" s="202" t="s">
        <v>18</v>
      </c>
      <c r="J1364" s="202">
        <v>1</v>
      </c>
      <c r="K1364" s="156" t="s">
        <v>730</v>
      </c>
      <c r="L1364" s="168" t="s">
        <v>2522</v>
      </c>
      <c r="M1364" s="11" t="str">
        <f>VLOOKUP(N1364,'Mã NV'!$A$3:$B$196,2,0)</f>
        <v>TE77</v>
      </c>
      <c r="N1364" s="317" t="s">
        <v>2597</v>
      </c>
      <c r="O1364" s="381">
        <v>44197</v>
      </c>
      <c r="P1364" s="371"/>
      <c r="Q1364" s="158"/>
      <c r="R1364" s="168" t="s">
        <v>2592</v>
      </c>
      <c r="S1364"/>
      <c r="T1364"/>
      <c r="U1364"/>
      <c r="V1364"/>
      <c r="W1364"/>
      <c r="X1364"/>
      <c r="Y1364"/>
      <c r="Z1364"/>
      <c r="AA1364"/>
      <c r="AB1364"/>
      <c r="AC1364"/>
      <c r="AD1364"/>
      <c r="AE1364"/>
      <c r="AF1364"/>
      <c r="AG1364"/>
      <c r="AH1364"/>
      <c r="AI1364"/>
      <c r="AJ1364"/>
      <c r="AK1364"/>
      <c r="AL1364"/>
      <c r="AM1364"/>
    </row>
    <row r="1365" spans="1:39" ht="35.25" hidden="1" customHeight="1">
      <c r="A1365" s="15">
        <f t="shared" si="21"/>
        <v>1355</v>
      </c>
      <c r="B1365" s="161" t="s">
        <v>1960</v>
      </c>
      <c r="C1365" s="191" t="s">
        <v>723</v>
      </c>
      <c r="D1365" s="169"/>
      <c r="E1365" s="169"/>
      <c r="F1365" s="169"/>
      <c r="G1365" s="168" t="s">
        <v>2433</v>
      </c>
      <c r="H1365" s="141"/>
      <c r="I1365" s="202" t="s">
        <v>18</v>
      </c>
      <c r="J1365" s="202">
        <v>1</v>
      </c>
      <c r="K1365" s="156" t="s">
        <v>730</v>
      </c>
      <c r="L1365" s="168" t="s">
        <v>2522</v>
      </c>
      <c r="M1365" s="11" t="str">
        <f>VLOOKUP(N1365,'Mã NV'!$A$3:$B$196,2,0)</f>
        <v>TE77</v>
      </c>
      <c r="N1365" s="317" t="s">
        <v>2597</v>
      </c>
      <c r="O1365" s="381">
        <v>44197</v>
      </c>
      <c r="P1365" s="371"/>
      <c r="Q1365" s="176"/>
      <c r="R1365" s="168" t="s">
        <v>2592</v>
      </c>
    </row>
    <row r="1366" spans="1:39" ht="35.25" hidden="1" customHeight="1">
      <c r="A1366" s="15">
        <f t="shared" si="21"/>
        <v>1356</v>
      </c>
      <c r="B1366" s="161" t="s">
        <v>1961</v>
      </c>
      <c r="C1366" s="191" t="s">
        <v>723</v>
      </c>
      <c r="D1366" s="169"/>
      <c r="E1366" s="169"/>
      <c r="F1366" s="169"/>
      <c r="G1366" s="168" t="s">
        <v>2433</v>
      </c>
      <c r="H1366" s="141"/>
      <c r="I1366" s="202" t="s">
        <v>18</v>
      </c>
      <c r="J1366" s="202">
        <v>1</v>
      </c>
      <c r="K1366" s="156" t="s">
        <v>730</v>
      </c>
      <c r="L1366" s="168" t="s">
        <v>2522</v>
      </c>
      <c r="M1366" s="11" t="str">
        <f>VLOOKUP(N1366,'Mã NV'!$A$3:$B$196,2,0)</f>
        <v>TE77</v>
      </c>
      <c r="N1366" s="317" t="s">
        <v>2597</v>
      </c>
      <c r="O1366" s="381">
        <v>44197</v>
      </c>
      <c r="P1366" s="371"/>
      <c r="Q1366" s="176"/>
      <c r="R1366" s="168" t="s">
        <v>2592</v>
      </c>
    </row>
    <row r="1367" spans="1:39" ht="35.25" hidden="1" customHeight="1">
      <c r="A1367" s="15">
        <f t="shared" si="21"/>
        <v>1357</v>
      </c>
      <c r="B1367" s="161" t="s">
        <v>1962</v>
      </c>
      <c r="C1367" s="191" t="s">
        <v>723</v>
      </c>
      <c r="D1367" s="169"/>
      <c r="E1367" s="169"/>
      <c r="F1367" s="169"/>
      <c r="G1367" s="168" t="s">
        <v>2433</v>
      </c>
      <c r="H1367" s="141"/>
      <c r="I1367" s="202" t="s">
        <v>18</v>
      </c>
      <c r="J1367" s="202">
        <v>1</v>
      </c>
      <c r="K1367" s="156" t="s">
        <v>730</v>
      </c>
      <c r="L1367" s="168" t="s">
        <v>2522</v>
      </c>
      <c r="M1367" s="11" t="str">
        <f>VLOOKUP(N1367,'Mã NV'!$A$3:$B$196,2,0)</f>
        <v>TE77</v>
      </c>
      <c r="N1367" s="317" t="s">
        <v>2597</v>
      </c>
      <c r="O1367" s="381">
        <v>44197</v>
      </c>
      <c r="P1367" s="371"/>
      <c r="Q1367" s="176"/>
      <c r="R1367" s="168" t="s">
        <v>2592</v>
      </c>
    </row>
    <row r="1368" spans="1:39" ht="35.25" hidden="1" customHeight="1">
      <c r="A1368" s="15">
        <f t="shared" si="21"/>
        <v>1358</v>
      </c>
      <c r="B1368" s="161" t="s">
        <v>1963</v>
      </c>
      <c r="C1368" s="191" t="s">
        <v>723</v>
      </c>
      <c r="D1368" s="169"/>
      <c r="E1368" s="169"/>
      <c r="F1368" s="169"/>
      <c r="G1368" s="168" t="s">
        <v>2433</v>
      </c>
      <c r="H1368" s="141"/>
      <c r="I1368" s="202" t="s">
        <v>18</v>
      </c>
      <c r="J1368" s="202">
        <v>1</v>
      </c>
      <c r="K1368" s="156" t="s">
        <v>730</v>
      </c>
      <c r="L1368" s="168" t="s">
        <v>2522</v>
      </c>
      <c r="M1368" s="11" t="str">
        <f>VLOOKUP(N1368,'Mã NV'!$A$3:$B$196,2,0)</f>
        <v>TE77</v>
      </c>
      <c r="N1368" s="317" t="s">
        <v>2597</v>
      </c>
      <c r="O1368" s="381">
        <v>44197</v>
      </c>
      <c r="P1368" s="371"/>
      <c r="Q1368" s="176"/>
      <c r="R1368" s="168" t="s">
        <v>2592</v>
      </c>
    </row>
    <row r="1369" spans="1:39" ht="35.25" hidden="1" customHeight="1">
      <c r="A1369" s="15">
        <f t="shared" si="21"/>
        <v>1359</v>
      </c>
      <c r="B1369" s="161" t="s">
        <v>1964</v>
      </c>
      <c r="C1369" s="191" t="s">
        <v>723</v>
      </c>
      <c r="D1369" s="169"/>
      <c r="E1369" s="169"/>
      <c r="F1369" s="169"/>
      <c r="G1369" s="168" t="s">
        <v>2433</v>
      </c>
      <c r="H1369" s="141"/>
      <c r="I1369" s="202" t="s">
        <v>18</v>
      </c>
      <c r="J1369" s="202">
        <v>1</v>
      </c>
      <c r="K1369" s="156" t="s">
        <v>730</v>
      </c>
      <c r="L1369" s="168" t="s">
        <v>2522</v>
      </c>
      <c r="M1369" s="11" t="str">
        <f>VLOOKUP(N1369,'Mã NV'!$A$3:$B$196,2,0)</f>
        <v>TE77</v>
      </c>
      <c r="N1369" s="317" t="s">
        <v>2597</v>
      </c>
      <c r="O1369" s="381">
        <v>44197</v>
      </c>
      <c r="P1369" s="371"/>
      <c r="Q1369" s="176"/>
      <c r="R1369" s="168" t="s">
        <v>2592</v>
      </c>
    </row>
    <row r="1370" spans="1:39" ht="35.25" hidden="1" customHeight="1">
      <c r="A1370" s="15">
        <f t="shared" si="21"/>
        <v>1360</v>
      </c>
      <c r="B1370" s="161" t="s">
        <v>1965</v>
      </c>
      <c r="C1370" s="191" t="s">
        <v>723</v>
      </c>
      <c r="D1370" s="156"/>
      <c r="E1370" s="156"/>
      <c r="F1370" s="156"/>
      <c r="G1370" s="168" t="s">
        <v>2433</v>
      </c>
      <c r="H1370" s="141"/>
      <c r="I1370" s="202" t="s">
        <v>18</v>
      </c>
      <c r="J1370" s="202">
        <v>1</v>
      </c>
      <c r="K1370" s="156" t="s">
        <v>730</v>
      </c>
      <c r="L1370" s="168" t="s">
        <v>2522</v>
      </c>
      <c r="M1370" s="11" t="str">
        <f>VLOOKUP(N1370,'Mã NV'!$A$3:$B$196,2,0)</f>
        <v>TE77</v>
      </c>
      <c r="N1370" s="317" t="s">
        <v>2597</v>
      </c>
      <c r="O1370" s="381">
        <v>44197</v>
      </c>
      <c r="P1370" s="371"/>
      <c r="Q1370" s="158"/>
      <c r="R1370" s="168" t="s">
        <v>2592</v>
      </c>
    </row>
    <row r="1371" spans="1:39" ht="35.25" hidden="1" customHeight="1">
      <c r="A1371" s="15">
        <f t="shared" si="21"/>
        <v>1361</v>
      </c>
      <c r="B1371" s="161" t="s">
        <v>1966</v>
      </c>
      <c r="C1371" s="191" t="s">
        <v>723</v>
      </c>
      <c r="D1371" s="156"/>
      <c r="E1371" s="156"/>
      <c r="F1371" s="156"/>
      <c r="G1371" s="168" t="s">
        <v>2433</v>
      </c>
      <c r="H1371" s="141"/>
      <c r="I1371" s="202" t="s">
        <v>18</v>
      </c>
      <c r="J1371" s="202">
        <v>1</v>
      </c>
      <c r="K1371" s="156" t="s">
        <v>730</v>
      </c>
      <c r="L1371" s="168" t="s">
        <v>2522</v>
      </c>
      <c r="M1371" s="11" t="str">
        <f>VLOOKUP(N1371,'Mã NV'!$A$3:$B$196,2,0)</f>
        <v>TE77</v>
      </c>
      <c r="N1371" s="317" t="s">
        <v>2597</v>
      </c>
      <c r="O1371" s="381">
        <v>44197</v>
      </c>
      <c r="P1371" s="371"/>
      <c r="Q1371" s="158"/>
      <c r="R1371" s="168" t="s">
        <v>2592</v>
      </c>
    </row>
    <row r="1372" spans="1:39" ht="35.25" hidden="1" customHeight="1">
      <c r="A1372" s="15">
        <f t="shared" si="21"/>
        <v>1362</v>
      </c>
      <c r="B1372" s="161" t="s">
        <v>1967</v>
      </c>
      <c r="C1372" s="191" t="s">
        <v>723</v>
      </c>
      <c r="D1372" s="156"/>
      <c r="E1372" s="156"/>
      <c r="F1372" s="156"/>
      <c r="G1372" s="168" t="s">
        <v>2433</v>
      </c>
      <c r="H1372" s="141"/>
      <c r="I1372" s="202" t="s">
        <v>18</v>
      </c>
      <c r="J1372" s="202">
        <v>1</v>
      </c>
      <c r="K1372" s="156" t="s">
        <v>730</v>
      </c>
      <c r="L1372" s="168" t="s">
        <v>2522</v>
      </c>
      <c r="M1372" s="11" t="str">
        <f>VLOOKUP(N1372,'Mã NV'!$A$3:$B$196,2,0)</f>
        <v>TE77</v>
      </c>
      <c r="N1372" s="317" t="s">
        <v>2597</v>
      </c>
      <c r="O1372" s="381">
        <v>44197</v>
      </c>
      <c r="P1372" s="371"/>
      <c r="Q1372" s="158"/>
      <c r="R1372" s="168" t="s">
        <v>2592</v>
      </c>
    </row>
    <row r="1373" spans="1:39" ht="35.25" hidden="1" customHeight="1">
      <c r="A1373" s="15">
        <f t="shared" si="21"/>
        <v>1363</v>
      </c>
      <c r="B1373" s="161" t="s">
        <v>1968</v>
      </c>
      <c r="C1373" s="191" t="s">
        <v>723</v>
      </c>
      <c r="D1373" s="156"/>
      <c r="E1373" s="156"/>
      <c r="F1373" s="156"/>
      <c r="G1373" s="168" t="s">
        <v>2433</v>
      </c>
      <c r="H1373" s="141"/>
      <c r="I1373" s="202" t="s">
        <v>18</v>
      </c>
      <c r="J1373" s="202">
        <v>1</v>
      </c>
      <c r="K1373" s="156" t="s">
        <v>730</v>
      </c>
      <c r="L1373" s="168" t="s">
        <v>2522</v>
      </c>
      <c r="M1373" s="11" t="str">
        <f>VLOOKUP(N1373,'Mã NV'!$A$3:$B$196,2,0)</f>
        <v>TE77</v>
      </c>
      <c r="N1373" s="317" t="s">
        <v>2597</v>
      </c>
      <c r="O1373" s="381">
        <v>44197</v>
      </c>
      <c r="P1373" s="371"/>
      <c r="Q1373" s="158"/>
      <c r="R1373" s="168" t="s">
        <v>2592</v>
      </c>
    </row>
    <row r="1374" spans="1:39" ht="35.25" hidden="1" customHeight="1">
      <c r="A1374" s="15">
        <f t="shared" si="21"/>
        <v>1364</v>
      </c>
      <c r="B1374" s="161" t="s">
        <v>1969</v>
      </c>
      <c r="C1374" s="191" t="s">
        <v>723</v>
      </c>
      <c r="D1374" s="156"/>
      <c r="E1374" s="156"/>
      <c r="F1374" s="156"/>
      <c r="G1374" s="168" t="s">
        <v>2433</v>
      </c>
      <c r="H1374" s="141"/>
      <c r="I1374" s="202" t="s">
        <v>18</v>
      </c>
      <c r="J1374" s="202">
        <v>1</v>
      </c>
      <c r="K1374" s="156" t="s">
        <v>730</v>
      </c>
      <c r="L1374" s="168" t="s">
        <v>2522</v>
      </c>
      <c r="M1374" s="11" t="str">
        <f>VLOOKUP(N1374,'Mã NV'!$A$3:$B$196,2,0)</f>
        <v>TE77</v>
      </c>
      <c r="N1374" s="317" t="s">
        <v>2597</v>
      </c>
      <c r="O1374" s="381">
        <v>44197</v>
      </c>
      <c r="P1374" s="371"/>
      <c r="Q1374" s="158"/>
      <c r="R1374" s="168" t="s">
        <v>2592</v>
      </c>
    </row>
    <row r="1375" spans="1:39" ht="35.25" hidden="1" customHeight="1">
      <c r="A1375" s="15">
        <f t="shared" si="21"/>
        <v>1365</v>
      </c>
      <c r="B1375" s="161" t="s">
        <v>1970</v>
      </c>
      <c r="C1375" s="191" t="s">
        <v>723</v>
      </c>
      <c r="D1375" s="156"/>
      <c r="E1375" s="156"/>
      <c r="F1375" s="156"/>
      <c r="G1375" s="168" t="s">
        <v>2433</v>
      </c>
      <c r="H1375" s="141"/>
      <c r="I1375" s="202" t="s">
        <v>18</v>
      </c>
      <c r="J1375" s="202">
        <v>1</v>
      </c>
      <c r="K1375" s="156" t="s">
        <v>730</v>
      </c>
      <c r="L1375" s="168" t="s">
        <v>2522</v>
      </c>
      <c r="M1375" s="11" t="str">
        <f>VLOOKUP(N1375,'Mã NV'!$A$3:$B$196,2,0)</f>
        <v>TE77</v>
      </c>
      <c r="N1375" s="317" t="s">
        <v>2597</v>
      </c>
      <c r="O1375" s="381">
        <v>44197</v>
      </c>
      <c r="P1375" s="371"/>
      <c r="Q1375" s="158"/>
      <c r="R1375" s="168" t="s">
        <v>2592</v>
      </c>
    </row>
    <row r="1376" spans="1:39" ht="35.25" hidden="1" customHeight="1">
      <c r="A1376" s="15">
        <f t="shared" si="21"/>
        <v>1366</v>
      </c>
      <c r="B1376" s="161" t="s">
        <v>1971</v>
      </c>
      <c r="C1376" s="191" t="s">
        <v>723</v>
      </c>
      <c r="D1376" s="156"/>
      <c r="E1376" s="156"/>
      <c r="F1376" s="156"/>
      <c r="G1376" s="168" t="s">
        <v>2433</v>
      </c>
      <c r="H1376" s="141"/>
      <c r="I1376" s="202" t="s">
        <v>18</v>
      </c>
      <c r="J1376" s="202">
        <v>1</v>
      </c>
      <c r="K1376" s="156" t="s">
        <v>730</v>
      </c>
      <c r="L1376" s="168" t="s">
        <v>2522</v>
      </c>
      <c r="M1376" s="11" t="str">
        <f>VLOOKUP(N1376,'Mã NV'!$A$3:$B$196,2,0)</f>
        <v>TE77</v>
      </c>
      <c r="N1376" s="317" t="s">
        <v>2597</v>
      </c>
      <c r="O1376" s="381">
        <v>44197</v>
      </c>
      <c r="P1376" s="371"/>
      <c r="Q1376" s="158"/>
      <c r="R1376" s="168" t="s">
        <v>2592</v>
      </c>
    </row>
    <row r="1377" spans="1:18" ht="35.25" hidden="1" customHeight="1">
      <c r="A1377" s="15">
        <f t="shared" si="21"/>
        <v>1367</v>
      </c>
      <c r="B1377" s="161" t="s">
        <v>1972</v>
      </c>
      <c r="C1377" s="191" t="s">
        <v>723</v>
      </c>
      <c r="D1377" s="156"/>
      <c r="E1377" s="156"/>
      <c r="F1377" s="156"/>
      <c r="G1377" s="168" t="s">
        <v>2433</v>
      </c>
      <c r="H1377" s="141"/>
      <c r="I1377" s="202" t="s">
        <v>18</v>
      </c>
      <c r="J1377" s="202">
        <v>1</v>
      </c>
      <c r="K1377" s="156" t="s">
        <v>730</v>
      </c>
      <c r="L1377" s="168" t="s">
        <v>2522</v>
      </c>
      <c r="M1377" s="11" t="str">
        <f>VLOOKUP(N1377,'Mã NV'!$A$3:$B$196,2,0)</f>
        <v>TE77</v>
      </c>
      <c r="N1377" s="317" t="s">
        <v>2597</v>
      </c>
      <c r="O1377" s="381">
        <v>44197</v>
      </c>
      <c r="P1377" s="371"/>
      <c r="Q1377" s="158"/>
      <c r="R1377" s="168" t="s">
        <v>2592</v>
      </c>
    </row>
    <row r="1378" spans="1:18" ht="35.25" hidden="1" customHeight="1">
      <c r="A1378" s="15">
        <f t="shared" si="21"/>
        <v>1368</v>
      </c>
      <c r="B1378" s="161" t="s">
        <v>1973</v>
      </c>
      <c r="C1378" s="191" t="s">
        <v>723</v>
      </c>
      <c r="D1378" s="156"/>
      <c r="E1378" s="156"/>
      <c r="F1378" s="156"/>
      <c r="G1378" s="168" t="s">
        <v>2433</v>
      </c>
      <c r="H1378" s="141"/>
      <c r="I1378" s="202" t="s">
        <v>18</v>
      </c>
      <c r="J1378" s="202">
        <v>1</v>
      </c>
      <c r="K1378" s="156" t="s">
        <v>730</v>
      </c>
      <c r="L1378" s="168" t="s">
        <v>2522</v>
      </c>
      <c r="M1378" s="11" t="str">
        <f>VLOOKUP(N1378,'Mã NV'!$A$3:$B$196,2,0)</f>
        <v>TE77</v>
      </c>
      <c r="N1378" s="317" t="s">
        <v>2597</v>
      </c>
      <c r="O1378" s="381">
        <v>44197</v>
      </c>
      <c r="P1378" s="371"/>
      <c r="Q1378" s="158"/>
      <c r="R1378" s="168" t="s">
        <v>2592</v>
      </c>
    </row>
    <row r="1379" spans="1:18" ht="35.25" hidden="1" customHeight="1">
      <c r="A1379" s="15">
        <f t="shared" si="21"/>
        <v>1369</v>
      </c>
      <c r="B1379" s="161" t="s">
        <v>1974</v>
      </c>
      <c r="C1379" s="191" t="s">
        <v>723</v>
      </c>
      <c r="D1379" s="156"/>
      <c r="E1379" s="156"/>
      <c r="F1379" s="156"/>
      <c r="G1379" s="168" t="s">
        <v>2433</v>
      </c>
      <c r="H1379" s="141"/>
      <c r="I1379" s="202" t="s">
        <v>18</v>
      </c>
      <c r="J1379" s="202">
        <v>1</v>
      </c>
      <c r="K1379" s="156" t="s">
        <v>730</v>
      </c>
      <c r="L1379" s="168" t="s">
        <v>2522</v>
      </c>
      <c r="M1379" s="11" t="str">
        <f>VLOOKUP(N1379,'Mã NV'!$A$3:$B$196,2,0)</f>
        <v>TE77</v>
      </c>
      <c r="N1379" s="317" t="s">
        <v>2597</v>
      </c>
      <c r="O1379" s="381">
        <v>44197</v>
      </c>
      <c r="P1379" s="371"/>
      <c r="Q1379" s="158"/>
      <c r="R1379" s="168" t="s">
        <v>2592</v>
      </c>
    </row>
    <row r="1380" spans="1:18" ht="35.25" hidden="1" customHeight="1">
      <c r="A1380" s="15">
        <f t="shared" si="21"/>
        <v>1370</v>
      </c>
      <c r="B1380" s="161" t="s">
        <v>1975</v>
      </c>
      <c r="C1380" s="191" t="s">
        <v>723</v>
      </c>
      <c r="D1380" s="156"/>
      <c r="E1380" s="156"/>
      <c r="F1380" s="156"/>
      <c r="G1380" s="168" t="s">
        <v>2433</v>
      </c>
      <c r="H1380" s="141"/>
      <c r="I1380" s="202" t="s">
        <v>18</v>
      </c>
      <c r="J1380" s="202">
        <v>1</v>
      </c>
      <c r="K1380" s="156" t="s">
        <v>730</v>
      </c>
      <c r="L1380" s="168" t="s">
        <v>2522</v>
      </c>
      <c r="M1380" s="11" t="str">
        <f>VLOOKUP(N1380,'Mã NV'!$A$3:$B$196,2,0)</f>
        <v>TE77</v>
      </c>
      <c r="N1380" s="317" t="s">
        <v>2597</v>
      </c>
      <c r="O1380" s="381">
        <v>44197</v>
      </c>
      <c r="P1380" s="371"/>
      <c r="Q1380" s="158"/>
      <c r="R1380" s="168" t="s">
        <v>2592</v>
      </c>
    </row>
    <row r="1381" spans="1:18" ht="35.25" hidden="1" customHeight="1">
      <c r="A1381" s="15">
        <f t="shared" si="21"/>
        <v>1371</v>
      </c>
      <c r="B1381" s="161" t="s">
        <v>1976</v>
      </c>
      <c r="C1381" s="191" t="s">
        <v>723</v>
      </c>
      <c r="D1381" s="156"/>
      <c r="E1381" s="156"/>
      <c r="F1381" s="156"/>
      <c r="G1381" s="168" t="s">
        <v>2434</v>
      </c>
      <c r="H1381" s="141"/>
      <c r="I1381" s="202" t="s">
        <v>18</v>
      </c>
      <c r="J1381" s="202">
        <v>1</v>
      </c>
      <c r="K1381" s="156" t="s">
        <v>730</v>
      </c>
      <c r="L1381" s="168" t="s">
        <v>2522</v>
      </c>
      <c r="M1381" s="11" t="str">
        <f>VLOOKUP(N1381,'Mã NV'!$A$3:$B$196,2,0)</f>
        <v>TE77</v>
      </c>
      <c r="N1381" s="317" t="s">
        <v>2597</v>
      </c>
      <c r="O1381" s="381">
        <v>44197</v>
      </c>
      <c r="P1381" s="371"/>
      <c r="Q1381" s="158"/>
      <c r="R1381" s="168" t="s">
        <v>2592</v>
      </c>
    </row>
    <row r="1382" spans="1:18" ht="35.25" hidden="1" customHeight="1">
      <c r="A1382" s="15">
        <f t="shared" si="21"/>
        <v>1372</v>
      </c>
      <c r="B1382" s="161" t="s">
        <v>1977</v>
      </c>
      <c r="C1382" s="191" t="s">
        <v>723</v>
      </c>
      <c r="D1382" s="156"/>
      <c r="E1382" s="156"/>
      <c r="F1382" s="156"/>
      <c r="G1382" s="168" t="s">
        <v>2434</v>
      </c>
      <c r="H1382" s="141"/>
      <c r="I1382" s="202" t="s">
        <v>18</v>
      </c>
      <c r="J1382" s="202">
        <v>1</v>
      </c>
      <c r="K1382" s="156" t="s">
        <v>730</v>
      </c>
      <c r="L1382" s="168" t="s">
        <v>2522</v>
      </c>
      <c r="M1382" s="11" t="str">
        <f>VLOOKUP(N1382,'Mã NV'!$A$3:$B$196,2,0)</f>
        <v>TE77</v>
      </c>
      <c r="N1382" s="317" t="s">
        <v>2597</v>
      </c>
      <c r="O1382" s="381">
        <v>44197</v>
      </c>
      <c r="P1382" s="371"/>
      <c r="Q1382" s="158"/>
      <c r="R1382" s="168" t="s">
        <v>2592</v>
      </c>
    </row>
    <row r="1383" spans="1:18" ht="35.25" hidden="1" customHeight="1">
      <c r="A1383" s="15">
        <f t="shared" si="21"/>
        <v>1373</v>
      </c>
      <c r="B1383" s="161" t="s">
        <v>1978</v>
      </c>
      <c r="C1383" s="191" t="s">
        <v>723</v>
      </c>
      <c r="D1383" s="156"/>
      <c r="E1383" s="156"/>
      <c r="F1383" s="156"/>
      <c r="G1383" s="168" t="s">
        <v>2434</v>
      </c>
      <c r="H1383" s="141"/>
      <c r="I1383" s="202" t="s">
        <v>18</v>
      </c>
      <c r="J1383" s="202">
        <v>1</v>
      </c>
      <c r="K1383" s="156" t="s">
        <v>730</v>
      </c>
      <c r="L1383" s="168" t="s">
        <v>2522</v>
      </c>
      <c r="M1383" s="11" t="str">
        <f>VLOOKUP(N1383,'Mã NV'!$A$3:$B$196,2,0)</f>
        <v>TE77</v>
      </c>
      <c r="N1383" s="317" t="s">
        <v>2597</v>
      </c>
      <c r="O1383" s="381">
        <v>44197</v>
      </c>
      <c r="P1383" s="371"/>
      <c r="Q1383" s="158"/>
      <c r="R1383" s="168" t="s">
        <v>2592</v>
      </c>
    </row>
    <row r="1384" spans="1:18" ht="35.25" hidden="1" customHeight="1">
      <c r="A1384" s="15">
        <f t="shared" si="21"/>
        <v>1374</v>
      </c>
      <c r="B1384" s="161" t="s">
        <v>1979</v>
      </c>
      <c r="C1384" s="191" t="s">
        <v>723</v>
      </c>
      <c r="D1384" s="156"/>
      <c r="E1384" s="156"/>
      <c r="F1384" s="156"/>
      <c r="G1384" s="168" t="s">
        <v>2434</v>
      </c>
      <c r="H1384" s="141"/>
      <c r="I1384" s="202" t="s">
        <v>18</v>
      </c>
      <c r="J1384" s="202">
        <v>1</v>
      </c>
      <c r="K1384" s="156" t="s">
        <v>730</v>
      </c>
      <c r="L1384" s="168" t="s">
        <v>2522</v>
      </c>
      <c r="M1384" s="11" t="str">
        <f>VLOOKUP(N1384,'Mã NV'!$A$3:$B$196,2,0)</f>
        <v>TE77</v>
      </c>
      <c r="N1384" s="317" t="s">
        <v>2597</v>
      </c>
      <c r="O1384" s="381">
        <v>44197</v>
      </c>
      <c r="P1384" s="371"/>
      <c r="Q1384" s="158"/>
      <c r="R1384" s="168" t="s">
        <v>2592</v>
      </c>
    </row>
    <row r="1385" spans="1:18" ht="35.25" hidden="1" customHeight="1">
      <c r="A1385" s="15">
        <f t="shared" si="21"/>
        <v>1375</v>
      </c>
      <c r="B1385" s="161" t="s">
        <v>1980</v>
      </c>
      <c r="C1385" s="191" t="s">
        <v>723</v>
      </c>
      <c r="D1385" s="156"/>
      <c r="E1385" s="156"/>
      <c r="F1385" s="156"/>
      <c r="G1385" s="168" t="s">
        <v>2434</v>
      </c>
      <c r="H1385" s="141"/>
      <c r="I1385" s="202" t="s">
        <v>18</v>
      </c>
      <c r="J1385" s="202">
        <v>1</v>
      </c>
      <c r="K1385" s="156" t="s">
        <v>730</v>
      </c>
      <c r="L1385" s="168" t="s">
        <v>2522</v>
      </c>
      <c r="M1385" s="11" t="str">
        <f>VLOOKUP(N1385,'Mã NV'!$A$3:$B$196,2,0)</f>
        <v>TE77</v>
      </c>
      <c r="N1385" s="317" t="s">
        <v>2597</v>
      </c>
      <c r="O1385" s="381">
        <v>44197</v>
      </c>
      <c r="P1385" s="371"/>
      <c r="Q1385" s="158"/>
      <c r="R1385" s="168" t="s">
        <v>2592</v>
      </c>
    </row>
    <row r="1386" spans="1:18" ht="35.25" hidden="1" customHeight="1">
      <c r="A1386" s="15">
        <f t="shared" si="21"/>
        <v>1376</v>
      </c>
      <c r="B1386" s="161" t="s">
        <v>1981</v>
      </c>
      <c r="C1386" s="191" t="s">
        <v>723</v>
      </c>
      <c r="D1386" s="156"/>
      <c r="E1386" s="156"/>
      <c r="F1386" s="156"/>
      <c r="G1386" s="168" t="s">
        <v>2434</v>
      </c>
      <c r="H1386" s="141"/>
      <c r="I1386" s="202" t="s">
        <v>18</v>
      </c>
      <c r="J1386" s="202">
        <v>1</v>
      </c>
      <c r="K1386" s="156" t="s">
        <v>730</v>
      </c>
      <c r="L1386" s="168" t="s">
        <v>2522</v>
      </c>
      <c r="M1386" s="11" t="str">
        <f>VLOOKUP(N1386,'Mã NV'!$A$3:$B$196,2,0)</f>
        <v>TE77</v>
      </c>
      <c r="N1386" s="317" t="s">
        <v>2597</v>
      </c>
      <c r="O1386" s="381">
        <v>44197</v>
      </c>
      <c r="P1386" s="371"/>
      <c r="Q1386" s="158"/>
      <c r="R1386" s="168" t="s">
        <v>2592</v>
      </c>
    </row>
    <row r="1387" spans="1:18" ht="35.25" hidden="1" customHeight="1">
      <c r="A1387" s="15">
        <f t="shared" si="21"/>
        <v>1377</v>
      </c>
      <c r="B1387" s="161" t="s">
        <v>1982</v>
      </c>
      <c r="C1387" s="191" t="s">
        <v>723</v>
      </c>
      <c r="D1387" s="156"/>
      <c r="E1387" s="156"/>
      <c r="F1387" s="156"/>
      <c r="G1387" s="168" t="s">
        <v>2434</v>
      </c>
      <c r="H1387" s="141"/>
      <c r="I1387" s="202" t="s">
        <v>18</v>
      </c>
      <c r="J1387" s="202">
        <v>1</v>
      </c>
      <c r="K1387" s="156" t="s">
        <v>730</v>
      </c>
      <c r="L1387" s="168" t="s">
        <v>2522</v>
      </c>
      <c r="M1387" s="11" t="str">
        <f>VLOOKUP(N1387,'Mã NV'!$A$3:$B$196,2,0)</f>
        <v>TE77</v>
      </c>
      <c r="N1387" s="317" t="s">
        <v>2597</v>
      </c>
      <c r="O1387" s="381">
        <v>44197</v>
      </c>
      <c r="P1387" s="371"/>
      <c r="Q1387" s="158"/>
      <c r="R1387" s="168" t="s">
        <v>2592</v>
      </c>
    </row>
    <row r="1388" spans="1:18" ht="35.25" hidden="1" customHeight="1">
      <c r="A1388" s="15">
        <f t="shared" si="21"/>
        <v>1378</v>
      </c>
      <c r="B1388" s="161" t="s">
        <v>1983</v>
      </c>
      <c r="C1388" s="191" t="s">
        <v>723</v>
      </c>
      <c r="D1388" s="156"/>
      <c r="E1388" s="156"/>
      <c r="F1388" s="156"/>
      <c r="G1388" s="168" t="s">
        <v>2434</v>
      </c>
      <c r="H1388" s="141"/>
      <c r="I1388" s="202" t="s">
        <v>18</v>
      </c>
      <c r="J1388" s="202">
        <v>1</v>
      </c>
      <c r="K1388" s="156" t="s">
        <v>730</v>
      </c>
      <c r="L1388" s="168" t="s">
        <v>2522</v>
      </c>
      <c r="M1388" s="11" t="str">
        <f>VLOOKUP(N1388,'Mã NV'!$A$3:$B$196,2,0)</f>
        <v>TE77</v>
      </c>
      <c r="N1388" s="317" t="s">
        <v>2597</v>
      </c>
      <c r="O1388" s="381">
        <v>44197</v>
      </c>
      <c r="P1388" s="371"/>
      <c r="Q1388" s="158"/>
      <c r="R1388" s="168" t="s">
        <v>2592</v>
      </c>
    </row>
    <row r="1389" spans="1:18" ht="35.25" hidden="1" customHeight="1">
      <c r="A1389" s="15">
        <f t="shared" si="21"/>
        <v>1379</v>
      </c>
      <c r="B1389" s="161" t="s">
        <v>1984</v>
      </c>
      <c r="C1389" s="191" t="s">
        <v>723</v>
      </c>
      <c r="D1389" s="156"/>
      <c r="E1389" s="156"/>
      <c r="F1389" s="156"/>
      <c r="G1389" s="168" t="s">
        <v>2434</v>
      </c>
      <c r="H1389" s="141"/>
      <c r="I1389" s="202" t="s">
        <v>18</v>
      </c>
      <c r="J1389" s="202">
        <v>1</v>
      </c>
      <c r="K1389" s="156" t="s">
        <v>730</v>
      </c>
      <c r="L1389" s="168" t="s">
        <v>2522</v>
      </c>
      <c r="M1389" s="11" t="str">
        <f>VLOOKUP(N1389,'Mã NV'!$A$3:$B$196,2,0)</f>
        <v>TE77</v>
      </c>
      <c r="N1389" s="317" t="s">
        <v>2597</v>
      </c>
      <c r="O1389" s="381">
        <v>44197</v>
      </c>
      <c r="P1389" s="371"/>
      <c r="Q1389" s="158"/>
      <c r="R1389" s="168" t="s">
        <v>2592</v>
      </c>
    </row>
    <row r="1390" spans="1:18" ht="35.25" hidden="1" customHeight="1">
      <c r="A1390" s="15">
        <f t="shared" si="21"/>
        <v>1380</v>
      </c>
      <c r="B1390" s="161" t="s">
        <v>1985</v>
      </c>
      <c r="C1390" s="191" t="s">
        <v>1986</v>
      </c>
      <c r="D1390" s="156"/>
      <c r="E1390" s="156"/>
      <c r="F1390" s="156"/>
      <c r="G1390" s="168"/>
      <c r="H1390" s="141"/>
      <c r="I1390" s="202" t="s">
        <v>18</v>
      </c>
      <c r="J1390" s="202">
        <v>1</v>
      </c>
      <c r="K1390" s="156" t="s">
        <v>730</v>
      </c>
      <c r="L1390" s="168" t="s">
        <v>2522</v>
      </c>
      <c r="M1390" s="11" t="str">
        <f>VLOOKUP(N1390,'Mã NV'!$A$3:$B$196,2,0)</f>
        <v>TE77</v>
      </c>
      <c r="N1390" s="317" t="s">
        <v>2597</v>
      </c>
      <c r="O1390" s="381">
        <v>44197</v>
      </c>
      <c r="P1390" s="371"/>
      <c r="Q1390" s="158"/>
      <c r="R1390" s="168" t="s">
        <v>2592</v>
      </c>
    </row>
    <row r="1391" spans="1:18" ht="35.25" hidden="1" customHeight="1">
      <c r="A1391" s="15">
        <f t="shared" si="21"/>
        <v>1381</v>
      </c>
      <c r="B1391" s="161" t="s">
        <v>1987</v>
      </c>
      <c r="C1391" s="191" t="s">
        <v>1988</v>
      </c>
      <c r="D1391" s="156"/>
      <c r="E1391" s="156"/>
      <c r="F1391" s="156"/>
      <c r="G1391" s="161" t="s">
        <v>2435</v>
      </c>
      <c r="H1391" s="141"/>
      <c r="I1391" s="202" t="s">
        <v>18</v>
      </c>
      <c r="J1391" s="202">
        <v>1</v>
      </c>
      <c r="K1391" s="156" t="s">
        <v>730</v>
      </c>
      <c r="L1391" s="168" t="s">
        <v>2522</v>
      </c>
      <c r="M1391" s="11" t="str">
        <f>VLOOKUP(N1391,'Mã NV'!$A$3:$B$196,2,0)</f>
        <v>TE77</v>
      </c>
      <c r="N1391" s="317" t="s">
        <v>2597</v>
      </c>
      <c r="O1391" s="380">
        <f>VLOOKUP(B1391,'Tổng hợp (3)'!$C$4:$E$985,3,0)</f>
        <v>44741</v>
      </c>
      <c r="P1391" s="378"/>
      <c r="Q1391" s="158"/>
      <c r="R1391" s="168" t="s">
        <v>2592</v>
      </c>
    </row>
    <row r="1392" spans="1:18" ht="35.25" hidden="1" customHeight="1">
      <c r="A1392" s="15">
        <f t="shared" si="21"/>
        <v>1382</v>
      </c>
      <c r="B1392" s="161" t="s">
        <v>1989</v>
      </c>
      <c r="C1392" s="191" t="s">
        <v>1990</v>
      </c>
      <c r="D1392" s="156"/>
      <c r="E1392" s="156"/>
      <c r="F1392" s="156"/>
      <c r="G1392" s="161"/>
      <c r="H1392" s="141"/>
      <c r="I1392" s="202" t="s">
        <v>18</v>
      </c>
      <c r="J1392" s="202">
        <v>1</v>
      </c>
      <c r="K1392" s="156" t="s">
        <v>730</v>
      </c>
      <c r="L1392" s="168" t="s">
        <v>2522</v>
      </c>
      <c r="M1392" s="11" t="str">
        <f>VLOOKUP(N1392,'Mã NV'!$A$3:$B$196,2,0)</f>
        <v>TE77</v>
      </c>
      <c r="N1392" s="317" t="s">
        <v>2597</v>
      </c>
      <c r="O1392" s="381">
        <v>44197</v>
      </c>
      <c r="P1392" s="371"/>
      <c r="Q1392" s="158"/>
      <c r="R1392" s="168" t="s">
        <v>2592</v>
      </c>
    </row>
    <row r="1393" spans="1:18" ht="35.25" hidden="1" customHeight="1">
      <c r="A1393" s="15">
        <f t="shared" si="21"/>
        <v>1383</v>
      </c>
      <c r="B1393" s="161" t="s">
        <v>237</v>
      </c>
      <c r="C1393" s="191" t="s">
        <v>570</v>
      </c>
      <c r="D1393" s="156"/>
      <c r="E1393" s="156"/>
      <c r="F1393" s="156"/>
      <c r="G1393" s="161" t="s">
        <v>2436</v>
      </c>
      <c r="H1393" s="141"/>
      <c r="I1393" s="202" t="s">
        <v>18</v>
      </c>
      <c r="J1393" s="202">
        <v>1</v>
      </c>
      <c r="K1393" s="156" t="s">
        <v>730</v>
      </c>
      <c r="L1393" s="168" t="s">
        <v>2522</v>
      </c>
      <c r="M1393" s="11" t="str">
        <f>VLOOKUP(N1393,'Mã NV'!$A$3:$B$196,2,0)</f>
        <v>TE77</v>
      </c>
      <c r="N1393" s="317" t="s">
        <v>2597</v>
      </c>
      <c r="O1393" s="380">
        <f>VLOOKUP(B1393,'Tổng hợp (3)'!$C$4:$E$985,3,0)</f>
        <v>44820</v>
      </c>
      <c r="P1393" s="378"/>
      <c r="Q1393" s="158"/>
      <c r="R1393" s="168" t="s">
        <v>2592</v>
      </c>
    </row>
    <row r="1394" spans="1:18" ht="35.25" hidden="1" customHeight="1">
      <c r="A1394" s="15">
        <f t="shared" si="21"/>
        <v>1384</v>
      </c>
      <c r="B1394" s="161" t="s">
        <v>1991</v>
      </c>
      <c r="C1394" s="191" t="s">
        <v>1992</v>
      </c>
      <c r="D1394" s="156"/>
      <c r="E1394" s="156"/>
      <c r="F1394" s="156"/>
      <c r="G1394" s="161" t="s">
        <v>2437</v>
      </c>
      <c r="H1394" s="141"/>
      <c r="I1394" s="202" t="s">
        <v>18</v>
      </c>
      <c r="J1394" s="202">
        <v>1</v>
      </c>
      <c r="K1394" s="156" t="s">
        <v>730</v>
      </c>
      <c r="L1394" s="168" t="s">
        <v>2522</v>
      </c>
      <c r="M1394" s="11" t="str">
        <f>VLOOKUP(N1394,'Mã NV'!$A$3:$B$196,2,0)</f>
        <v>TE77</v>
      </c>
      <c r="N1394" s="317" t="s">
        <v>2597</v>
      </c>
      <c r="O1394" s="381">
        <v>44197</v>
      </c>
      <c r="P1394" s="371"/>
      <c r="Q1394" s="158"/>
      <c r="R1394" s="168" t="s">
        <v>2593</v>
      </c>
    </row>
    <row r="1395" spans="1:18" ht="35.25" hidden="1" customHeight="1">
      <c r="A1395" s="15">
        <f t="shared" si="21"/>
        <v>1385</v>
      </c>
      <c r="B1395" s="161" t="s">
        <v>1993</v>
      </c>
      <c r="C1395" s="191" t="s">
        <v>570</v>
      </c>
      <c r="D1395" s="156"/>
      <c r="E1395" s="156"/>
      <c r="F1395" s="156"/>
      <c r="G1395" s="161" t="s">
        <v>2438</v>
      </c>
      <c r="H1395" s="141"/>
      <c r="I1395" s="202" t="s">
        <v>18</v>
      </c>
      <c r="J1395" s="202">
        <v>1</v>
      </c>
      <c r="K1395" s="156" t="s">
        <v>730</v>
      </c>
      <c r="L1395" s="168" t="s">
        <v>2522</v>
      </c>
      <c r="M1395" s="11" t="str">
        <f>VLOOKUP(N1395,'Mã NV'!$A$3:$B$196,2,0)</f>
        <v>TE77</v>
      </c>
      <c r="N1395" s="317" t="s">
        <v>2597</v>
      </c>
      <c r="O1395" s="381">
        <v>44197</v>
      </c>
      <c r="P1395" s="371"/>
      <c r="Q1395" s="158"/>
      <c r="R1395" s="168" t="s">
        <v>2593</v>
      </c>
    </row>
    <row r="1396" spans="1:18" ht="35.25" hidden="1" customHeight="1">
      <c r="A1396" s="15">
        <f t="shared" si="21"/>
        <v>1386</v>
      </c>
      <c r="B1396" s="161" t="s">
        <v>1994</v>
      </c>
      <c r="C1396" s="191" t="s">
        <v>1992</v>
      </c>
      <c r="D1396" s="156"/>
      <c r="E1396" s="156"/>
      <c r="F1396" s="156"/>
      <c r="G1396" s="161" t="s">
        <v>2439</v>
      </c>
      <c r="H1396" s="141"/>
      <c r="I1396" s="202" t="s">
        <v>18</v>
      </c>
      <c r="J1396" s="202">
        <v>1</v>
      </c>
      <c r="K1396" s="156" t="s">
        <v>730</v>
      </c>
      <c r="L1396" s="168" t="s">
        <v>2522</v>
      </c>
      <c r="M1396" s="11" t="str">
        <f>VLOOKUP(N1396,'Mã NV'!$A$3:$B$196,2,0)</f>
        <v>TE77</v>
      </c>
      <c r="N1396" s="317" t="s">
        <v>2597</v>
      </c>
      <c r="O1396" s="381">
        <v>44197</v>
      </c>
      <c r="P1396" s="371"/>
      <c r="Q1396" s="158"/>
      <c r="R1396" s="168" t="s">
        <v>2593</v>
      </c>
    </row>
    <row r="1397" spans="1:18" ht="35.25" hidden="1" customHeight="1">
      <c r="A1397" s="15">
        <f t="shared" si="21"/>
        <v>1387</v>
      </c>
      <c r="B1397" s="161" t="s">
        <v>1995</v>
      </c>
      <c r="C1397" s="191" t="s">
        <v>570</v>
      </c>
      <c r="D1397" s="156"/>
      <c r="E1397" s="156"/>
      <c r="F1397" s="156"/>
      <c r="G1397" s="161" t="s">
        <v>2440</v>
      </c>
      <c r="H1397" s="141"/>
      <c r="I1397" s="202" t="s">
        <v>18</v>
      </c>
      <c r="J1397" s="202">
        <v>1</v>
      </c>
      <c r="K1397" s="156" t="s">
        <v>730</v>
      </c>
      <c r="L1397" s="168" t="s">
        <v>2522</v>
      </c>
      <c r="M1397" s="11" t="str">
        <f>VLOOKUP(N1397,'Mã NV'!$A$3:$B$196,2,0)</f>
        <v>TE77</v>
      </c>
      <c r="N1397" s="317" t="s">
        <v>2597</v>
      </c>
      <c r="O1397" s="380" t="str">
        <f>VLOOKUP(B1397,'Tổng hợp (3)'!$C$4:$E$985,3,0)</f>
        <v>18/03/2022</v>
      </c>
      <c r="P1397" s="378"/>
      <c r="Q1397" s="158"/>
      <c r="R1397" s="168" t="s">
        <v>2593</v>
      </c>
    </row>
    <row r="1398" spans="1:18" ht="35.25" hidden="1" customHeight="1">
      <c r="A1398" s="15">
        <f t="shared" si="21"/>
        <v>1388</v>
      </c>
      <c r="B1398" s="161" t="s">
        <v>1996</v>
      </c>
      <c r="C1398" s="191" t="s">
        <v>1992</v>
      </c>
      <c r="D1398" s="156"/>
      <c r="E1398" s="156"/>
      <c r="F1398" s="156"/>
      <c r="G1398" s="161" t="s">
        <v>2441</v>
      </c>
      <c r="H1398" s="141"/>
      <c r="I1398" s="202" t="s">
        <v>18</v>
      </c>
      <c r="J1398" s="202">
        <v>1</v>
      </c>
      <c r="K1398" s="156" t="s">
        <v>730</v>
      </c>
      <c r="L1398" s="168" t="s">
        <v>2522</v>
      </c>
      <c r="M1398" s="11" t="str">
        <f>VLOOKUP(N1398,'Mã NV'!$A$3:$B$196,2,0)</f>
        <v>TE77</v>
      </c>
      <c r="N1398" s="317" t="s">
        <v>2597</v>
      </c>
      <c r="O1398" s="381">
        <v>44197</v>
      </c>
      <c r="P1398" s="371"/>
      <c r="Q1398" s="158"/>
      <c r="R1398" s="168" t="s">
        <v>2593</v>
      </c>
    </row>
    <row r="1399" spans="1:18" ht="35.25" hidden="1" customHeight="1">
      <c r="A1399" s="15">
        <f t="shared" si="21"/>
        <v>1389</v>
      </c>
      <c r="B1399" s="176" t="s">
        <v>1997</v>
      </c>
      <c r="C1399" s="189" t="s">
        <v>570</v>
      </c>
      <c r="D1399" s="156"/>
      <c r="E1399" s="156"/>
      <c r="F1399" s="156"/>
      <c r="G1399" s="176" t="s">
        <v>2442</v>
      </c>
      <c r="H1399" s="141"/>
      <c r="I1399" s="186" t="s">
        <v>18</v>
      </c>
      <c r="J1399" s="186">
        <v>1</v>
      </c>
      <c r="K1399" s="156" t="s">
        <v>730</v>
      </c>
      <c r="L1399" s="181" t="s">
        <v>2522</v>
      </c>
      <c r="M1399" s="11" t="str">
        <f>VLOOKUP(N1399,'Mã NV'!$A$3:$B$196,2,0)</f>
        <v>TE77</v>
      </c>
      <c r="N1399" s="317" t="s">
        <v>2597</v>
      </c>
      <c r="O1399" s="380" t="str">
        <f>VLOOKUP(B1399,'Tổng hợp (3)'!$C$4:$E$985,3,0)</f>
        <v>18/03/2022</v>
      </c>
      <c r="P1399" s="378"/>
      <c r="Q1399" s="158"/>
      <c r="R1399" s="181" t="s">
        <v>2593</v>
      </c>
    </row>
    <row r="1400" spans="1:18" ht="35.25" hidden="1" customHeight="1">
      <c r="A1400" s="15">
        <f t="shared" si="21"/>
        <v>1390</v>
      </c>
      <c r="B1400" s="161" t="s">
        <v>1998</v>
      </c>
      <c r="C1400" s="191" t="s">
        <v>1992</v>
      </c>
      <c r="D1400" s="156"/>
      <c r="E1400" s="156"/>
      <c r="F1400" s="156"/>
      <c r="G1400" s="161" t="s">
        <v>2443</v>
      </c>
      <c r="H1400" s="141"/>
      <c r="I1400" s="202" t="s">
        <v>18</v>
      </c>
      <c r="J1400" s="202">
        <v>1</v>
      </c>
      <c r="K1400" s="156" t="s">
        <v>730</v>
      </c>
      <c r="L1400" s="168" t="s">
        <v>2522</v>
      </c>
      <c r="M1400" s="11" t="str">
        <f>VLOOKUP(N1400,'Mã NV'!$A$3:$B$196,2,0)</f>
        <v>TE77</v>
      </c>
      <c r="N1400" s="317" t="s">
        <v>2597</v>
      </c>
      <c r="O1400" s="381">
        <v>44197</v>
      </c>
      <c r="P1400" s="371"/>
      <c r="Q1400" s="158"/>
      <c r="R1400" s="168" t="s">
        <v>2593</v>
      </c>
    </row>
    <row r="1401" spans="1:18" ht="35.25" hidden="1" customHeight="1">
      <c r="A1401" s="15">
        <f t="shared" si="21"/>
        <v>1391</v>
      </c>
      <c r="B1401" s="161" t="s">
        <v>1999</v>
      </c>
      <c r="C1401" s="191" t="s">
        <v>1110</v>
      </c>
      <c r="D1401" s="156"/>
      <c r="E1401" s="156"/>
      <c r="F1401" s="156"/>
      <c r="G1401" s="64" t="s">
        <v>2444</v>
      </c>
      <c r="H1401" s="141"/>
      <c r="I1401" s="202" t="s">
        <v>18</v>
      </c>
      <c r="J1401" s="202">
        <v>1</v>
      </c>
      <c r="K1401" s="156" t="s">
        <v>730</v>
      </c>
      <c r="L1401" s="168" t="s">
        <v>2522</v>
      </c>
      <c r="M1401" s="11" t="str">
        <f>VLOOKUP(N1401,'Mã NV'!$A$3:$B$196,2,0)</f>
        <v>TE77</v>
      </c>
      <c r="N1401" s="317" t="s">
        <v>2597</v>
      </c>
      <c r="O1401" s="380" t="str">
        <f>VLOOKUP(B1401,'Tổng hợp (3)'!$C$4:$E$985,3,0)</f>
        <v>24/10/2022</v>
      </c>
      <c r="P1401" s="378"/>
      <c r="Q1401" s="158"/>
      <c r="R1401" s="168" t="s">
        <v>2594</v>
      </c>
    </row>
    <row r="1402" spans="1:18" ht="35.25" hidden="1" customHeight="1">
      <c r="A1402" s="15">
        <f t="shared" si="21"/>
        <v>1392</v>
      </c>
      <c r="B1402" s="141" t="s">
        <v>2000</v>
      </c>
      <c r="C1402" s="191" t="s">
        <v>1110</v>
      </c>
      <c r="D1402" s="156"/>
      <c r="E1402" s="156"/>
      <c r="F1402" s="156"/>
      <c r="G1402" s="168" t="s">
        <v>2445</v>
      </c>
      <c r="H1402" s="141"/>
      <c r="I1402" s="202" t="s">
        <v>18</v>
      </c>
      <c r="J1402" s="202">
        <v>2</v>
      </c>
      <c r="K1402" s="156" t="s">
        <v>730</v>
      </c>
      <c r="L1402" s="168" t="s">
        <v>2522</v>
      </c>
      <c r="M1402" s="11" t="str">
        <f>VLOOKUP(N1402,'Mã NV'!$A$3:$B$196,2,0)</f>
        <v>TE77</v>
      </c>
      <c r="N1402" s="317" t="s">
        <v>2597</v>
      </c>
      <c r="O1402" s="380">
        <f>VLOOKUP(B1402,'Tổng hợp (3)'!$C$4:$E$985,3,0)</f>
        <v>44552</v>
      </c>
      <c r="P1402" s="378"/>
      <c r="Q1402" s="158"/>
      <c r="R1402" s="150" t="s">
        <v>2669</v>
      </c>
    </row>
    <row r="1403" spans="1:18" ht="35.25" hidden="1" customHeight="1">
      <c r="A1403" s="15">
        <f t="shared" si="21"/>
        <v>1393</v>
      </c>
      <c r="B1403" s="144" t="s">
        <v>2001</v>
      </c>
      <c r="C1403" s="191" t="s">
        <v>1110</v>
      </c>
      <c r="D1403" s="156"/>
      <c r="E1403" s="156"/>
      <c r="F1403" s="156"/>
      <c r="G1403" s="168" t="s">
        <v>2446</v>
      </c>
      <c r="H1403" s="141"/>
      <c r="I1403" s="202" t="s">
        <v>18</v>
      </c>
      <c r="J1403" s="202">
        <v>1</v>
      </c>
      <c r="K1403" s="156" t="s">
        <v>730</v>
      </c>
      <c r="L1403" s="168" t="s">
        <v>2522</v>
      </c>
      <c r="M1403" s="11" t="str">
        <f>VLOOKUP(N1403,'Mã NV'!$A$3:$B$196,2,0)</f>
        <v>TE77</v>
      </c>
      <c r="N1403" s="317" t="s">
        <v>2597</v>
      </c>
      <c r="O1403" s="381">
        <v>44197</v>
      </c>
      <c r="P1403" s="371"/>
      <c r="Q1403" s="158"/>
      <c r="R1403" s="168" t="s">
        <v>2593</v>
      </c>
    </row>
    <row r="1404" spans="1:18" ht="35.25" hidden="1" customHeight="1">
      <c r="A1404" s="15">
        <f t="shared" si="21"/>
        <v>1394</v>
      </c>
      <c r="B1404" s="144" t="s">
        <v>2002</v>
      </c>
      <c r="C1404" s="191" t="s">
        <v>1110</v>
      </c>
      <c r="D1404" s="156"/>
      <c r="E1404" s="156"/>
      <c r="F1404" s="156"/>
      <c r="G1404" s="168" t="s">
        <v>2446</v>
      </c>
      <c r="H1404" s="141"/>
      <c r="I1404" s="202" t="s">
        <v>18</v>
      </c>
      <c r="J1404" s="202">
        <v>1</v>
      </c>
      <c r="K1404" s="156" t="s">
        <v>730</v>
      </c>
      <c r="L1404" s="168" t="s">
        <v>2522</v>
      </c>
      <c r="M1404" s="11" t="str">
        <f>VLOOKUP(N1404,'Mã NV'!$A$3:$B$196,2,0)</f>
        <v>TE77</v>
      </c>
      <c r="N1404" s="317" t="s">
        <v>2597</v>
      </c>
      <c r="O1404" s="380">
        <f>VLOOKUP(B1404,'Tổng hợp (3)'!$C$4:$E$985,3,0)</f>
        <v>44781</v>
      </c>
      <c r="P1404" s="378"/>
      <c r="Q1404" s="158"/>
      <c r="R1404" s="168" t="s">
        <v>2593</v>
      </c>
    </row>
    <row r="1405" spans="1:18" ht="35.25" hidden="1" customHeight="1">
      <c r="A1405" s="15">
        <f t="shared" si="21"/>
        <v>1395</v>
      </c>
      <c r="B1405" s="144" t="s">
        <v>2003</v>
      </c>
      <c r="C1405" s="191" t="s">
        <v>1110</v>
      </c>
      <c r="D1405" s="156"/>
      <c r="E1405" s="156"/>
      <c r="F1405" s="156"/>
      <c r="G1405" s="168" t="s">
        <v>2447</v>
      </c>
      <c r="H1405" s="141"/>
      <c r="I1405" s="202" t="s">
        <v>18</v>
      </c>
      <c r="J1405" s="202">
        <v>1</v>
      </c>
      <c r="K1405" s="156" t="s">
        <v>730</v>
      </c>
      <c r="L1405" s="168" t="s">
        <v>2522</v>
      </c>
      <c r="M1405" s="11" t="str">
        <f>VLOOKUP(N1405,'Mã NV'!$A$3:$B$196,2,0)</f>
        <v>TE77</v>
      </c>
      <c r="N1405" s="317" t="s">
        <v>2597</v>
      </c>
      <c r="O1405" s="381">
        <v>44197</v>
      </c>
      <c r="P1405" s="371"/>
      <c r="Q1405" s="158"/>
      <c r="R1405" s="168" t="s">
        <v>2593</v>
      </c>
    </row>
    <row r="1406" spans="1:18" ht="35.25" hidden="1" customHeight="1">
      <c r="A1406" s="15">
        <f t="shared" si="21"/>
        <v>1396</v>
      </c>
      <c r="B1406" s="144" t="s">
        <v>2004</v>
      </c>
      <c r="C1406" s="191" t="s">
        <v>1110</v>
      </c>
      <c r="D1406" s="156"/>
      <c r="E1406" s="156"/>
      <c r="F1406" s="156"/>
      <c r="G1406" s="168" t="s">
        <v>2447</v>
      </c>
      <c r="H1406" s="141"/>
      <c r="I1406" s="202" t="s">
        <v>18</v>
      </c>
      <c r="J1406" s="202">
        <v>1</v>
      </c>
      <c r="K1406" s="156" t="s">
        <v>730</v>
      </c>
      <c r="L1406" s="168" t="s">
        <v>2522</v>
      </c>
      <c r="M1406" s="11" t="str">
        <f>VLOOKUP(N1406,'Mã NV'!$A$3:$B$196,2,0)</f>
        <v>TE77</v>
      </c>
      <c r="N1406" s="317" t="s">
        <v>2597</v>
      </c>
      <c r="O1406" s="381">
        <v>44197</v>
      </c>
      <c r="P1406" s="371"/>
      <c r="Q1406" s="158"/>
      <c r="R1406" s="168" t="s">
        <v>2593</v>
      </c>
    </row>
    <row r="1407" spans="1:18" ht="35.25" hidden="1" customHeight="1">
      <c r="A1407" s="15">
        <f t="shared" si="21"/>
        <v>1397</v>
      </c>
      <c r="B1407" s="11" t="s">
        <v>2005</v>
      </c>
      <c r="C1407" s="64" t="s">
        <v>2006</v>
      </c>
      <c r="D1407" s="156"/>
      <c r="E1407" s="156"/>
      <c r="F1407" s="156"/>
      <c r="G1407" s="64" t="s">
        <v>2006</v>
      </c>
      <c r="H1407" s="141"/>
      <c r="I1407" s="202" t="s">
        <v>18</v>
      </c>
      <c r="J1407" s="202">
        <v>1</v>
      </c>
      <c r="K1407" s="156" t="s">
        <v>730</v>
      </c>
      <c r="L1407" s="168" t="s">
        <v>2522</v>
      </c>
      <c r="M1407" s="11" t="str">
        <f>VLOOKUP(N1407,'Mã NV'!$A$3:$B$196,2,0)</f>
        <v>TE77</v>
      </c>
      <c r="N1407" s="317" t="s">
        <v>2597</v>
      </c>
      <c r="O1407" s="380">
        <f>VLOOKUP(B1407,'Tổng hợp (3)'!$C$4:$E$985,3,0)</f>
        <v>44867</v>
      </c>
      <c r="P1407" s="378"/>
      <c r="Q1407" s="158"/>
      <c r="R1407" s="168" t="s">
        <v>2595</v>
      </c>
    </row>
    <row r="1408" spans="1:18" ht="35.25" hidden="1" customHeight="1">
      <c r="A1408" s="15">
        <f t="shared" si="21"/>
        <v>1398</v>
      </c>
      <c r="B1408" s="11" t="s">
        <v>2007</v>
      </c>
      <c r="C1408" s="64" t="s">
        <v>2008</v>
      </c>
      <c r="D1408" s="156"/>
      <c r="E1408" s="156"/>
      <c r="F1408" s="156"/>
      <c r="G1408" s="64" t="s">
        <v>2008</v>
      </c>
      <c r="H1408" s="141"/>
      <c r="I1408" s="202" t="s">
        <v>18</v>
      </c>
      <c r="J1408" s="202">
        <v>1</v>
      </c>
      <c r="K1408" s="156" t="s">
        <v>730</v>
      </c>
      <c r="L1408" s="168" t="s">
        <v>2522</v>
      </c>
      <c r="M1408" s="11" t="str">
        <f>VLOOKUP(N1408,'Mã NV'!$A$3:$B$196,2,0)</f>
        <v>TE77</v>
      </c>
      <c r="N1408" s="317" t="s">
        <v>2597</v>
      </c>
      <c r="O1408" s="380">
        <f>VLOOKUP(B1408,'Tổng hợp (3)'!$C$4:$E$985,3,0)</f>
        <v>44903</v>
      </c>
      <c r="P1408" s="378"/>
      <c r="Q1408" s="158"/>
      <c r="R1408" s="168"/>
    </row>
    <row r="1409" spans="1:18" ht="35.25" hidden="1" customHeight="1">
      <c r="A1409" s="15">
        <f t="shared" si="21"/>
        <v>1399</v>
      </c>
      <c r="B1409" s="144" t="s">
        <v>2009</v>
      </c>
      <c r="C1409" s="150" t="s">
        <v>633</v>
      </c>
      <c r="D1409" s="156"/>
      <c r="E1409" s="156"/>
      <c r="F1409" s="156"/>
      <c r="G1409" s="172" t="s">
        <v>2448</v>
      </c>
      <c r="H1409" s="141"/>
      <c r="I1409" s="202" t="s">
        <v>18</v>
      </c>
      <c r="J1409" s="202">
        <v>1</v>
      </c>
      <c r="K1409" s="156" t="s">
        <v>730</v>
      </c>
      <c r="L1409" s="168" t="s">
        <v>2522</v>
      </c>
      <c r="M1409" s="11" t="str">
        <f>VLOOKUP(N1409,'Mã NV'!$A$3:$B$196,2,0)</f>
        <v>TE01</v>
      </c>
      <c r="N1409" s="317" t="s">
        <v>2596</v>
      </c>
      <c r="O1409" s="381">
        <v>44197</v>
      </c>
      <c r="P1409" s="371"/>
      <c r="Q1409" s="158"/>
      <c r="R1409" s="144"/>
    </row>
    <row r="1410" spans="1:18" ht="35.25" hidden="1" customHeight="1">
      <c r="A1410" s="15">
        <f t="shared" si="21"/>
        <v>1400</v>
      </c>
      <c r="B1410" s="144" t="s">
        <v>2010</v>
      </c>
      <c r="C1410" s="150" t="s">
        <v>2011</v>
      </c>
      <c r="D1410" s="156"/>
      <c r="E1410" s="156"/>
      <c r="F1410" s="156"/>
      <c r="G1410" s="153" t="s">
        <v>2449</v>
      </c>
      <c r="H1410" s="141"/>
      <c r="I1410" s="202" t="s">
        <v>18</v>
      </c>
      <c r="J1410" s="202">
        <v>1</v>
      </c>
      <c r="K1410" s="156" t="s">
        <v>730</v>
      </c>
      <c r="L1410" s="168" t="s">
        <v>2522</v>
      </c>
      <c r="M1410" s="11" t="str">
        <f>VLOOKUP(N1410,'Mã NV'!$A$3:$B$196,2,0)</f>
        <v>TE01</v>
      </c>
      <c r="N1410" s="317" t="s">
        <v>2596</v>
      </c>
      <c r="O1410" s="381">
        <v>44197</v>
      </c>
      <c r="P1410" s="371"/>
      <c r="Q1410" s="158"/>
      <c r="R1410" s="144"/>
    </row>
    <row r="1411" spans="1:18" ht="35.25" hidden="1" customHeight="1">
      <c r="A1411" s="15">
        <f t="shared" si="21"/>
        <v>1401</v>
      </c>
      <c r="B1411" s="144" t="s">
        <v>2012</v>
      </c>
      <c r="C1411" s="150" t="s">
        <v>612</v>
      </c>
      <c r="D1411" s="156"/>
      <c r="E1411" s="156"/>
      <c r="F1411" s="156"/>
      <c r="G1411" s="153" t="s">
        <v>2450</v>
      </c>
      <c r="H1411" s="141"/>
      <c r="I1411" s="202" t="s">
        <v>18</v>
      </c>
      <c r="J1411" s="202">
        <v>1</v>
      </c>
      <c r="K1411" s="156" t="s">
        <v>730</v>
      </c>
      <c r="L1411" s="168" t="s">
        <v>2522</v>
      </c>
      <c r="M1411" s="11" t="str">
        <f>VLOOKUP(N1411,'Mã NV'!$A$3:$B$196,2,0)</f>
        <v>TE01</v>
      </c>
      <c r="N1411" s="317" t="s">
        <v>2596</v>
      </c>
      <c r="O1411" s="381">
        <v>44197</v>
      </c>
      <c r="P1411" s="371"/>
      <c r="Q1411" s="158"/>
      <c r="R1411" s="144"/>
    </row>
    <row r="1412" spans="1:18" ht="35.25" hidden="1" customHeight="1">
      <c r="A1412" s="15">
        <f t="shared" si="21"/>
        <v>1402</v>
      </c>
      <c r="B1412" s="144" t="s">
        <v>2013</v>
      </c>
      <c r="C1412" s="150" t="s">
        <v>32</v>
      </c>
      <c r="D1412" s="156"/>
      <c r="E1412" s="156"/>
      <c r="F1412" s="156"/>
      <c r="G1412" s="168"/>
      <c r="H1412" s="141"/>
      <c r="I1412" s="202" t="s">
        <v>18</v>
      </c>
      <c r="J1412" s="202">
        <v>1</v>
      </c>
      <c r="K1412" s="156" t="s">
        <v>730</v>
      </c>
      <c r="L1412" s="168" t="s">
        <v>2522</v>
      </c>
      <c r="M1412" s="11" t="str">
        <f>VLOOKUP(N1412,'Mã NV'!$A$3:$B$196,2,0)</f>
        <v>TE01</v>
      </c>
      <c r="N1412" s="317" t="s">
        <v>2596</v>
      </c>
      <c r="O1412" s="381">
        <v>44197</v>
      </c>
      <c r="P1412" s="371"/>
      <c r="Q1412" s="158"/>
      <c r="R1412" s="144"/>
    </row>
    <row r="1413" spans="1:18" ht="35.25" hidden="1" customHeight="1">
      <c r="A1413" s="15">
        <f t="shared" si="21"/>
        <v>1403</v>
      </c>
      <c r="B1413" s="144" t="s">
        <v>2014</v>
      </c>
      <c r="C1413" s="150" t="s">
        <v>1306</v>
      </c>
      <c r="D1413" s="156"/>
      <c r="E1413" s="156"/>
      <c r="F1413" s="156"/>
      <c r="G1413" s="142" t="s">
        <v>2451</v>
      </c>
      <c r="H1413" s="141"/>
      <c r="I1413" s="202" t="s">
        <v>18</v>
      </c>
      <c r="J1413" s="202">
        <v>1</v>
      </c>
      <c r="K1413" s="156" t="s">
        <v>730</v>
      </c>
      <c r="L1413" s="168" t="s">
        <v>2522</v>
      </c>
      <c r="M1413" s="11" t="str">
        <f>VLOOKUP(N1413,'Mã NV'!$A$3:$B$196,2,0)</f>
        <v>TE01</v>
      </c>
      <c r="N1413" s="317" t="s">
        <v>2596</v>
      </c>
      <c r="O1413" s="381">
        <v>44197</v>
      </c>
      <c r="P1413" s="371"/>
      <c r="Q1413" s="158"/>
      <c r="R1413" s="144"/>
    </row>
    <row r="1414" spans="1:18" ht="35.25" hidden="1" customHeight="1">
      <c r="A1414" s="15">
        <f t="shared" si="21"/>
        <v>1404</v>
      </c>
      <c r="B1414" s="161" t="s">
        <v>2015</v>
      </c>
      <c r="C1414" s="191" t="s">
        <v>612</v>
      </c>
      <c r="D1414" s="156"/>
      <c r="E1414" s="156"/>
      <c r="F1414" s="156"/>
      <c r="G1414" s="168" t="s">
        <v>2452</v>
      </c>
      <c r="H1414" s="141"/>
      <c r="I1414" s="202" t="s">
        <v>18</v>
      </c>
      <c r="J1414" s="202">
        <v>1</v>
      </c>
      <c r="K1414" s="156" t="s">
        <v>730</v>
      </c>
      <c r="L1414" s="168" t="s">
        <v>2522</v>
      </c>
      <c r="M1414" s="11" t="str">
        <f>VLOOKUP(N1414,'Mã NV'!$A$3:$B$196,2,0)</f>
        <v>TE77</v>
      </c>
      <c r="N1414" s="317" t="s">
        <v>2597</v>
      </c>
      <c r="O1414" s="380" t="str">
        <f>VLOOKUP(B1414,'Tổng hợp (3)'!$C$4:$E$985,3,0)</f>
        <v>26/9/2022</v>
      </c>
      <c r="P1414" s="378"/>
      <c r="Q1414" s="158"/>
      <c r="R1414" s="144"/>
    </row>
    <row r="1415" spans="1:18" ht="35.25" hidden="1" customHeight="1">
      <c r="A1415" s="15">
        <f t="shared" si="21"/>
        <v>1405</v>
      </c>
      <c r="B1415" s="161" t="s">
        <v>2016</v>
      </c>
      <c r="C1415" s="191" t="s">
        <v>570</v>
      </c>
      <c r="D1415" s="156"/>
      <c r="E1415" s="156"/>
      <c r="F1415" s="156"/>
      <c r="G1415" s="168" t="s">
        <v>2453</v>
      </c>
      <c r="H1415" s="141"/>
      <c r="I1415" s="202" t="s">
        <v>18</v>
      </c>
      <c r="J1415" s="202">
        <v>1</v>
      </c>
      <c r="K1415" s="156" t="s">
        <v>730</v>
      </c>
      <c r="L1415" s="168" t="s">
        <v>2522</v>
      </c>
      <c r="M1415" s="11" t="str">
        <f>VLOOKUP(N1415,'Mã NV'!$A$3:$B$196,2,0)</f>
        <v>TE77</v>
      </c>
      <c r="N1415" s="317" t="s">
        <v>2597</v>
      </c>
      <c r="O1415" s="381">
        <v>44197</v>
      </c>
      <c r="P1415" s="371"/>
      <c r="Q1415" s="158"/>
      <c r="R1415" s="144"/>
    </row>
    <row r="1416" spans="1:18" ht="35.25" hidden="1" customHeight="1">
      <c r="A1416" s="15">
        <f t="shared" si="21"/>
        <v>1406</v>
      </c>
      <c r="B1416" s="161" t="s">
        <v>2017</v>
      </c>
      <c r="C1416" s="191" t="s">
        <v>32</v>
      </c>
      <c r="D1416" s="156"/>
      <c r="E1416" s="156"/>
      <c r="F1416" s="156"/>
      <c r="G1416" s="168" t="s">
        <v>2451</v>
      </c>
      <c r="H1416" s="141"/>
      <c r="I1416" s="202" t="s">
        <v>18</v>
      </c>
      <c r="J1416" s="202">
        <v>1</v>
      </c>
      <c r="K1416" s="156" t="s">
        <v>730</v>
      </c>
      <c r="L1416" s="168" t="s">
        <v>2522</v>
      </c>
      <c r="M1416" s="11" t="str">
        <f>VLOOKUP(N1416,'Mã NV'!$A$3:$B$196,2,0)</f>
        <v>TE77</v>
      </c>
      <c r="N1416" s="317" t="s">
        <v>2597</v>
      </c>
      <c r="O1416" s="381">
        <v>44197</v>
      </c>
      <c r="P1416" s="371"/>
      <c r="Q1416" s="158"/>
      <c r="R1416" s="144"/>
    </row>
    <row r="1417" spans="1:18" ht="35.25" hidden="1" customHeight="1">
      <c r="A1417" s="15">
        <f t="shared" si="21"/>
        <v>1407</v>
      </c>
      <c r="B1417" s="161" t="s">
        <v>2018</v>
      </c>
      <c r="C1417" s="191" t="s">
        <v>2019</v>
      </c>
      <c r="D1417" s="156"/>
      <c r="E1417" s="156"/>
      <c r="F1417" s="156"/>
      <c r="G1417" s="168"/>
      <c r="H1417" s="141"/>
      <c r="I1417" s="202" t="s">
        <v>18</v>
      </c>
      <c r="J1417" s="202">
        <v>1</v>
      </c>
      <c r="K1417" s="156" t="s">
        <v>730</v>
      </c>
      <c r="L1417" s="168" t="s">
        <v>2522</v>
      </c>
      <c r="M1417" s="11" t="str">
        <f>VLOOKUP(N1417,'Mã NV'!$A$3:$B$196,2,0)</f>
        <v>TE77</v>
      </c>
      <c r="N1417" s="317" t="s">
        <v>2597</v>
      </c>
      <c r="O1417" s="381">
        <v>44197</v>
      </c>
      <c r="P1417" s="371"/>
      <c r="Q1417" s="158"/>
      <c r="R1417" s="144"/>
    </row>
    <row r="1418" spans="1:18" ht="35.25" hidden="1" customHeight="1">
      <c r="A1418" s="15">
        <f t="shared" si="21"/>
        <v>1408</v>
      </c>
      <c r="B1418" s="161" t="s">
        <v>2020</v>
      </c>
      <c r="C1418" s="150" t="s">
        <v>1306</v>
      </c>
      <c r="D1418" s="156"/>
      <c r="E1418" s="156"/>
      <c r="F1418" s="156"/>
      <c r="G1418" s="144" t="s">
        <v>1306</v>
      </c>
      <c r="H1418" s="141"/>
      <c r="I1418" s="202" t="s">
        <v>18</v>
      </c>
      <c r="J1418" s="202">
        <v>1</v>
      </c>
      <c r="K1418" s="156" t="s">
        <v>730</v>
      </c>
      <c r="L1418" s="168" t="s">
        <v>2522</v>
      </c>
      <c r="M1418" s="11" t="str">
        <f>VLOOKUP(N1418,'Mã NV'!$A$3:$B$196,2,0)</f>
        <v>TE77</v>
      </c>
      <c r="N1418" s="317" t="s">
        <v>2597</v>
      </c>
      <c r="O1418" s="381">
        <v>44197</v>
      </c>
      <c r="P1418" s="371"/>
      <c r="Q1418" s="158"/>
      <c r="R1418" s="144"/>
    </row>
    <row r="1419" spans="1:18" ht="35.25" hidden="1" customHeight="1">
      <c r="A1419" s="15">
        <f t="shared" si="21"/>
        <v>1409</v>
      </c>
      <c r="B1419" s="142" t="s">
        <v>2021</v>
      </c>
      <c r="C1419" s="150" t="s">
        <v>445</v>
      </c>
      <c r="D1419" s="156"/>
      <c r="E1419" s="156"/>
      <c r="F1419" s="156"/>
      <c r="G1419" s="168"/>
      <c r="H1419" s="141"/>
      <c r="I1419" s="202" t="s">
        <v>18</v>
      </c>
      <c r="J1419" s="202">
        <v>1</v>
      </c>
      <c r="K1419" s="156" t="s">
        <v>730</v>
      </c>
      <c r="L1419" s="168" t="s">
        <v>2522</v>
      </c>
      <c r="M1419" s="11" t="str">
        <f>VLOOKUP(N1419,'Mã NV'!$A$3:$B$196,2,0)</f>
        <v>TE77</v>
      </c>
      <c r="N1419" s="317" t="s">
        <v>2597</v>
      </c>
      <c r="O1419" s="380">
        <f>VLOOKUP(B1419,'Tổng hợp (3)'!$C$4:$E$985,3,0)</f>
        <v>44758</v>
      </c>
      <c r="P1419" s="378"/>
      <c r="Q1419" s="158"/>
      <c r="R1419" s="144"/>
    </row>
    <row r="1420" spans="1:18" ht="35.25" hidden="1" customHeight="1">
      <c r="A1420" s="15">
        <f t="shared" si="21"/>
        <v>1410</v>
      </c>
      <c r="B1420" s="161" t="s">
        <v>2022</v>
      </c>
      <c r="C1420" s="150" t="s">
        <v>605</v>
      </c>
      <c r="D1420" s="156"/>
      <c r="E1420" s="156"/>
      <c r="F1420" s="156"/>
      <c r="G1420" s="168"/>
      <c r="H1420" s="141"/>
      <c r="I1420" s="202" t="s">
        <v>18</v>
      </c>
      <c r="J1420" s="202">
        <v>1</v>
      </c>
      <c r="K1420" s="156" t="s">
        <v>730</v>
      </c>
      <c r="L1420" s="168" t="s">
        <v>2522</v>
      </c>
      <c r="M1420" s="11" t="str">
        <f>VLOOKUP(N1420,'Mã NV'!$A$3:$B$196,2,0)</f>
        <v>TE77</v>
      </c>
      <c r="N1420" s="317" t="s">
        <v>2597</v>
      </c>
      <c r="O1420" s="381">
        <v>44197</v>
      </c>
      <c r="P1420" s="371"/>
      <c r="Q1420" s="158"/>
      <c r="R1420" s="144"/>
    </row>
    <row r="1421" spans="1:18" ht="35.25" hidden="1" customHeight="1">
      <c r="A1421" s="15">
        <f t="shared" si="21"/>
        <v>1411</v>
      </c>
      <c r="B1421" s="11" t="s">
        <v>2023</v>
      </c>
      <c r="C1421" s="64" t="s">
        <v>2024</v>
      </c>
      <c r="D1421" s="156"/>
      <c r="E1421" s="156"/>
      <c r="F1421" s="156"/>
      <c r="G1421" s="168"/>
      <c r="H1421" s="141"/>
      <c r="I1421" s="202" t="s">
        <v>18</v>
      </c>
      <c r="J1421" s="202">
        <v>1</v>
      </c>
      <c r="K1421" s="156" t="s">
        <v>730</v>
      </c>
      <c r="L1421" s="168" t="s">
        <v>2522</v>
      </c>
      <c r="M1421" s="11" t="str">
        <f>VLOOKUP(N1421,'Mã NV'!$A$3:$B$196,2,0)</f>
        <v>TE77</v>
      </c>
      <c r="N1421" s="317" t="s">
        <v>2597</v>
      </c>
      <c r="O1421" s="380">
        <f>VLOOKUP(B1421,'Tổng hợp (3)'!$C$4:$E$985,3,0)</f>
        <v>44778</v>
      </c>
      <c r="P1421" s="378"/>
      <c r="Q1421" s="158"/>
      <c r="R1421" s="144"/>
    </row>
    <row r="1422" spans="1:18" ht="35.25" hidden="1" customHeight="1">
      <c r="A1422" s="15">
        <f t="shared" si="21"/>
        <v>1412</v>
      </c>
      <c r="B1422" s="11" t="s">
        <v>2025</v>
      </c>
      <c r="C1422" s="64" t="s">
        <v>2026</v>
      </c>
      <c r="D1422" s="156"/>
      <c r="E1422" s="156"/>
      <c r="F1422" s="156"/>
      <c r="G1422" s="168"/>
      <c r="H1422" s="141"/>
      <c r="I1422" s="202" t="s">
        <v>18</v>
      </c>
      <c r="J1422" s="202">
        <v>1</v>
      </c>
      <c r="K1422" s="156" t="s">
        <v>730</v>
      </c>
      <c r="L1422" s="168" t="s">
        <v>2522</v>
      </c>
      <c r="M1422" s="11" t="str">
        <f>VLOOKUP(N1422,'Mã NV'!$A$3:$B$196,2,0)</f>
        <v>TE77</v>
      </c>
      <c r="N1422" s="317" t="s">
        <v>2597</v>
      </c>
      <c r="O1422" s="380">
        <f>VLOOKUP(B1422,'Tổng hợp (3)'!$C$4:$E$985,3,0)</f>
        <v>44779</v>
      </c>
      <c r="P1422" s="378"/>
      <c r="Q1422" s="158"/>
      <c r="R1422" s="144"/>
    </row>
    <row r="1423" spans="1:18" ht="35.25" hidden="1" customHeight="1">
      <c r="A1423" s="15">
        <f t="shared" si="21"/>
        <v>1413</v>
      </c>
      <c r="B1423" s="11" t="s">
        <v>2027</v>
      </c>
      <c r="C1423" s="64" t="s">
        <v>2028</v>
      </c>
      <c r="D1423" s="156"/>
      <c r="E1423" s="156"/>
      <c r="F1423" s="156"/>
      <c r="G1423" s="168"/>
      <c r="H1423" s="141"/>
      <c r="I1423" s="202" t="s">
        <v>18</v>
      </c>
      <c r="J1423" s="202">
        <v>1</v>
      </c>
      <c r="K1423" s="156" t="s">
        <v>730</v>
      </c>
      <c r="L1423" s="168" t="s">
        <v>2522</v>
      </c>
      <c r="M1423" s="11" t="str">
        <f>VLOOKUP(N1423,'Mã NV'!$A$3:$B$196,2,0)</f>
        <v>TE77</v>
      </c>
      <c r="N1423" s="317" t="s">
        <v>2597</v>
      </c>
      <c r="O1423" s="380" t="str">
        <f>VLOOKUP(B1423,'Tổng hợp (3)'!$C$4:$E$985,3,0)</f>
        <v>29/9/2022</v>
      </c>
      <c r="P1423" s="378"/>
      <c r="Q1423" s="158"/>
      <c r="R1423" s="144"/>
    </row>
    <row r="1424" spans="1:18" ht="35.25" hidden="1" customHeight="1">
      <c r="A1424" s="15">
        <f t="shared" si="21"/>
        <v>1414</v>
      </c>
      <c r="B1424" s="11" t="s">
        <v>2029</v>
      </c>
      <c r="C1424" s="64" t="s">
        <v>2030</v>
      </c>
      <c r="D1424" s="156"/>
      <c r="E1424" s="156"/>
      <c r="F1424" s="156"/>
      <c r="G1424" s="168"/>
      <c r="H1424" s="141"/>
      <c r="I1424" s="202" t="s">
        <v>18</v>
      </c>
      <c r="J1424" s="202">
        <v>1</v>
      </c>
      <c r="K1424" s="156" t="s">
        <v>730</v>
      </c>
      <c r="L1424" s="168" t="s">
        <v>2522</v>
      </c>
      <c r="M1424" s="11" t="str">
        <f>VLOOKUP(N1424,'Mã NV'!$A$3:$B$196,2,0)</f>
        <v>TE77</v>
      </c>
      <c r="N1424" s="317" t="s">
        <v>2597</v>
      </c>
      <c r="O1424" s="380">
        <f>VLOOKUP(B1424,'Tổng hợp (3)'!$C$4:$E$985,3,0)</f>
        <v>44869</v>
      </c>
      <c r="P1424" s="378"/>
      <c r="Q1424" s="158"/>
      <c r="R1424" s="144"/>
    </row>
    <row r="1425" spans="1:39" ht="35.25" hidden="1" customHeight="1">
      <c r="A1425" s="15">
        <f t="shared" si="21"/>
        <v>1415</v>
      </c>
      <c r="B1425" s="19" t="s">
        <v>687</v>
      </c>
      <c r="C1425" s="150" t="s">
        <v>685</v>
      </c>
      <c r="D1425" s="156"/>
      <c r="E1425" s="156"/>
      <c r="F1425" s="156"/>
      <c r="G1425" s="168"/>
      <c r="H1425" s="141"/>
      <c r="I1425" s="202" t="s">
        <v>18</v>
      </c>
      <c r="J1425" s="202">
        <v>1</v>
      </c>
      <c r="K1425" s="156" t="s">
        <v>730</v>
      </c>
      <c r="L1425" s="168" t="s">
        <v>2522</v>
      </c>
      <c r="M1425" s="11" t="str">
        <f>VLOOKUP(N1425,'Mã NV'!$A$3:$B$196,2,0)</f>
        <v>TE77</v>
      </c>
      <c r="N1425" s="317" t="s">
        <v>2597</v>
      </c>
      <c r="O1425" s="380">
        <f>VLOOKUP(B1425,'Tổng hợp (3)'!$C$4:$E$985,3,0)</f>
        <v>44938</v>
      </c>
      <c r="P1425" s="378"/>
      <c r="Q1425" s="158"/>
      <c r="R1425" s="144"/>
    </row>
    <row r="1426" spans="1:39" ht="35.25" hidden="1" customHeight="1">
      <c r="A1426" s="15">
        <f t="shared" ref="A1426:A1489" si="22">A1425+1</f>
        <v>1416</v>
      </c>
      <c r="B1426" s="161" t="s">
        <v>2031</v>
      </c>
      <c r="C1426" s="150" t="s">
        <v>605</v>
      </c>
      <c r="D1426" s="156"/>
      <c r="E1426" s="156"/>
      <c r="F1426" s="156"/>
      <c r="G1426" s="168"/>
      <c r="H1426" s="141"/>
      <c r="I1426" s="202" t="s">
        <v>18</v>
      </c>
      <c r="J1426" s="202">
        <v>1</v>
      </c>
      <c r="K1426" s="156" t="s">
        <v>730</v>
      </c>
      <c r="L1426" s="168" t="s">
        <v>2522</v>
      </c>
      <c r="M1426" s="11" t="str">
        <f>VLOOKUP(N1426,'Mã NV'!$A$3:$B$196,2,0)</f>
        <v>TE77</v>
      </c>
      <c r="N1426" s="317" t="s">
        <v>2597</v>
      </c>
      <c r="O1426" s="381">
        <v>44197</v>
      </c>
      <c r="P1426" s="371"/>
      <c r="Q1426" s="158"/>
      <c r="R1426" s="168" t="s">
        <v>2598</v>
      </c>
    </row>
    <row r="1427" spans="1:39" ht="35.25" hidden="1" customHeight="1">
      <c r="A1427" s="15">
        <f t="shared" si="22"/>
        <v>1417</v>
      </c>
      <c r="B1427" s="161" t="s">
        <v>235</v>
      </c>
      <c r="C1427" s="150" t="s">
        <v>601</v>
      </c>
      <c r="D1427" s="156"/>
      <c r="E1427" s="156"/>
      <c r="F1427" s="156"/>
      <c r="G1427" s="168"/>
      <c r="H1427" s="141"/>
      <c r="I1427" s="202" t="s">
        <v>18</v>
      </c>
      <c r="J1427" s="202">
        <v>1</v>
      </c>
      <c r="K1427" s="156" t="s">
        <v>730</v>
      </c>
      <c r="L1427" s="168" t="s">
        <v>2522</v>
      </c>
      <c r="M1427" s="11" t="str">
        <f>VLOOKUP(N1427,'Mã NV'!$A$3:$B$196,2,0)</f>
        <v>TE77</v>
      </c>
      <c r="N1427" s="317" t="s">
        <v>2597</v>
      </c>
      <c r="O1427" s="380">
        <f>VLOOKUP(B1427,'Tổng hợp (3)'!$C$4:$E$985,3,0)</f>
        <v>44820</v>
      </c>
      <c r="P1427" s="378"/>
      <c r="Q1427" s="158"/>
      <c r="R1427" s="144"/>
    </row>
    <row r="1428" spans="1:39" ht="35.25" hidden="1" customHeight="1">
      <c r="A1428" s="15">
        <f t="shared" si="22"/>
        <v>1418</v>
      </c>
      <c r="B1428" s="161" t="s">
        <v>2032</v>
      </c>
      <c r="C1428" s="150" t="s">
        <v>601</v>
      </c>
      <c r="D1428" s="156"/>
      <c r="E1428" s="156"/>
      <c r="F1428" s="156"/>
      <c r="G1428" s="168"/>
      <c r="H1428" s="141"/>
      <c r="I1428" s="202" t="s">
        <v>18</v>
      </c>
      <c r="J1428" s="202">
        <v>1</v>
      </c>
      <c r="K1428" s="156" t="s">
        <v>730</v>
      </c>
      <c r="L1428" s="168" t="s">
        <v>2522</v>
      </c>
      <c r="M1428" s="11" t="str">
        <f>VLOOKUP(N1428,'Mã NV'!$A$3:$B$196,2,0)</f>
        <v>TE77</v>
      </c>
      <c r="N1428" s="317" t="s">
        <v>2597</v>
      </c>
      <c r="O1428" s="381">
        <v>44197</v>
      </c>
      <c r="P1428" s="371"/>
      <c r="Q1428" s="158"/>
      <c r="R1428" s="168" t="s">
        <v>2598</v>
      </c>
    </row>
    <row r="1429" spans="1:39" ht="35.25" hidden="1" customHeight="1">
      <c r="A1429" s="15">
        <f t="shared" si="22"/>
        <v>1419</v>
      </c>
      <c r="B1429" s="9" t="s">
        <v>2033</v>
      </c>
      <c r="C1429" s="14" t="s">
        <v>1067</v>
      </c>
      <c r="D1429" s="156"/>
      <c r="E1429" s="156"/>
      <c r="F1429" s="156"/>
      <c r="G1429" s="168"/>
      <c r="H1429" s="141"/>
      <c r="I1429" s="202" t="s">
        <v>18</v>
      </c>
      <c r="J1429" s="202">
        <v>1</v>
      </c>
      <c r="K1429" s="156" t="s">
        <v>730</v>
      </c>
      <c r="L1429" s="168" t="s">
        <v>2522</v>
      </c>
      <c r="M1429" s="11" t="str">
        <f>VLOOKUP(N1429,'Mã NV'!$A$3:$B$196,2,0)</f>
        <v>TE77</v>
      </c>
      <c r="N1429" s="317" t="s">
        <v>2597</v>
      </c>
      <c r="O1429" s="380" t="str">
        <f>VLOOKUP(B1429,'Tổng hợp (3)'!$C$4:$E$985,3,0)</f>
        <v>29/9/2022</v>
      </c>
      <c r="P1429" s="378"/>
      <c r="Q1429" s="158"/>
      <c r="R1429" s="144"/>
    </row>
    <row r="1430" spans="1:39" ht="35.25" hidden="1" customHeight="1">
      <c r="A1430" s="15">
        <f t="shared" si="22"/>
        <v>1420</v>
      </c>
      <c r="B1430" s="9" t="s">
        <v>2034</v>
      </c>
      <c r="C1430" s="14" t="s">
        <v>1067</v>
      </c>
      <c r="D1430" s="156"/>
      <c r="E1430" s="156"/>
      <c r="F1430" s="156"/>
      <c r="G1430" s="168"/>
      <c r="H1430" s="141"/>
      <c r="I1430" s="202" t="s">
        <v>18</v>
      </c>
      <c r="J1430" s="202">
        <v>1</v>
      </c>
      <c r="K1430" s="156" t="s">
        <v>730</v>
      </c>
      <c r="L1430" s="168" t="s">
        <v>2522</v>
      </c>
      <c r="M1430" s="11" t="str">
        <f>VLOOKUP(N1430,'Mã NV'!$A$3:$B$196,2,0)</f>
        <v>TE77</v>
      </c>
      <c r="N1430" s="317" t="s">
        <v>2597</v>
      </c>
      <c r="O1430" s="380" t="str">
        <f>VLOOKUP(B1430,'Tổng hợp (3)'!$C$4:$E$985,3,0)</f>
        <v>29/9/2022</v>
      </c>
      <c r="P1430" s="378"/>
      <c r="Q1430" s="158"/>
      <c r="R1430" s="144"/>
    </row>
    <row r="1431" spans="1:39" ht="35.25" hidden="1" customHeight="1">
      <c r="A1431" s="15">
        <f t="shared" si="22"/>
        <v>1421</v>
      </c>
      <c r="B1431" s="161" t="s">
        <v>2035</v>
      </c>
      <c r="C1431" s="191" t="s">
        <v>132</v>
      </c>
      <c r="D1431" s="156"/>
      <c r="E1431" s="156"/>
      <c r="F1431" s="156"/>
      <c r="G1431" s="168"/>
      <c r="H1431" s="141"/>
      <c r="I1431" s="202" t="s">
        <v>18</v>
      </c>
      <c r="J1431" s="202">
        <v>1</v>
      </c>
      <c r="K1431" s="156" t="s">
        <v>730</v>
      </c>
      <c r="L1431" s="168" t="s">
        <v>2522</v>
      </c>
      <c r="M1431" s="11" t="str">
        <f>VLOOKUP(N1431,'Mã NV'!$A$3:$B$196,2,0)</f>
        <v>TE17</v>
      </c>
      <c r="N1431" s="317" t="s">
        <v>2599</v>
      </c>
      <c r="O1431" s="381">
        <v>44197</v>
      </c>
      <c r="P1431" s="371"/>
      <c r="Q1431" s="158"/>
      <c r="R1431" s="144"/>
    </row>
    <row r="1432" spans="1:39" ht="35.25" hidden="1" customHeight="1">
      <c r="A1432" s="15">
        <f t="shared" si="22"/>
        <v>1422</v>
      </c>
      <c r="B1432" s="144" t="s">
        <v>2036</v>
      </c>
      <c r="C1432" s="191" t="s">
        <v>2011</v>
      </c>
      <c r="D1432" s="156"/>
      <c r="E1432" s="156"/>
      <c r="F1432" s="156"/>
      <c r="G1432" s="161" t="s">
        <v>2454</v>
      </c>
      <c r="H1432" s="141"/>
      <c r="I1432" s="202" t="s">
        <v>18</v>
      </c>
      <c r="J1432" s="202">
        <v>1</v>
      </c>
      <c r="K1432" s="156" t="s">
        <v>730</v>
      </c>
      <c r="L1432" s="168" t="s">
        <v>2522</v>
      </c>
      <c r="M1432" s="11" t="str">
        <f>VLOOKUP(N1432,'Mã NV'!$A$3:$B$196,2,0)</f>
        <v>TE17</v>
      </c>
      <c r="N1432" s="317" t="s">
        <v>2599</v>
      </c>
      <c r="O1432" s="381">
        <v>44197</v>
      </c>
      <c r="P1432" s="371"/>
      <c r="Q1432" s="158"/>
      <c r="R1432" s="144"/>
    </row>
    <row r="1433" spans="1:39" ht="35.25" hidden="1" customHeight="1">
      <c r="A1433" s="15">
        <f t="shared" si="22"/>
        <v>1423</v>
      </c>
      <c r="B1433" s="161" t="s">
        <v>2037</v>
      </c>
      <c r="C1433" s="191" t="s">
        <v>698</v>
      </c>
      <c r="D1433" s="156"/>
      <c r="E1433" s="156"/>
      <c r="F1433" s="156"/>
      <c r="G1433" s="168"/>
      <c r="H1433" s="141"/>
      <c r="I1433" s="202" t="s">
        <v>18</v>
      </c>
      <c r="J1433" s="202">
        <v>1</v>
      </c>
      <c r="K1433" s="156" t="s">
        <v>730</v>
      </c>
      <c r="L1433" s="168" t="s">
        <v>2522</v>
      </c>
      <c r="M1433" s="11" t="str">
        <f>VLOOKUP(N1433,'Mã NV'!$A$3:$B$196,2,0)</f>
        <v>TE17</v>
      </c>
      <c r="N1433" s="317" t="s">
        <v>2599</v>
      </c>
      <c r="O1433" s="381">
        <v>44197</v>
      </c>
      <c r="P1433" s="371"/>
      <c r="Q1433" s="158"/>
      <c r="R1433" s="144"/>
    </row>
    <row r="1434" spans="1:39" s="137" customFormat="1" ht="35.25" hidden="1" customHeight="1">
      <c r="A1434" s="15">
        <f t="shared" si="22"/>
        <v>1424</v>
      </c>
      <c r="B1434" s="195" t="s">
        <v>2038</v>
      </c>
      <c r="C1434" s="249" t="s">
        <v>641</v>
      </c>
      <c r="D1434" s="151"/>
      <c r="E1434" s="151"/>
      <c r="F1434" s="151"/>
      <c r="G1434" s="203"/>
      <c r="H1434" s="148"/>
      <c r="I1434" s="204" t="s">
        <v>18</v>
      </c>
      <c r="J1434" s="204">
        <v>1</v>
      </c>
      <c r="K1434" s="203" t="s">
        <v>300</v>
      </c>
      <c r="L1434" s="203" t="s">
        <v>2522</v>
      </c>
      <c r="M1434" s="11" t="str">
        <f>VLOOKUP(N1434,'Mã NV'!$A$3:$B$196,2,0)</f>
        <v>TE17</v>
      </c>
      <c r="N1434" s="318" t="s">
        <v>2599</v>
      </c>
      <c r="O1434" s="381">
        <v>44197</v>
      </c>
      <c r="P1434" s="371"/>
      <c r="Q1434" s="166"/>
      <c r="R1434" s="171" t="s">
        <v>2670</v>
      </c>
      <c r="S1434"/>
      <c r="T1434"/>
      <c r="U1434"/>
      <c r="V1434"/>
      <c r="W1434"/>
      <c r="X1434"/>
      <c r="Y1434"/>
      <c r="Z1434"/>
      <c r="AA1434"/>
      <c r="AB1434"/>
      <c r="AC1434"/>
      <c r="AD1434"/>
      <c r="AE1434"/>
      <c r="AF1434"/>
      <c r="AG1434"/>
      <c r="AH1434"/>
      <c r="AI1434"/>
      <c r="AJ1434"/>
      <c r="AK1434"/>
      <c r="AL1434"/>
      <c r="AM1434"/>
    </row>
    <row r="1435" spans="1:39" ht="35.25" hidden="1" customHeight="1">
      <c r="A1435" s="15">
        <f t="shared" si="22"/>
        <v>1425</v>
      </c>
      <c r="B1435" s="144" t="s">
        <v>2039</v>
      </c>
      <c r="C1435" s="150" t="s">
        <v>620</v>
      </c>
      <c r="D1435" s="156"/>
      <c r="E1435" s="156"/>
      <c r="F1435" s="156"/>
      <c r="G1435" s="142" t="s">
        <v>2455</v>
      </c>
      <c r="H1435" s="141"/>
      <c r="I1435" s="202" t="s">
        <v>18</v>
      </c>
      <c r="J1435" s="153">
        <v>1</v>
      </c>
      <c r="K1435" s="142" t="s">
        <v>730</v>
      </c>
      <c r="L1435" s="168" t="s">
        <v>2522</v>
      </c>
      <c r="M1435" s="11" t="str">
        <f>VLOOKUP(N1435,'Mã NV'!$A$3:$B$196,2,0)</f>
        <v>TE106</v>
      </c>
      <c r="N1435" s="297" t="s">
        <v>2600</v>
      </c>
      <c r="O1435" s="380">
        <f>VLOOKUP(B1435,'Tổng hợp (3)'!$C$4:$E$985,3,0)</f>
        <v>44338</v>
      </c>
      <c r="P1435" s="378"/>
      <c r="Q1435" s="158"/>
      <c r="R1435" s="153"/>
    </row>
    <row r="1436" spans="1:39" ht="35.25" hidden="1" customHeight="1">
      <c r="A1436" s="15">
        <f t="shared" si="22"/>
        <v>1426</v>
      </c>
      <c r="B1436" s="144" t="s">
        <v>2040</v>
      </c>
      <c r="C1436" s="150" t="s">
        <v>2041</v>
      </c>
      <c r="D1436" s="156"/>
      <c r="E1436" s="156"/>
      <c r="F1436" s="156"/>
      <c r="G1436" s="142" t="s">
        <v>2456</v>
      </c>
      <c r="H1436" s="141"/>
      <c r="I1436" s="202" t="s">
        <v>18</v>
      </c>
      <c r="J1436" s="153">
        <v>1</v>
      </c>
      <c r="K1436" s="142" t="s">
        <v>730</v>
      </c>
      <c r="L1436" s="168" t="s">
        <v>2522</v>
      </c>
      <c r="M1436" s="11" t="str">
        <f>VLOOKUP(N1436,'Mã NV'!$A$3:$B$196,2,0)</f>
        <v>TE106</v>
      </c>
      <c r="N1436" s="297" t="s">
        <v>2600</v>
      </c>
      <c r="O1436" s="380">
        <f>VLOOKUP(B1436,'Tổng hợp (3)'!$C$4:$E$985,3,0)</f>
        <v>44896</v>
      </c>
      <c r="P1436" s="378"/>
      <c r="Q1436" s="158"/>
      <c r="R1436" s="153"/>
    </row>
    <row r="1437" spans="1:39" ht="35.25" hidden="1" customHeight="1">
      <c r="A1437" s="15">
        <f t="shared" si="22"/>
        <v>1427</v>
      </c>
      <c r="B1437" s="144" t="s">
        <v>2042</v>
      </c>
      <c r="C1437" s="150" t="s">
        <v>2043</v>
      </c>
      <c r="D1437" s="156"/>
      <c r="E1437" s="156"/>
      <c r="F1437" s="156"/>
      <c r="G1437" s="142" t="s">
        <v>2457</v>
      </c>
      <c r="H1437" s="141"/>
      <c r="I1437" s="202" t="s">
        <v>18</v>
      </c>
      <c r="J1437" s="153">
        <v>1</v>
      </c>
      <c r="K1437" s="142" t="s">
        <v>730</v>
      </c>
      <c r="L1437" s="168" t="s">
        <v>2522</v>
      </c>
      <c r="M1437" s="11" t="str">
        <f>VLOOKUP(N1437,'Mã NV'!$A$3:$B$196,2,0)</f>
        <v>TE106</v>
      </c>
      <c r="N1437" s="297" t="s">
        <v>2600</v>
      </c>
      <c r="O1437" s="380" t="str">
        <f>VLOOKUP(B1437,'Tổng hợp (3)'!$C$4:$E$985,3,0)</f>
        <v>21/09/2022</v>
      </c>
      <c r="P1437" s="378"/>
      <c r="Q1437" s="158"/>
      <c r="R1437" s="153"/>
    </row>
    <row r="1438" spans="1:39" ht="35.25" hidden="1" customHeight="1">
      <c r="A1438" s="15">
        <f t="shared" si="22"/>
        <v>1428</v>
      </c>
      <c r="B1438" s="19" t="s">
        <v>2044</v>
      </c>
      <c r="C1438" s="150" t="s">
        <v>2045</v>
      </c>
      <c r="D1438" s="156"/>
      <c r="E1438" s="156"/>
      <c r="F1438" s="156"/>
      <c r="G1438" s="142"/>
      <c r="H1438" s="141"/>
      <c r="I1438" s="202" t="s">
        <v>18</v>
      </c>
      <c r="J1438" s="153">
        <v>1</v>
      </c>
      <c r="K1438" s="142" t="s">
        <v>730</v>
      </c>
      <c r="L1438" s="168" t="s">
        <v>2522</v>
      </c>
      <c r="M1438" s="11" t="str">
        <f>VLOOKUP(N1438,'Mã NV'!$A$3:$B$196,2,0)</f>
        <v>TE91</v>
      </c>
      <c r="N1438" s="297" t="s">
        <v>2601</v>
      </c>
      <c r="O1438" s="380">
        <f>VLOOKUP(B1438,'Tổng hợp (3)'!$C$4:$E$985,3,0)</f>
        <v>44917</v>
      </c>
      <c r="P1438" s="378"/>
      <c r="Q1438" s="158"/>
      <c r="R1438" s="153"/>
    </row>
    <row r="1439" spans="1:39" ht="35.25" hidden="1" customHeight="1">
      <c r="A1439" s="15">
        <f t="shared" si="22"/>
        <v>1429</v>
      </c>
      <c r="B1439" s="19" t="s">
        <v>2046</v>
      </c>
      <c r="C1439" s="150" t="s">
        <v>2047</v>
      </c>
      <c r="D1439" s="156"/>
      <c r="E1439" s="156"/>
      <c r="F1439" s="156"/>
      <c r="G1439" s="142"/>
      <c r="H1439" s="141"/>
      <c r="I1439" s="202" t="s">
        <v>18</v>
      </c>
      <c r="J1439" s="153">
        <v>1</v>
      </c>
      <c r="K1439" s="142" t="s">
        <v>730</v>
      </c>
      <c r="L1439" s="168" t="s">
        <v>2522</v>
      </c>
      <c r="M1439" s="11" t="str">
        <f>VLOOKUP(N1439,'Mã NV'!$A$3:$B$196,2,0)</f>
        <v>TE91</v>
      </c>
      <c r="N1439" s="297" t="s">
        <v>2601</v>
      </c>
      <c r="O1439" s="380">
        <f>VLOOKUP(B1439,'Tổng hợp (3)'!$C$4:$E$985,3,0)</f>
        <v>44917</v>
      </c>
      <c r="P1439" s="378"/>
      <c r="Q1439" s="158"/>
      <c r="R1439" s="153"/>
    </row>
    <row r="1440" spans="1:39" ht="35.25" hidden="1" customHeight="1">
      <c r="A1440" s="15">
        <f t="shared" si="22"/>
        <v>1430</v>
      </c>
      <c r="B1440" s="156" t="s">
        <v>2048</v>
      </c>
      <c r="C1440" s="169" t="s">
        <v>2049</v>
      </c>
      <c r="D1440" s="156"/>
      <c r="E1440" s="156"/>
      <c r="F1440" s="156"/>
      <c r="G1440" s="145" t="s">
        <v>2458</v>
      </c>
      <c r="H1440" s="141"/>
      <c r="I1440" s="186" t="s">
        <v>18</v>
      </c>
      <c r="J1440" s="186">
        <v>1</v>
      </c>
      <c r="K1440" s="142" t="s">
        <v>730</v>
      </c>
      <c r="L1440" s="181" t="s">
        <v>2522</v>
      </c>
      <c r="M1440" s="11" t="str">
        <f>VLOOKUP(N1440,'Mã NV'!$A$3:$B$196,2,0)</f>
        <v>TE98</v>
      </c>
      <c r="N1440" s="303" t="s">
        <v>2602</v>
      </c>
      <c r="O1440" s="381">
        <v>44197</v>
      </c>
      <c r="P1440" s="371"/>
      <c r="Q1440" s="158"/>
      <c r="R1440" s="156"/>
    </row>
    <row r="1441" spans="1:18" ht="35.25" hidden="1" customHeight="1">
      <c r="A1441" s="15">
        <f t="shared" si="22"/>
        <v>1431</v>
      </c>
      <c r="B1441" s="156" t="s">
        <v>2050</v>
      </c>
      <c r="C1441" s="169" t="s">
        <v>2051</v>
      </c>
      <c r="D1441" s="156"/>
      <c r="E1441" s="156"/>
      <c r="F1441" s="156"/>
      <c r="G1441" s="156" t="s">
        <v>2459</v>
      </c>
      <c r="H1441" s="141"/>
      <c r="I1441" s="186" t="s">
        <v>18</v>
      </c>
      <c r="J1441" s="186">
        <v>1</v>
      </c>
      <c r="K1441" s="142" t="s">
        <v>730</v>
      </c>
      <c r="L1441" s="181" t="s">
        <v>2522</v>
      </c>
      <c r="M1441" s="11" t="str">
        <f>VLOOKUP(N1441,'Mã NV'!$A$3:$B$196,2,0)</f>
        <v>TE98</v>
      </c>
      <c r="N1441" s="303" t="s">
        <v>2602</v>
      </c>
      <c r="O1441" s="381">
        <v>44197</v>
      </c>
      <c r="P1441" s="371"/>
      <c r="Q1441" s="158"/>
      <c r="R1441" s="156"/>
    </row>
    <row r="1442" spans="1:18" ht="35.25" hidden="1" customHeight="1">
      <c r="A1442" s="15">
        <f t="shared" si="22"/>
        <v>1432</v>
      </c>
      <c r="B1442" s="144" t="s">
        <v>2052</v>
      </c>
      <c r="C1442" s="150" t="s">
        <v>2051</v>
      </c>
      <c r="D1442" s="156"/>
      <c r="E1442" s="156"/>
      <c r="F1442" s="156"/>
      <c r="G1442" s="144" t="s">
        <v>2460</v>
      </c>
      <c r="H1442" s="141"/>
      <c r="I1442" s="202" t="s">
        <v>18</v>
      </c>
      <c r="J1442" s="202">
        <v>1</v>
      </c>
      <c r="K1442" s="142" t="s">
        <v>730</v>
      </c>
      <c r="L1442" s="168" t="s">
        <v>2522</v>
      </c>
      <c r="M1442" s="11" t="str">
        <f>VLOOKUP(N1442,'Mã NV'!$A$3:$B$196,2,0)</f>
        <v>TE94</v>
      </c>
      <c r="N1442" s="297" t="s">
        <v>2603</v>
      </c>
      <c r="O1442" s="381">
        <v>44197</v>
      </c>
      <c r="P1442" s="371"/>
      <c r="Q1442" s="158"/>
      <c r="R1442" s="153"/>
    </row>
    <row r="1443" spans="1:18" ht="35.25" hidden="1" customHeight="1">
      <c r="A1443" s="15">
        <f t="shared" si="22"/>
        <v>1433</v>
      </c>
      <c r="B1443" s="144" t="s">
        <v>2053</v>
      </c>
      <c r="C1443" s="150" t="s">
        <v>2054</v>
      </c>
      <c r="D1443" s="156"/>
      <c r="E1443" s="156"/>
      <c r="F1443" s="156"/>
      <c r="G1443" s="142" t="s">
        <v>634</v>
      </c>
      <c r="H1443" s="141"/>
      <c r="I1443" s="202" t="s">
        <v>18</v>
      </c>
      <c r="J1443" s="153">
        <v>1</v>
      </c>
      <c r="K1443" s="142" t="s">
        <v>730</v>
      </c>
      <c r="L1443" s="168" t="s">
        <v>2522</v>
      </c>
      <c r="M1443" s="11" t="str">
        <f>VLOOKUP(N1443,'Mã NV'!$A$3:$B$196,2,0)</f>
        <v>TE94</v>
      </c>
      <c r="N1443" s="297" t="s">
        <v>2603</v>
      </c>
      <c r="O1443" s="380" t="str">
        <f>VLOOKUP(B1443,'Tổng hợp (3)'!$C$4:$E$985,3,0)</f>
        <v>22/09/2022</v>
      </c>
      <c r="P1443" s="378"/>
      <c r="Q1443" s="158"/>
      <c r="R1443" s="144"/>
    </row>
    <row r="1444" spans="1:18" ht="35.25" hidden="1" customHeight="1">
      <c r="A1444" s="15">
        <f t="shared" si="22"/>
        <v>1434</v>
      </c>
      <c r="B1444" s="144" t="s">
        <v>2055</v>
      </c>
      <c r="C1444" s="150" t="s">
        <v>2056</v>
      </c>
      <c r="D1444" s="156"/>
      <c r="E1444" s="156"/>
      <c r="F1444" s="156"/>
      <c r="G1444" s="144" t="s">
        <v>2461</v>
      </c>
      <c r="H1444" s="141"/>
      <c r="I1444" s="202" t="s">
        <v>18</v>
      </c>
      <c r="J1444" s="153">
        <v>1</v>
      </c>
      <c r="K1444" s="142" t="s">
        <v>730</v>
      </c>
      <c r="L1444" s="168" t="s">
        <v>2522</v>
      </c>
      <c r="M1444" s="11" t="str">
        <f>VLOOKUP(N1444,'Mã NV'!$A$3:$B$196,2,0)</f>
        <v>TE94</v>
      </c>
      <c r="N1444" s="297" t="s">
        <v>2603</v>
      </c>
      <c r="O1444" s="381">
        <v>44197</v>
      </c>
      <c r="P1444" s="371"/>
      <c r="Q1444" s="158"/>
      <c r="R1444" s="144"/>
    </row>
    <row r="1445" spans="1:18" ht="35.25" hidden="1" customHeight="1">
      <c r="A1445" s="15">
        <f t="shared" si="22"/>
        <v>1435</v>
      </c>
      <c r="B1445" s="144" t="s">
        <v>2057</v>
      </c>
      <c r="C1445" s="150" t="s">
        <v>605</v>
      </c>
      <c r="D1445" s="156"/>
      <c r="E1445" s="156"/>
      <c r="F1445" s="156"/>
      <c r="G1445" s="144" t="s">
        <v>596</v>
      </c>
      <c r="H1445" s="141"/>
      <c r="I1445" s="202" t="s">
        <v>18</v>
      </c>
      <c r="J1445" s="153">
        <v>1</v>
      </c>
      <c r="K1445" s="142" t="s">
        <v>730</v>
      </c>
      <c r="L1445" s="168" t="s">
        <v>2522</v>
      </c>
      <c r="M1445" s="11" t="str">
        <f>VLOOKUP(N1445,'Mã NV'!$A$3:$B$196,2,0)</f>
        <v>TE94</v>
      </c>
      <c r="N1445" s="297" t="s">
        <v>2603</v>
      </c>
      <c r="O1445" s="381">
        <v>44197</v>
      </c>
      <c r="P1445" s="371"/>
      <c r="Q1445" s="158"/>
      <c r="R1445" s="144"/>
    </row>
    <row r="1446" spans="1:18" ht="35.25" hidden="1" customHeight="1">
      <c r="A1446" s="15">
        <f t="shared" si="22"/>
        <v>1436</v>
      </c>
      <c r="B1446" s="144" t="s">
        <v>2058</v>
      </c>
      <c r="C1446" s="150" t="s">
        <v>633</v>
      </c>
      <c r="D1446" s="156"/>
      <c r="E1446" s="156"/>
      <c r="F1446" s="156"/>
      <c r="G1446" s="187" t="s">
        <v>2462</v>
      </c>
      <c r="H1446" s="141"/>
      <c r="I1446" s="202" t="s">
        <v>18</v>
      </c>
      <c r="J1446" s="153">
        <v>1</v>
      </c>
      <c r="K1446" s="142" t="s">
        <v>730</v>
      </c>
      <c r="L1446" s="168" t="s">
        <v>2522</v>
      </c>
      <c r="M1446" s="11" t="str">
        <f>VLOOKUP(N1446,'Mã NV'!$A$3:$B$196,2,0)</f>
        <v>TE95</v>
      </c>
      <c r="N1446" s="316" t="s">
        <v>2604</v>
      </c>
      <c r="O1446" s="381">
        <v>44197</v>
      </c>
      <c r="P1446" s="371"/>
      <c r="Q1446" s="158"/>
      <c r="R1446" s="144"/>
    </row>
    <row r="1447" spans="1:18" ht="35.25" hidden="1" customHeight="1">
      <c r="A1447" s="15">
        <f t="shared" si="22"/>
        <v>1437</v>
      </c>
      <c r="B1447" s="156" t="s">
        <v>2059</v>
      </c>
      <c r="C1447" s="169" t="s">
        <v>612</v>
      </c>
      <c r="D1447" s="156"/>
      <c r="E1447" s="156"/>
      <c r="F1447" s="156"/>
      <c r="G1447" s="145" t="s">
        <v>2463</v>
      </c>
      <c r="H1447" s="141"/>
      <c r="I1447" s="186" t="s">
        <v>18</v>
      </c>
      <c r="J1447" s="158">
        <v>1</v>
      </c>
      <c r="K1447" s="142" t="s">
        <v>730</v>
      </c>
      <c r="L1447" s="181" t="s">
        <v>2522</v>
      </c>
      <c r="M1447" s="11" t="str">
        <f>VLOOKUP(N1447,'Mã NV'!$A$3:$B$196,2,0)</f>
        <v>TE77</v>
      </c>
      <c r="N1447" s="319" t="s">
        <v>2597</v>
      </c>
      <c r="O1447" s="381">
        <v>44197</v>
      </c>
      <c r="P1447" s="371"/>
      <c r="Q1447" s="158"/>
      <c r="R1447" s="169" t="s">
        <v>3248</v>
      </c>
    </row>
    <row r="1448" spans="1:18" ht="35.25" hidden="1" customHeight="1">
      <c r="A1448" s="15">
        <f t="shared" si="22"/>
        <v>1438</v>
      </c>
      <c r="B1448" s="144" t="s">
        <v>2060</v>
      </c>
      <c r="C1448" s="150" t="s">
        <v>2051</v>
      </c>
      <c r="D1448" s="156"/>
      <c r="E1448" s="156"/>
      <c r="F1448" s="156"/>
      <c r="G1448" s="142"/>
      <c r="H1448" s="141"/>
      <c r="I1448" s="202" t="s">
        <v>18</v>
      </c>
      <c r="J1448" s="153">
        <v>1</v>
      </c>
      <c r="K1448" s="142" t="s">
        <v>730</v>
      </c>
      <c r="L1448" s="168" t="s">
        <v>2522</v>
      </c>
      <c r="M1448" s="11" t="str">
        <f>VLOOKUP(N1448,'Mã NV'!$A$3:$B$196,2,0)</f>
        <v>TE95</v>
      </c>
      <c r="N1448" s="297" t="s">
        <v>2604</v>
      </c>
      <c r="O1448" s="381">
        <v>44197</v>
      </c>
      <c r="P1448" s="371"/>
      <c r="Q1448" s="158"/>
      <c r="R1448" s="144"/>
    </row>
    <row r="1449" spans="1:18" ht="35.25" hidden="1" customHeight="1">
      <c r="A1449" s="15">
        <f t="shared" si="22"/>
        <v>1439</v>
      </c>
      <c r="B1449" s="144" t="s">
        <v>2061</v>
      </c>
      <c r="C1449" s="150" t="s">
        <v>620</v>
      </c>
      <c r="D1449" s="156"/>
      <c r="E1449" s="156"/>
      <c r="F1449" s="156"/>
      <c r="G1449" s="142" t="s">
        <v>2464</v>
      </c>
      <c r="H1449" s="141"/>
      <c r="I1449" s="202" t="s">
        <v>18</v>
      </c>
      <c r="J1449" s="153">
        <v>1</v>
      </c>
      <c r="K1449" s="142" t="s">
        <v>730</v>
      </c>
      <c r="L1449" s="168" t="s">
        <v>2522</v>
      </c>
      <c r="M1449" s="11" t="str">
        <f>VLOOKUP(N1449,'Mã NV'!$A$3:$B$196,2,0)</f>
        <v>TE24</v>
      </c>
      <c r="N1449" s="297" t="s">
        <v>2605</v>
      </c>
      <c r="O1449" s="380" t="str">
        <f>VLOOKUP(B1449,'Tổng hợp (3)'!$C$4:$E$985,3,0)</f>
        <v>22/09/2022</v>
      </c>
      <c r="P1449" s="378"/>
      <c r="Q1449" s="158"/>
      <c r="R1449" s="144"/>
    </row>
    <row r="1450" spans="1:18" ht="35.25" hidden="1" customHeight="1">
      <c r="A1450" s="15">
        <f t="shared" si="22"/>
        <v>1440</v>
      </c>
      <c r="B1450" s="144" t="s">
        <v>2062</v>
      </c>
      <c r="C1450" s="150" t="s">
        <v>1339</v>
      </c>
      <c r="D1450" s="156"/>
      <c r="E1450" s="156"/>
      <c r="F1450" s="156"/>
      <c r="G1450" s="142"/>
      <c r="H1450" s="141"/>
      <c r="I1450" s="202" t="s">
        <v>18</v>
      </c>
      <c r="J1450" s="153">
        <v>1</v>
      </c>
      <c r="K1450" s="142" t="s">
        <v>730</v>
      </c>
      <c r="L1450" s="168" t="s">
        <v>2522</v>
      </c>
      <c r="M1450" s="11" t="str">
        <f>VLOOKUP(N1450,'Mã NV'!$A$3:$B$196,2,0)</f>
        <v>TE24</v>
      </c>
      <c r="N1450" s="316" t="s">
        <v>2605</v>
      </c>
      <c r="O1450" s="381">
        <v>44197</v>
      </c>
      <c r="P1450" s="371"/>
      <c r="Q1450" s="158"/>
      <c r="R1450" s="144"/>
    </row>
    <row r="1451" spans="1:18" ht="35.25" hidden="1" customHeight="1">
      <c r="A1451" s="15">
        <f t="shared" si="22"/>
        <v>1441</v>
      </c>
      <c r="B1451" s="144" t="s">
        <v>2063</v>
      </c>
      <c r="C1451" s="150" t="s">
        <v>2064</v>
      </c>
      <c r="D1451" s="156"/>
      <c r="E1451" s="156"/>
      <c r="F1451" s="156"/>
      <c r="G1451" s="142"/>
      <c r="H1451" s="141"/>
      <c r="I1451" s="202" t="s">
        <v>18</v>
      </c>
      <c r="J1451" s="202">
        <v>1</v>
      </c>
      <c r="K1451" s="142" t="s">
        <v>3219</v>
      </c>
      <c r="L1451" s="168" t="s">
        <v>17</v>
      </c>
      <c r="M1451" s="11" t="e">
        <f>VLOOKUP(N1451,'Mã NV'!$A$3:$B$196,2,0)</f>
        <v>#N/A</v>
      </c>
      <c r="N1451" s="316" t="s">
        <v>176</v>
      </c>
      <c r="O1451" s="381">
        <v>44197</v>
      </c>
      <c r="P1451" s="371"/>
      <c r="Q1451" s="158"/>
      <c r="R1451" s="144"/>
    </row>
    <row r="1452" spans="1:18" ht="35.25" hidden="1" customHeight="1">
      <c r="A1452" s="15">
        <f t="shared" si="22"/>
        <v>1442</v>
      </c>
      <c r="B1452" s="144" t="s">
        <v>2065</v>
      </c>
      <c r="C1452" s="149">
        <v>965618069</v>
      </c>
      <c r="D1452" s="156"/>
      <c r="E1452" s="156"/>
      <c r="F1452" s="156"/>
      <c r="G1452" s="142"/>
      <c r="H1452" s="141"/>
      <c r="I1452" s="202" t="s">
        <v>18</v>
      </c>
      <c r="J1452" s="202">
        <v>1</v>
      </c>
      <c r="K1452" s="142" t="s">
        <v>3219</v>
      </c>
      <c r="L1452" s="168" t="s">
        <v>17</v>
      </c>
      <c r="M1452" s="11" t="e">
        <f>VLOOKUP(N1452,'Mã NV'!$A$3:$B$196,2,0)</f>
        <v>#N/A</v>
      </c>
      <c r="N1452" s="316" t="s">
        <v>176</v>
      </c>
      <c r="O1452" s="381">
        <v>44197</v>
      </c>
      <c r="P1452" s="371"/>
      <c r="Q1452" s="158"/>
      <c r="R1452" s="144"/>
    </row>
    <row r="1453" spans="1:18" ht="35.25" hidden="1" customHeight="1">
      <c r="A1453" s="15">
        <f t="shared" si="22"/>
        <v>1443</v>
      </c>
      <c r="B1453" s="144" t="s">
        <v>2066</v>
      </c>
      <c r="C1453" s="149" t="s">
        <v>2067</v>
      </c>
      <c r="D1453" s="156"/>
      <c r="E1453" s="156"/>
      <c r="F1453" s="156"/>
      <c r="G1453" s="142"/>
      <c r="H1453" s="141"/>
      <c r="I1453" s="202" t="s">
        <v>18</v>
      </c>
      <c r="J1453" s="153">
        <v>1</v>
      </c>
      <c r="K1453" s="142" t="s">
        <v>730</v>
      </c>
      <c r="L1453" s="168" t="s">
        <v>2522</v>
      </c>
      <c r="M1453" s="11" t="str">
        <f>VLOOKUP(N1453,'Mã NV'!$A$3:$B$196,2,0)</f>
        <v>TE24</v>
      </c>
      <c r="N1453" s="316" t="s">
        <v>2605</v>
      </c>
      <c r="O1453" s="381">
        <v>45005</v>
      </c>
      <c r="P1453" s="371"/>
      <c r="Q1453" s="158"/>
      <c r="R1453" s="144"/>
    </row>
    <row r="1454" spans="1:18" ht="35.25" hidden="1" customHeight="1">
      <c r="A1454" s="15">
        <f t="shared" si="22"/>
        <v>1444</v>
      </c>
      <c r="B1454" s="156" t="s">
        <v>2068</v>
      </c>
      <c r="C1454" s="169" t="s">
        <v>2069</v>
      </c>
      <c r="D1454" s="156"/>
      <c r="E1454" s="156"/>
      <c r="F1454" s="156"/>
      <c r="G1454" s="145" t="s">
        <v>2465</v>
      </c>
      <c r="H1454" s="141"/>
      <c r="I1454" s="186" t="s">
        <v>18</v>
      </c>
      <c r="J1454" s="158">
        <v>1</v>
      </c>
      <c r="K1454" s="142" t="s">
        <v>730</v>
      </c>
      <c r="L1454" s="181" t="s">
        <v>2522</v>
      </c>
      <c r="M1454" s="11" t="str">
        <f>VLOOKUP(N1454,'Mã NV'!$A$3:$B$196,2,0)</f>
        <v>TE03</v>
      </c>
      <c r="N1454" s="303" t="s">
        <v>2606</v>
      </c>
      <c r="O1454" s="381">
        <v>44197</v>
      </c>
      <c r="P1454" s="371"/>
      <c r="Q1454" s="158"/>
      <c r="R1454" s="169" t="s">
        <v>2671</v>
      </c>
    </row>
    <row r="1455" spans="1:18" ht="35.25" hidden="1" customHeight="1">
      <c r="A1455" s="15">
        <f t="shared" si="22"/>
        <v>1445</v>
      </c>
      <c r="B1455" s="156" t="s">
        <v>2070</v>
      </c>
      <c r="C1455" s="169" t="s">
        <v>2071</v>
      </c>
      <c r="D1455" s="156"/>
      <c r="E1455" s="156"/>
      <c r="F1455" s="156"/>
      <c r="G1455" s="145" t="s">
        <v>2466</v>
      </c>
      <c r="H1455" s="141"/>
      <c r="I1455" s="186" t="s">
        <v>18</v>
      </c>
      <c r="J1455" s="158">
        <v>1</v>
      </c>
      <c r="K1455" s="142" t="s">
        <v>730</v>
      </c>
      <c r="L1455" s="181" t="s">
        <v>2522</v>
      </c>
      <c r="M1455" s="11" t="str">
        <f>VLOOKUP(N1455,'Mã NV'!$A$3:$B$196,2,0)</f>
        <v>TE03</v>
      </c>
      <c r="N1455" s="303" t="s">
        <v>2606</v>
      </c>
      <c r="O1455" s="380">
        <f>VLOOKUP(B1455,'Tổng hợp (3)'!$C$4:$E$985,3,0)</f>
        <v>44896</v>
      </c>
      <c r="P1455" s="378"/>
      <c r="Q1455" s="158"/>
      <c r="R1455" s="156"/>
    </row>
    <row r="1456" spans="1:18" ht="35.25" hidden="1" customHeight="1">
      <c r="A1456" s="15">
        <f t="shared" si="22"/>
        <v>1446</v>
      </c>
      <c r="B1456" s="156" t="s">
        <v>2072</v>
      </c>
      <c r="C1456" s="169" t="s">
        <v>2073</v>
      </c>
      <c r="D1456" s="156"/>
      <c r="E1456" s="156"/>
      <c r="F1456" s="156"/>
      <c r="G1456" s="145" t="s">
        <v>2400</v>
      </c>
      <c r="H1456" s="141"/>
      <c r="I1456" s="186" t="s">
        <v>18</v>
      </c>
      <c r="J1456" s="158">
        <v>1</v>
      </c>
      <c r="K1456" s="142" t="s">
        <v>730</v>
      </c>
      <c r="L1456" s="181" t="s">
        <v>2522</v>
      </c>
      <c r="M1456" s="11" t="str">
        <f>VLOOKUP(N1456,'Mã NV'!$A$3:$B$196,2,0)</f>
        <v>TE03</v>
      </c>
      <c r="N1456" s="303" t="s">
        <v>2606</v>
      </c>
      <c r="O1456" s="381">
        <v>44197</v>
      </c>
      <c r="P1456" s="371"/>
      <c r="Q1456" s="158"/>
      <c r="R1456" s="156"/>
    </row>
    <row r="1457" spans="1:18" ht="35.25" hidden="1" customHeight="1">
      <c r="A1457" s="15">
        <f t="shared" si="22"/>
        <v>1447</v>
      </c>
      <c r="B1457" s="144" t="s">
        <v>2074</v>
      </c>
      <c r="C1457" s="150" t="s">
        <v>620</v>
      </c>
      <c r="D1457" s="156"/>
      <c r="E1457" s="156"/>
      <c r="F1457" s="156"/>
      <c r="G1457" s="142" t="s">
        <v>2465</v>
      </c>
      <c r="H1457" s="141"/>
      <c r="I1457" s="202" t="s">
        <v>18</v>
      </c>
      <c r="J1457" s="153">
        <v>1</v>
      </c>
      <c r="K1457" s="142" t="s">
        <v>730</v>
      </c>
      <c r="L1457" s="168" t="s">
        <v>2522</v>
      </c>
      <c r="M1457" s="11" t="str">
        <f>VLOOKUP(N1457,'Mã NV'!$A$3:$B$196,2,0)</f>
        <v>TE05</v>
      </c>
      <c r="N1457" s="297" t="s">
        <v>2607</v>
      </c>
      <c r="O1457" s="381">
        <v>44197</v>
      </c>
      <c r="P1457" s="371"/>
      <c r="Q1457" s="158"/>
      <c r="R1457" s="144"/>
    </row>
    <row r="1458" spans="1:18" ht="35.25" hidden="1" customHeight="1">
      <c r="A1458" s="15">
        <f t="shared" si="22"/>
        <v>1448</v>
      </c>
      <c r="B1458" s="144" t="s">
        <v>2075</v>
      </c>
      <c r="C1458" s="150" t="s">
        <v>1339</v>
      </c>
      <c r="D1458" s="156"/>
      <c r="E1458" s="156"/>
      <c r="F1458" s="156"/>
      <c r="G1458" s="142" t="s">
        <v>2466</v>
      </c>
      <c r="H1458" s="141"/>
      <c r="I1458" s="202" t="s">
        <v>18</v>
      </c>
      <c r="J1458" s="153">
        <v>1</v>
      </c>
      <c r="K1458" s="142" t="s">
        <v>730</v>
      </c>
      <c r="L1458" s="168" t="s">
        <v>2522</v>
      </c>
      <c r="M1458" s="11" t="str">
        <f>VLOOKUP(N1458,'Mã NV'!$A$3:$B$196,2,0)</f>
        <v>TE05</v>
      </c>
      <c r="N1458" s="297" t="s">
        <v>2607</v>
      </c>
      <c r="O1458" s="381">
        <v>44197</v>
      </c>
      <c r="P1458" s="371"/>
      <c r="Q1458" s="158"/>
      <c r="R1458" s="144"/>
    </row>
    <row r="1459" spans="1:18" ht="35.25" hidden="1" customHeight="1">
      <c r="A1459" s="15">
        <f t="shared" si="22"/>
        <v>1449</v>
      </c>
      <c r="B1459" s="144" t="s">
        <v>2076</v>
      </c>
      <c r="C1459" s="150" t="s">
        <v>2077</v>
      </c>
      <c r="D1459" s="156"/>
      <c r="E1459" s="156"/>
      <c r="F1459" s="156"/>
      <c r="G1459" s="142" t="s">
        <v>2400</v>
      </c>
      <c r="H1459" s="141"/>
      <c r="I1459" s="202" t="s">
        <v>18</v>
      </c>
      <c r="J1459" s="153">
        <v>1</v>
      </c>
      <c r="K1459" s="142" t="s">
        <v>730</v>
      </c>
      <c r="L1459" s="168" t="s">
        <v>2522</v>
      </c>
      <c r="M1459" s="11" t="str">
        <f>VLOOKUP(N1459,'Mã NV'!$A$3:$B$196,2,0)</f>
        <v>TE05</v>
      </c>
      <c r="N1459" s="297" t="s">
        <v>2607</v>
      </c>
      <c r="O1459" s="381">
        <v>44197</v>
      </c>
      <c r="P1459" s="371"/>
      <c r="Q1459" s="158"/>
      <c r="R1459" s="144"/>
    </row>
    <row r="1460" spans="1:18" ht="35.25" hidden="1" customHeight="1">
      <c r="A1460" s="15">
        <f t="shared" si="22"/>
        <v>1450</v>
      </c>
      <c r="B1460" s="144" t="s">
        <v>2078</v>
      </c>
      <c r="C1460" s="150" t="s">
        <v>601</v>
      </c>
      <c r="D1460" s="156"/>
      <c r="E1460" s="156"/>
      <c r="F1460" s="156"/>
      <c r="G1460" s="142"/>
      <c r="H1460" s="141"/>
      <c r="I1460" s="202" t="s">
        <v>18</v>
      </c>
      <c r="J1460" s="153">
        <v>1</v>
      </c>
      <c r="K1460" s="142" t="s">
        <v>730</v>
      </c>
      <c r="L1460" s="168" t="s">
        <v>2522</v>
      </c>
      <c r="M1460" s="11" t="str">
        <f>VLOOKUP(N1460,'Mã NV'!$A$3:$B$196,2,0)</f>
        <v>TE05</v>
      </c>
      <c r="N1460" s="297" t="s">
        <v>2607</v>
      </c>
      <c r="O1460" s="381">
        <v>44197</v>
      </c>
      <c r="P1460" s="371"/>
      <c r="Q1460" s="158"/>
      <c r="R1460" s="144"/>
    </row>
    <row r="1461" spans="1:18" ht="35.25" hidden="1" customHeight="1">
      <c r="A1461" s="15">
        <f t="shared" si="22"/>
        <v>1451</v>
      </c>
      <c r="B1461" s="144" t="s">
        <v>2079</v>
      </c>
      <c r="C1461" s="150" t="s">
        <v>2080</v>
      </c>
      <c r="D1461" s="156"/>
      <c r="E1461" s="156"/>
      <c r="F1461" s="156"/>
      <c r="G1461" s="142"/>
      <c r="H1461" s="141"/>
      <c r="I1461" s="202" t="s">
        <v>18</v>
      </c>
      <c r="J1461" s="153">
        <v>1</v>
      </c>
      <c r="K1461" s="142" t="s">
        <v>730</v>
      </c>
      <c r="L1461" s="168" t="s">
        <v>2522</v>
      </c>
      <c r="M1461" s="11" t="str">
        <f>VLOOKUP(N1461,'Mã NV'!$A$3:$B$196,2,0)</f>
        <v>TE05</v>
      </c>
      <c r="N1461" s="297" t="s">
        <v>2607</v>
      </c>
      <c r="O1461" s="381">
        <v>44197</v>
      </c>
      <c r="P1461" s="371"/>
      <c r="Q1461" s="158"/>
      <c r="R1461" s="144"/>
    </row>
    <row r="1462" spans="1:18" ht="35.25" hidden="1" customHeight="1">
      <c r="A1462" s="15">
        <f t="shared" si="22"/>
        <v>1452</v>
      </c>
      <c r="B1462" s="144" t="s">
        <v>2081</v>
      </c>
      <c r="C1462" s="149">
        <v>965233469</v>
      </c>
      <c r="D1462" s="156"/>
      <c r="E1462" s="156"/>
      <c r="F1462" s="156"/>
      <c r="G1462" s="142"/>
      <c r="H1462" s="141"/>
      <c r="I1462" s="202" t="s">
        <v>18</v>
      </c>
      <c r="J1462" s="205">
        <v>1</v>
      </c>
      <c r="K1462" s="142" t="s">
        <v>730</v>
      </c>
      <c r="L1462" s="168" t="s">
        <v>2522</v>
      </c>
      <c r="M1462" s="11" t="str">
        <f>VLOOKUP(N1462,'Mã NV'!$A$3:$B$196,2,0)</f>
        <v>TE05</v>
      </c>
      <c r="N1462" s="297" t="s">
        <v>2607</v>
      </c>
      <c r="O1462" s="381">
        <v>44197</v>
      </c>
      <c r="P1462" s="371"/>
      <c r="Q1462" s="158"/>
      <c r="R1462" s="144"/>
    </row>
    <row r="1463" spans="1:18" ht="35.25" hidden="1" customHeight="1">
      <c r="A1463" s="15">
        <f t="shared" si="22"/>
        <v>1453</v>
      </c>
      <c r="B1463" s="188" t="s">
        <v>2082</v>
      </c>
      <c r="C1463" s="250" t="s">
        <v>2083</v>
      </c>
      <c r="D1463" s="156"/>
      <c r="E1463" s="156"/>
      <c r="F1463" s="156"/>
      <c r="G1463" s="187" t="s">
        <v>2467</v>
      </c>
      <c r="H1463" s="141"/>
      <c r="I1463" s="202" t="s">
        <v>18</v>
      </c>
      <c r="J1463" s="205">
        <v>1</v>
      </c>
      <c r="K1463" s="142" t="s">
        <v>730</v>
      </c>
      <c r="L1463" s="168" t="s">
        <v>2522</v>
      </c>
      <c r="M1463" s="11" t="str">
        <f>VLOOKUP(N1463,'Mã NV'!$A$3:$B$196,2,0)</f>
        <v>TE21</v>
      </c>
      <c r="N1463" s="316" t="s">
        <v>2608</v>
      </c>
      <c r="O1463" s="381">
        <v>44197</v>
      </c>
      <c r="P1463" s="371"/>
      <c r="Q1463" s="158"/>
      <c r="R1463" s="205"/>
    </row>
    <row r="1464" spans="1:18" ht="35.25" hidden="1" customHeight="1">
      <c r="A1464" s="15">
        <f t="shared" si="22"/>
        <v>1454</v>
      </c>
      <c r="B1464" s="188" t="s">
        <v>2084</v>
      </c>
      <c r="C1464" s="250" t="s">
        <v>2085</v>
      </c>
      <c r="D1464" s="156"/>
      <c r="E1464" s="156"/>
      <c r="F1464" s="156"/>
      <c r="G1464" s="183" t="s">
        <v>2468</v>
      </c>
      <c r="H1464" s="141"/>
      <c r="I1464" s="202" t="s">
        <v>18</v>
      </c>
      <c r="J1464" s="205">
        <v>1</v>
      </c>
      <c r="K1464" s="142" t="s">
        <v>730</v>
      </c>
      <c r="L1464" s="168" t="s">
        <v>2522</v>
      </c>
      <c r="M1464" s="11" t="str">
        <f>VLOOKUP(N1464,'Mã NV'!$A$3:$B$196,2,0)</f>
        <v>TE21</v>
      </c>
      <c r="N1464" s="316" t="s">
        <v>2608</v>
      </c>
      <c r="O1464" s="381">
        <v>44197</v>
      </c>
      <c r="P1464" s="371"/>
      <c r="Q1464" s="158"/>
      <c r="R1464" s="205"/>
    </row>
    <row r="1465" spans="1:18" ht="35.25" hidden="1" customHeight="1">
      <c r="A1465" s="15">
        <f t="shared" si="22"/>
        <v>1455</v>
      </c>
      <c r="B1465" s="188" t="s">
        <v>2086</v>
      </c>
      <c r="C1465" s="250" t="s">
        <v>2087</v>
      </c>
      <c r="D1465" s="156"/>
      <c r="E1465" s="156"/>
      <c r="F1465" s="156"/>
      <c r="G1465" s="183"/>
      <c r="H1465" s="141"/>
      <c r="I1465" s="202" t="s">
        <v>18</v>
      </c>
      <c r="J1465" s="205">
        <v>1</v>
      </c>
      <c r="K1465" s="142" t="s">
        <v>730</v>
      </c>
      <c r="L1465" s="168" t="s">
        <v>2522</v>
      </c>
      <c r="M1465" s="11" t="str">
        <f>VLOOKUP(N1465,'Mã NV'!$A$3:$B$196,2,0)</f>
        <v>TE21</v>
      </c>
      <c r="N1465" s="316" t="s">
        <v>2608</v>
      </c>
      <c r="O1465" s="381">
        <v>44197</v>
      </c>
      <c r="P1465" s="371"/>
      <c r="Q1465" s="158"/>
      <c r="R1465" s="205"/>
    </row>
    <row r="1466" spans="1:18" ht="35.25" hidden="1" customHeight="1">
      <c r="A1466" s="15">
        <f t="shared" si="22"/>
        <v>1456</v>
      </c>
      <c r="B1466" s="188" t="s">
        <v>2088</v>
      </c>
      <c r="C1466" s="250" t="s">
        <v>1533</v>
      </c>
      <c r="D1466" s="156"/>
      <c r="E1466" s="156"/>
      <c r="F1466" s="156"/>
      <c r="G1466" s="183"/>
      <c r="H1466" s="141"/>
      <c r="I1466" s="202" t="s">
        <v>18</v>
      </c>
      <c r="J1466" s="205">
        <v>1</v>
      </c>
      <c r="K1466" s="142" t="s">
        <v>730</v>
      </c>
      <c r="L1466" s="168" t="s">
        <v>2522</v>
      </c>
      <c r="M1466" s="11" t="str">
        <f>VLOOKUP(N1466,'Mã NV'!$A$3:$B$196,2,0)</f>
        <v>TE21</v>
      </c>
      <c r="N1466" s="316" t="s">
        <v>2608</v>
      </c>
      <c r="O1466" s="381">
        <v>44197</v>
      </c>
      <c r="P1466" s="371"/>
      <c r="Q1466" s="158"/>
      <c r="R1466" s="205"/>
    </row>
    <row r="1467" spans="1:18" ht="35.25" hidden="1" customHeight="1">
      <c r="A1467" s="15">
        <f t="shared" si="22"/>
        <v>1457</v>
      </c>
      <c r="B1467" s="188" t="s">
        <v>2089</v>
      </c>
      <c r="C1467" s="250" t="s">
        <v>601</v>
      </c>
      <c r="D1467" s="156"/>
      <c r="E1467" s="156"/>
      <c r="F1467" s="156"/>
      <c r="G1467" s="183"/>
      <c r="H1467" s="141"/>
      <c r="I1467" s="202" t="s">
        <v>18</v>
      </c>
      <c r="J1467" s="205">
        <v>1</v>
      </c>
      <c r="K1467" s="142" t="s">
        <v>730</v>
      </c>
      <c r="L1467" s="168" t="s">
        <v>2522</v>
      </c>
      <c r="M1467" s="11" t="str">
        <f>VLOOKUP(N1467,'Mã NV'!$A$3:$B$196,2,0)</f>
        <v>TE21</v>
      </c>
      <c r="N1467" s="316" t="s">
        <v>2608</v>
      </c>
      <c r="O1467" s="381">
        <v>44197</v>
      </c>
      <c r="P1467" s="371"/>
      <c r="Q1467" s="158"/>
      <c r="R1467" s="205"/>
    </row>
    <row r="1468" spans="1:18" ht="35.25" hidden="1" customHeight="1">
      <c r="A1468" s="15">
        <f t="shared" si="22"/>
        <v>1458</v>
      </c>
      <c r="B1468" s="188" t="s">
        <v>2090</v>
      </c>
      <c r="C1468" s="250" t="s">
        <v>120</v>
      </c>
      <c r="D1468" s="156"/>
      <c r="E1468" s="156"/>
      <c r="F1468" s="156"/>
      <c r="G1468" s="183"/>
      <c r="H1468" s="141"/>
      <c r="I1468" s="202" t="s">
        <v>18</v>
      </c>
      <c r="J1468" s="205">
        <v>1</v>
      </c>
      <c r="K1468" s="142" t="s">
        <v>730</v>
      </c>
      <c r="L1468" s="168" t="s">
        <v>2522</v>
      </c>
      <c r="M1468" s="11" t="str">
        <f>VLOOKUP(N1468,'Mã NV'!$A$3:$B$196,2,0)</f>
        <v>TE21</v>
      </c>
      <c r="N1468" s="316" t="s">
        <v>2608</v>
      </c>
      <c r="O1468" s="381">
        <v>44197</v>
      </c>
      <c r="P1468" s="371"/>
      <c r="Q1468" s="158"/>
      <c r="R1468" s="205"/>
    </row>
    <row r="1469" spans="1:18" ht="35.25" hidden="1" customHeight="1">
      <c r="A1469" s="15">
        <f t="shared" si="22"/>
        <v>1459</v>
      </c>
      <c r="B1469" s="188" t="s">
        <v>2091</v>
      </c>
      <c r="C1469" s="250" t="s">
        <v>445</v>
      </c>
      <c r="D1469" s="156"/>
      <c r="E1469" s="156"/>
      <c r="F1469" s="156"/>
      <c r="G1469" s="183"/>
      <c r="H1469" s="141"/>
      <c r="I1469" s="202" t="s">
        <v>18</v>
      </c>
      <c r="J1469" s="205">
        <v>1</v>
      </c>
      <c r="K1469" s="142" t="s">
        <v>730</v>
      </c>
      <c r="L1469" s="168" t="s">
        <v>2522</v>
      </c>
      <c r="M1469" s="11" t="str">
        <f>VLOOKUP(N1469,'Mã NV'!$A$3:$B$196,2,0)</f>
        <v>TE21</v>
      </c>
      <c r="N1469" s="316" t="s">
        <v>2608</v>
      </c>
      <c r="O1469" s="380">
        <f>VLOOKUP(B1469,'Tổng hợp (3)'!$C$4:$E$985,3,0)</f>
        <v>44760</v>
      </c>
      <c r="P1469" s="378"/>
      <c r="Q1469" s="158"/>
      <c r="R1469" s="205"/>
    </row>
    <row r="1470" spans="1:18" ht="35.25" hidden="1" customHeight="1">
      <c r="A1470" s="15">
        <f t="shared" si="22"/>
        <v>1460</v>
      </c>
      <c r="B1470" s="188" t="s">
        <v>2092</v>
      </c>
      <c r="C1470" s="250" t="s">
        <v>1306</v>
      </c>
      <c r="D1470" s="156"/>
      <c r="E1470" s="156"/>
      <c r="F1470" s="156"/>
      <c r="G1470" s="183" t="s">
        <v>2451</v>
      </c>
      <c r="H1470" s="141"/>
      <c r="I1470" s="202" t="s">
        <v>18</v>
      </c>
      <c r="J1470" s="205">
        <v>1</v>
      </c>
      <c r="K1470" s="142" t="s">
        <v>730</v>
      </c>
      <c r="L1470" s="168" t="s">
        <v>2522</v>
      </c>
      <c r="M1470" s="11" t="str">
        <f>VLOOKUP(N1470,'Mã NV'!$A$3:$B$196,2,0)</f>
        <v>TE21</v>
      </c>
      <c r="N1470" s="316" t="s">
        <v>2608</v>
      </c>
      <c r="O1470" s="381">
        <v>44197</v>
      </c>
      <c r="P1470" s="371"/>
      <c r="Q1470" s="158"/>
      <c r="R1470" s="205"/>
    </row>
    <row r="1471" spans="1:18" ht="35.25" hidden="1" customHeight="1">
      <c r="A1471" s="15">
        <f t="shared" si="22"/>
        <v>1461</v>
      </c>
      <c r="B1471" s="188" t="s">
        <v>2093</v>
      </c>
      <c r="C1471" s="250" t="s">
        <v>2094</v>
      </c>
      <c r="D1471" s="156"/>
      <c r="E1471" s="156"/>
      <c r="F1471" s="156"/>
      <c r="G1471" s="187" t="s">
        <v>2469</v>
      </c>
      <c r="H1471" s="141"/>
      <c r="I1471" s="202" t="s">
        <v>18</v>
      </c>
      <c r="J1471" s="205">
        <v>1</v>
      </c>
      <c r="K1471" s="142" t="s">
        <v>730</v>
      </c>
      <c r="L1471" s="168" t="s">
        <v>2522</v>
      </c>
      <c r="M1471" s="11" t="str">
        <f>VLOOKUP(N1471,'Mã NV'!$A$3:$B$196,2,0)</f>
        <v>TE99</v>
      </c>
      <c r="N1471" s="316" t="s">
        <v>2610</v>
      </c>
      <c r="O1471" s="380">
        <f>VLOOKUP(B1471,'Tổng hợp (3)'!$C$4:$E$985,3,0)</f>
        <v>44917</v>
      </c>
      <c r="P1471" s="378"/>
      <c r="Q1471" s="158"/>
      <c r="R1471" s="185"/>
    </row>
    <row r="1472" spans="1:18" ht="35.25" hidden="1" customHeight="1">
      <c r="A1472" s="15">
        <f t="shared" si="22"/>
        <v>1462</v>
      </c>
      <c r="B1472" s="188" t="s">
        <v>2095</v>
      </c>
      <c r="C1472" s="250" t="s">
        <v>2051</v>
      </c>
      <c r="D1472" s="156"/>
      <c r="E1472" s="156"/>
      <c r="F1472" s="156"/>
      <c r="G1472" s="183"/>
      <c r="H1472" s="141"/>
      <c r="I1472" s="202" t="s">
        <v>18</v>
      </c>
      <c r="J1472" s="205">
        <v>1</v>
      </c>
      <c r="K1472" s="142" t="s">
        <v>730</v>
      </c>
      <c r="L1472" s="168" t="s">
        <v>2522</v>
      </c>
      <c r="M1472" s="11" t="str">
        <f>VLOOKUP(N1472,'Mã NV'!$A$3:$B$196,2,0)</f>
        <v>TE99</v>
      </c>
      <c r="N1472" s="316" t="s">
        <v>2610</v>
      </c>
      <c r="O1472" s="380">
        <f>VLOOKUP(B1472,'Tổng hợp (3)'!$C$4:$E$985,3,0)</f>
        <v>44917</v>
      </c>
      <c r="P1472" s="378"/>
      <c r="Q1472" s="158"/>
      <c r="R1472" s="185"/>
    </row>
    <row r="1473" spans="1:18" ht="35.25" hidden="1" customHeight="1">
      <c r="A1473" s="15">
        <f t="shared" si="22"/>
        <v>1463</v>
      </c>
      <c r="B1473" s="189" t="s">
        <v>2096</v>
      </c>
      <c r="C1473" s="189" t="s">
        <v>2097</v>
      </c>
      <c r="D1473" s="156"/>
      <c r="E1473" s="156"/>
      <c r="F1473" s="156"/>
      <c r="G1473" s="182"/>
      <c r="H1473" s="141"/>
      <c r="I1473" s="186" t="s">
        <v>18</v>
      </c>
      <c r="J1473" s="190">
        <v>1</v>
      </c>
      <c r="K1473" s="142" t="s">
        <v>730</v>
      </c>
      <c r="L1473" s="181" t="s">
        <v>2522</v>
      </c>
      <c r="M1473" s="11" t="str">
        <f>VLOOKUP(N1473,'Mã NV'!$A$3:$B$196,2,0)</f>
        <v>TE96</v>
      </c>
      <c r="N1473" s="319" t="s">
        <v>2611</v>
      </c>
      <c r="O1473" s="381">
        <v>44197</v>
      </c>
      <c r="P1473" s="371"/>
      <c r="Q1473" s="158"/>
      <c r="R1473" s="190"/>
    </row>
    <row r="1474" spans="1:18" ht="35.25" hidden="1" customHeight="1">
      <c r="A1474" s="15">
        <f t="shared" si="22"/>
        <v>1464</v>
      </c>
      <c r="B1474" s="189" t="s">
        <v>2098</v>
      </c>
      <c r="C1474" s="189" t="s">
        <v>2099</v>
      </c>
      <c r="D1474" s="156"/>
      <c r="E1474" s="156"/>
      <c r="F1474" s="156"/>
      <c r="G1474" s="182"/>
      <c r="H1474" s="141"/>
      <c r="I1474" s="186" t="s">
        <v>18</v>
      </c>
      <c r="J1474" s="190">
        <v>1</v>
      </c>
      <c r="K1474" s="142" t="s">
        <v>730</v>
      </c>
      <c r="L1474" s="181" t="s">
        <v>2522</v>
      </c>
      <c r="M1474" s="11" t="str">
        <f>VLOOKUP(N1474,'Mã NV'!$A$3:$B$196,2,0)</f>
        <v>TE96</v>
      </c>
      <c r="N1474" s="319" t="s">
        <v>2611</v>
      </c>
      <c r="O1474" s="381">
        <v>44197</v>
      </c>
      <c r="P1474" s="371"/>
      <c r="Q1474" s="158"/>
      <c r="R1474" s="190"/>
    </row>
    <row r="1475" spans="1:18" ht="35.25" hidden="1" customHeight="1">
      <c r="A1475" s="15">
        <f t="shared" si="22"/>
        <v>1465</v>
      </c>
      <c r="B1475" s="191" t="s">
        <v>2100</v>
      </c>
      <c r="C1475" s="191" t="s">
        <v>2101</v>
      </c>
      <c r="D1475" s="156"/>
      <c r="E1475" s="156"/>
      <c r="F1475" s="156"/>
      <c r="G1475" s="172"/>
      <c r="H1475" s="141"/>
      <c r="I1475" s="202" t="s">
        <v>18</v>
      </c>
      <c r="J1475" s="192">
        <v>1</v>
      </c>
      <c r="K1475" s="142" t="s">
        <v>730</v>
      </c>
      <c r="L1475" s="168" t="s">
        <v>2522</v>
      </c>
      <c r="M1475" s="11" t="str">
        <f>VLOOKUP(N1475,'Mã NV'!$A$3:$B$196,2,0)</f>
        <v>TE77</v>
      </c>
      <c r="N1475" s="319" t="s">
        <v>2597</v>
      </c>
      <c r="O1475" s="380">
        <f>VLOOKUP(B1475,'Tổng hợp (3)'!$C$4:$E$985,3,0)</f>
        <v>44759</v>
      </c>
      <c r="P1475" s="378"/>
      <c r="Q1475" s="158"/>
      <c r="R1475" s="169" t="s">
        <v>3248</v>
      </c>
    </row>
    <row r="1476" spans="1:18" ht="35.25" hidden="1" customHeight="1">
      <c r="A1476" s="15">
        <f t="shared" si="22"/>
        <v>1466</v>
      </c>
      <c r="B1476" s="11" t="s">
        <v>2102</v>
      </c>
      <c r="C1476" s="64" t="s">
        <v>2103</v>
      </c>
      <c r="D1476" s="156"/>
      <c r="E1476" s="156"/>
      <c r="F1476" s="156"/>
      <c r="G1476" s="172"/>
      <c r="H1476" s="141"/>
      <c r="I1476" s="202" t="s">
        <v>18</v>
      </c>
      <c r="J1476" s="192">
        <v>1</v>
      </c>
      <c r="K1476" s="142" t="s">
        <v>730</v>
      </c>
      <c r="L1476" s="168" t="s">
        <v>2522</v>
      </c>
      <c r="M1476" s="11" t="str">
        <f>VLOOKUP(N1476,'Mã NV'!$A$3:$B$196,2,0)</f>
        <v>TE96</v>
      </c>
      <c r="N1476" s="320" t="s">
        <v>2611</v>
      </c>
      <c r="O1476" s="380">
        <f>VLOOKUP(B1476,'Tổng hợp (3)'!$C$4:$E$985,3,0)</f>
        <v>44869</v>
      </c>
      <c r="P1476" s="378"/>
      <c r="Q1476" s="158"/>
      <c r="R1476" s="192"/>
    </row>
    <row r="1477" spans="1:18" ht="35.25" hidden="1" customHeight="1">
      <c r="A1477" s="15">
        <f t="shared" si="22"/>
        <v>1467</v>
      </c>
      <c r="B1477" s="176" t="s">
        <v>2104</v>
      </c>
      <c r="C1477" s="189" t="s">
        <v>454</v>
      </c>
      <c r="D1477" s="156"/>
      <c r="E1477" s="156"/>
      <c r="F1477" s="156"/>
      <c r="G1477" s="182"/>
      <c r="H1477" s="141"/>
      <c r="I1477" s="186" t="s">
        <v>18</v>
      </c>
      <c r="J1477" s="190">
        <v>1</v>
      </c>
      <c r="K1477" s="142" t="s">
        <v>730</v>
      </c>
      <c r="L1477" s="181" t="s">
        <v>2522</v>
      </c>
      <c r="M1477" s="11" t="str">
        <f>VLOOKUP(N1477,'Mã NV'!$A$3:$B$196,2,0)</f>
        <v>TE77</v>
      </c>
      <c r="N1477" s="319" t="s">
        <v>2597</v>
      </c>
      <c r="O1477" s="381">
        <v>44197</v>
      </c>
      <c r="P1477" s="371"/>
      <c r="Q1477" s="158"/>
      <c r="R1477" s="169" t="s">
        <v>3248</v>
      </c>
    </row>
    <row r="1478" spans="1:18" ht="35.25" hidden="1" customHeight="1">
      <c r="A1478" s="15">
        <f t="shared" si="22"/>
        <v>1468</v>
      </c>
      <c r="B1478" s="189" t="s">
        <v>2105</v>
      </c>
      <c r="C1478" s="189" t="s">
        <v>115</v>
      </c>
      <c r="D1478" s="156"/>
      <c r="E1478" s="156"/>
      <c r="F1478" s="156"/>
      <c r="G1478" s="182"/>
      <c r="H1478" s="141"/>
      <c r="I1478" s="186" t="s">
        <v>18</v>
      </c>
      <c r="J1478" s="190">
        <v>1</v>
      </c>
      <c r="K1478" s="142" t="s">
        <v>730</v>
      </c>
      <c r="L1478" s="181" t="s">
        <v>2522</v>
      </c>
      <c r="M1478" s="11" t="str">
        <f>VLOOKUP(N1478,'Mã NV'!$A$3:$B$196,2,0)</f>
        <v>TE77</v>
      </c>
      <c r="N1478" s="319" t="s">
        <v>2597</v>
      </c>
      <c r="O1478" s="381">
        <v>44197</v>
      </c>
      <c r="P1478" s="371"/>
      <c r="Q1478" s="158"/>
      <c r="R1478" s="169" t="s">
        <v>3248</v>
      </c>
    </row>
    <row r="1479" spans="1:18" ht="35.25" hidden="1" customHeight="1">
      <c r="A1479" s="15">
        <f t="shared" si="22"/>
        <v>1469</v>
      </c>
      <c r="B1479" s="144" t="s">
        <v>2106</v>
      </c>
      <c r="C1479" s="150" t="s">
        <v>2107</v>
      </c>
      <c r="D1479" s="156"/>
      <c r="E1479" s="156"/>
      <c r="F1479" s="156"/>
      <c r="G1479" s="142"/>
      <c r="H1479" s="141"/>
      <c r="I1479" s="202" t="s">
        <v>18</v>
      </c>
      <c r="J1479" s="153">
        <v>1</v>
      </c>
      <c r="K1479" s="142" t="s">
        <v>730</v>
      </c>
      <c r="L1479" s="168" t="s">
        <v>2522</v>
      </c>
      <c r="M1479" s="11" t="str">
        <f>VLOOKUP(N1479,'Mã NV'!$A$3:$B$196,2,0)</f>
        <v>TE76</v>
      </c>
      <c r="N1479" s="297" t="s">
        <v>2612</v>
      </c>
      <c r="O1479" s="381">
        <v>44197</v>
      </c>
      <c r="P1479" s="371"/>
      <c r="Q1479" s="158"/>
      <c r="R1479" s="153"/>
    </row>
    <row r="1480" spans="1:18" ht="35.25" hidden="1" customHeight="1">
      <c r="A1480" s="15">
        <f t="shared" si="22"/>
        <v>1470</v>
      </c>
      <c r="B1480" s="144" t="s">
        <v>2108</v>
      </c>
      <c r="C1480" s="150" t="s">
        <v>2109</v>
      </c>
      <c r="D1480" s="156"/>
      <c r="E1480" s="156"/>
      <c r="F1480" s="156"/>
      <c r="G1480" s="142"/>
      <c r="H1480" s="141"/>
      <c r="I1480" s="202" t="s">
        <v>18</v>
      </c>
      <c r="J1480" s="153">
        <v>1</v>
      </c>
      <c r="K1480" s="142" t="s">
        <v>730</v>
      </c>
      <c r="L1480" s="168" t="s">
        <v>2522</v>
      </c>
      <c r="M1480" s="11" t="str">
        <f>VLOOKUP(N1480,'Mã NV'!$A$3:$B$196,2,0)</f>
        <v>TE76</v>
      </c>
      <c r="N1480" s="297" t="s">
        <v>2612</v>
      </c>
      <c r="O1480" s="381">
        <v>44197</v>
      </c>
      <c r="P1480" s="371"/>
      <c r="Q1480" s="158"/>
      <c r="R1480" s="153"/>
    </row>
    <row r="1481" spans="1:18" ht="35.25" hidden="1" customHeight="1">
      <c r="A1481" s="15">
        <f t="shared" si="22"/>
        <v>1471</v>
      </c>
      <c r="B1481" s="144" t="s">
        <v>2110</v>
      </c>
      <c r="C1481" s="150" t="s">
        <v>1176</v>
      </c>
      <c r="D1481" s="156"/>
      <c r="E1481" s="156"/>
      <c r="F1481" s="156"/>
      <c r="G1481" s="142"/>
      <c r="H1481" s="141"/>
      <c r="I1481" s="202" t="s">
        <v>18</v>
      </c>
      <c r="J1481" s="153">
        <v>1</v>
      </c>
      <c r="K1481" s="142" t="s">
        <v>730</v>
      </c>
      <c r="L1481" s="168" t="s">
        <v>2522</v>
      </c>
      <c r="M1481" s="11" t="str">
        <f>VLOOKUP(N1481,'Mã NV'!$A$3:$B$196,2,0)</f>
        <v>TE76</v>
      </c>
      <c r="N1481" s="297" t="s">
        <v>2612</v>
      </c>
      <c r="O1481" s="381">
        <v>44197</v>
      </c>
      <c r="P1481" s="371"/>
      <c r="Q1481" s="158"/>
      <c r="R1481" s="153"/>
    </row>
    <row r="1482" spans="1:18" ht="35.25" hidden="1" customHeight="1">
      <c r="A1482" s="15">
        <f t="shared" si="22"/>
        <v>1472</v>
      </c>
      <c r="B1482" s="144" t="s">
        <v>2111</v>
      </c>
      <c r="C1482" s="150" t="s">
        <v>601</v>
      </c>
      <c r="D1482" s="156"/>
      <c r="E1482" s="156"/>
      <c r="F1482" s="156"/>
      <c r="G1482" s="142"/>
      <c r="H1482" s="141"/>
      <c r="I1482" s="202" t="s">
        <v>18</v>
      </c>
      <c r="J1482" s="153">
        <v>1</v>
      </c>
      <c r="K1482" s="142" t="s">
        <v>730</v>
      </c>
      <c r="L1482" s="168" t="s">
        <v>2522</v>
      </c>
      <c r="M1482" s="11" t="str">
        <f>VLOOKUP(N1482,'Mã NV'!$A$3:$B$196,2,0)</f>
        <v>TE76</v>
      </c>
      <c r="N1482" s="297" t="s">
        <v>2612</v>
      </c>
      <c r="O1482" s="381">
        <v>44197</v>
      </c>
      <c r="P1482" s="371"/>
      <c r="Q1482" s="158"/>
      <c r="R1482" s="153"/>
    </row>
    <row r="1483" spans="1:18" ht="35.25" hidden="1" customHeight="1">
      <c r="A1483" s="15">
        <f t="shared" si="22"/>
        <v>1473</v>
      </c>
      <c r="B1483" s="144" t="s">
        <v>2112</v>
      </c>
      <c r="C1483" s="150" t="s">
        <v>605</v>
      </c>
      <c r="D1483" s="156"/>
      <c r="E1483" s="156"/>
      <c r="F1483" s="156"/>
      <c r="G1483" s="142"/>
      <c r="H1483" s="141"/>
      <c r="I1483" s="202" t="s">
        <v>18</v>
      </c>
      <c r="J1483" s="153">
        <v>1</v>
      </c>
      <c r="K1483" s="142" t="s">
        <v>730</v>
      </c>
      <c r="L1483" s="168" t="s">
        <v>2522</v>
      </c>
      <c r="M1483" s="11" t="str">
        <f>VLOOKUP(N1483,'Mã NV'!$A$3:$B$196,2,0)</f>
        <v>TE76</v>
      </c>
      <c r="N1483" s="297" t="s">
        <v>2612</v>
      </c>
      <c r="O1483" s="381">
        <v>44197</v>
      </c>
      <c r="P1483" s="371"/>
      <c r="Q1483" s="158"/>
      <c r="R1483" s="153"/>
    </row>
    <row r="1484" spans="1:18" ht="35.25" hidden="1" customHeight="1">
      <c r="A1484" s="15">
        <f t="shared" si="22"/>
        <v>1474</v>
      </c>
      <c r="B1484" s="11" t="s">
        <v>2113</v>
      </c>
      <c r="C1484" s="64" t="s">
        <v>445</v>
      </c>
      <c r="D1484" s="156"/>
      <c r="E1484" s="156"/>
      <c r="F1484" s="156"/>
      <c r="G1484" s="142"/>
      <c r="H1484" s="141"/>
      <c r="I1484" s="202" t="s">
        <v>18</v>
      </c>
      <c r="J1484" s="192">
        <v>1</v>
      </c>
      <c r="K1484" s="142" t="s">
        <v>730</v>
      </c>
      <c r="L1484" s="168" t="s">
        <v>2522</v>
      </c>
      <c r="M1484" s="11" t="str">
        <f>VLOOKUP(N1484,'Mã NV'!$A$3:$B$196,2,0)</f>
        <v>TE76</v>
      </c>
      <c r="N1484" s="297" t="s">
        <v>2612</v>
      </c>
      <c r="O1484" s="380">
        <f>VLOOKUP(B1484,'Tổng hợp (3)'!$C$4:$E$985,3,0)</f>
        <v>44754</v>
      </c>
      <c r="P1484" s="378"/>
      <c r="Q1484" s="158"/>
      <c r="R1484" s="397" t="s">
        <v>2672</v>
      </c>
    </row>
    <row r="1485" spans="1:18" ht="35.25" hidden="1" customHeight="1">
      <c r="A1485" s="15">
        <f t="shared" si="22"/>
        <v>1475</v>
      </c>
      <c r="B1485" s="176" t="s">
        <v>2114</v>
      </c>
      <c r="C1485" s="189" t="s">
        <v>570</v>
      </c>
      <c r="D1485" s="156"/>
      <c r="E1485" s="156"/>
      <c r="F1485" s="156"/>
      <c r="G1485" s="176" t="s">
        <v>2470</v>
      </c>
      <c r="H1485" s="141"/>
      <c r="I1485" s="186" t="s">
        <v>18</v>
      </c>
      <c r="J1485" s="186">
        <v>1</v>
      </c>
      <c r="K1485" s="142" t="s">
        <v>730</v>
      </c>
      <c r="L1485" s="181" t="s">
        <v>2522</v>
      </c>
      <c r="M1485" s="11" t="str">
        <f>VLOOKUP(N1485,'Mã NV'!$A$3:$B$196,2,0)</f>
        <v>TE76</v>
      </c>
      <c r="N1485" s="297" t="s">
        <v>2612</v>
      </c>
      <c r="O1485" s="381">
        <v>44197</v>
      </c>
      <c r="P1485" s="371"/>
      <c r="Q1485" s="158"/>
      <c r="R1485" s="397"/>
    </row>
    <row r="1486" spans="1:18" ht="35.25" hidden="1" customHeight="1">
      <c r="A1486" s="15">
        <f t="shared" si="22"/>
        <v>1476</v>
      </c>
      <c r="B1486" s="176" t="s">
        <v>2115</v>
      </c>
      <c r="C1486" s="189" t="s">
        <v>2116</v>
      </c>
      <c r="D1486" s="156"/>
      <c r="E1486" s="156"/>
      <c r="F1486" s="156"/>
      <c r="G1486" s="176"/>
      <c r="H1486" s="141"/>
      <c r="I1486" s="186" t="s">
        <v>18</v>
      </c>
      <c r="J1486" s="186">
        <v>1</v>
      </c>
      <c r="K1486" s="142" t="s">
        <v>730</v>
      </c>
      <c r="L1486" s="181" t="s">
        <v>2522</v>
      </c>
      <c r="M1486" s="11" t="str">
        <f>VLOOKUP(N1486,'Mã NV'!$A$3:$B$196,2,0)</f>
        <v>TE76</v>
      </c>
      <c r="N1486" s="297" t="s">
        <v>2612</v>
      </c>
      <c r="O1486" s="386">
        <v>44985</v>
      </c>
      <c r="P1486" s="371"/>
      <c r="Q1486" s="158"/>
      <c r="R1486" s="143"/>
    </row>
    <row r="1487" spans="1:18" ht="35.25" hidden="1" customHeight="1">
      <c r="A1487" s="15">
        <f t="shared" si="22"/>
        <v>1477</v>
      </c>
      <c r="B1487" s="156" t="s">
        <v>2117</v>
      </c>
      <c r="C1487" s="169" t="s">
        <v>2118</v>
      </c>
      <c r="D1487" s="156"/>
      <c r="E1487" s="156"/>
      <c r="F1487" s="156"/>
      <c r="G1487" s="145" t="s">
        <v>2471</v>
      </c>
      <c r="H1487" s="141"/>
      <c r="I1487" s="186" t="s">
        <v>18</v>
      </c>
      <c r="J1487" s="158">
        <v>1</v>
      </c>
      <c r="K1487" s="142" t="s">
        <v>730</v>
      </c>
      <c r="L1487" s="181" t="s">
        <v>2522</v>
      </c>
      <c r="M1487" s="11" t="str">
        <f>VLOOKUP(N1487,'Mã NV'!$A$3:$B$196,2,0)</f>
        <v>TE72</v>
      </c>
      <c r="N1487" s="303" t="s">
        <v>2613</v>
      </c>
      <c r="O1487" s="380">
        <f>VLOOKUP(B1487,'Tổng hợp (3)'!$C$4:$E$985,3,0)</f>
        <v>44338</v>
      </c>
      <c r="P1487" s="378"/>
      <c r="Q1487" s="158"/>
      <c r="R1487" s="177" t="s">
        <v>2673</v>
      </c>
    </row>
    <row r="1488" spans="1:18" ht="35.25" hidden="1" customHeight="1">
      <c r="A1488" s="15">
        <f t="shared" si="22"/>
        <v>1478</v>
      </c>
      <c r="B1488" s="156" t="s">
        <v>2119</v>
      </c>
      <c r="C1488" s="169" t="s">
        <v>1176</v>
      </c>
      <c r="D1488" s="156"/>
      <c r="E1488" s="156"/>
      <c r="F1488" s="156"/>
      <c r="G1488" s="145"/>
      <c r="H1488" s="141"/>
      <c r="I1488" s="186" t="s">
        <v>18</v>
      </c>
      <c r="J1488" s="158">
        <v>1</v>
      </c>
      <c r="K1488" s="142" t="s">
        <v>730</v>
      </c>
      <c r="L1488" s="181" t="s">
        <v>2522</v>
      </c>
      <c r="M1488" s="11" t="str">
        <f>VLOOKUP(N1488,'Mã NV'!$A$3:$B$196,2,0)</f>
        <v>TE72</v>
      </c>
      <c r="N1488" s="303" t="s">
        <v>2613</v>
      </c>
      <c r="O1488" s="381">
        <v>44197</v>
      </c>
      <c r="P1488" s="371"/>
      <c r="Q1488" s="158"/>
      <c r="R1488" s="158"/>
    </row>
    <row r="1489" spans="1:18" ht="35.25" hidden="1" customHeight="1">
      <c r="A1489" s="15">
        <f t="shared" si="22"/>
        <v>1479</v>
      </c>
      <c r="B1489" s="144" t="s">
        <v>2120</v>
      </c>
      <c r="C1489" s="150" t="s">
        <v>2109</v>
      </c>
      <c r="D1489" s="19"/>
      <c r="E1489" s="19"/>
      <c r="F1489" s="19"/>
      <c r="G1489" s="142" t="s">
        <v>2472</v>
      </c>
      <c r="H1489" s="141"/>
      <c r="I1489" s="202" t="s">
        <v>18</v>
      </c>
      <c r="J1489" s="153">
        <v>1</v>
      </c>
      <c r="K1489" s="142" t="s">
        <v>730</v>
      </c>
      <c r="L1489" s="168" t="s">
        <v>2522</v>
      </c>
      <c r="M1489" s="11" t="str">
        <f>VLOOKUP(N1489,'Mã NV'!$A$3:$B$196,2,0)</f>
        <v>TE68</v>
      </c>
      <c r="N1489" s="297" t="s">
        <v>2614</v>
      </c>
      <c r="O1489" s="381">
        <v>44197</v>
      </c>
      <c r="P1489" s="371"/>
      <c r="Q1489" s="158"/>
      <c r="R1489" s="143"/>
    </row>
    <row r="1490" spans="1:18" ht="35.25" hidden="1" customHeight="1">
      <c r="A1490" s="15">
        <f t="shared" ref="A1490:A1553" si="23">A1489+1</f>
        <v>1480</v>
      </c>
      <c r="B1490" s="144" t="s">
        <v>2121</v>
      </c>
      <c r="C1490" s="150" t="s">
        <v>1176</v>
      </c>
      <c r="D1490" s="19"/>
      <c r="E1490" s="19"/>
      <c r="F1490" s="19"/>
      <c r="G1490" s="142"/>
      <c r="H1490" s="141"/>
      <c r="I1490" s="202" t="s">
        <v>18</v>
      </c>
      <c r="J1490" s="153">
        <v>1</v>
      </c>
      <c r="K1490" s="142" t="s">
        <v>730</v>
      </c>
      <c r="L1490" s="168" t="s">
        <v>2522</v>
      </c>
      <c r="M1490" s="11" t="str">
        <f>VLOOKUP(N1490,'Mã NV'!$A$3:$B$196,2,0)</f>
        <v>TE68</v>
      </c>
      <c r="N1490" s="297" t="s">
        <v>2614</v>
      </c>
      <c r="O1490" s="381">
        <v>44197</v>
      </c>
      <c r="P1490" s="371"/>
      <c r="Q1490" s="43"/>
      <c r="R1490" s="153"/>
    </row>
    <row r="1491" spans="1:18" ht="35.25" hidden="1" customHeight="1">
      <c r="A1491" s="15">
        <f t="shared" si="23"/>
        <v>1481</v>
      </c>
      <c r="B1491" s="144" t="s">
        <v>2122</v>
      </c>
      <c r="C1491" s="150" t="s">
        <v>601</v>
      </c>
      <c r="D1491" s="19"/>
      <c r="E1491" s="19"/>
      <c r="F1491" s="19"/>
      <c r="G1491" s="142"/>
      <c r="H1491" s="141"/>
      <c r="I1491" s="202" t="s">
        <v>18</v>
      </c>
      <c r="J1491" s="153">
        <v>1</v>
      </c>
      <c r="K1491" s="142" t="s">
        <v>730</v>
      </c>
      <c r="L1491" s="168" t="s">
        <v>2522</v>
      </c>
      <c r="M1491" s="11" t="str">
        <f>VLOOKUP(N1491,'Mã NV'!$A$3:$B$196,2,0)</f>
        <v>TE68</v>
      </c>
      <c r="N1491" s="297" t="s">
        <v>2614</v>
      </c>
      <c r="O1491" s="381">
        <v>44197</v>
      </c>
      <c r="P1491" s="371"/>
      <c r="Q1491" s="43"/>
      <c r="R1491" s="153"/>
    </row>
    <row r="1492" spans="1:18" ht="35.25" hidden="1" customHeight="1">
      <c r="A1492" s="15">
        <f t="shared" si="23"/>
        <v>1482</v>
      </c>
      <c r="B1492" s="144" t="s">
        <v>2123</v>
      </c>
      <c r="C1492" s="150" t="s">
        <v>2109</v>
      </c>
      <c r="D1492" s="19"/>
      <c r="E1492" s="19"/>
      <c r="F1492" s="19"/>
      <c r="G1492" s="142" t="s">
        <v>2473</v>
      </c>
      <c r="H1492" s="141"/>
      <c r="I1492" s="202" t="s">
        <v>18</v>
      </c>
      <c r="J1492" s="153">
        <v>1</v>
      </c>
      <c r="K1492" s="142" t="s">
        <v>730</v>
      </c>
      <c r="L1492" s="168" t="s">
        <v>2522</v>
      </c>
      <c r="M1492" s="11" t="str">
        <f>VLOOKUP(N1492,'Mã NV'!$A$3:$B$196,2,0)</f>
        <v>TE87</v>
      </c>
      <c r="N1492" s="297" t="s">
        <v>2615</v>
      </c>
      <c r="O1492" s="381">
        <v>44197</v>
      </c>
      <c r="P1492" s="371"/>
      <c r="Q1492" s="43"/>
      <c r="R1492" s="153"/>
    </row>
    <row r="1493" spans="1:18" ht="35.25" hidden="1" customHeight="1">
      <c r="A1493" s="15">
        <f t="shared" si="23"/>
        <v>1483</v>
      </c>
      <c r="B1493" s="144" t="s">
        <v>2124</v>
      </c>
      <c r="C1493" s="150" t="s">
        <v>1176</v>
      </c>
      <c r="D1493" s="19"/>
      <c r="E1493" s="19"/>
      <c r="F1493" s="19"/>
      <c r="G1493" s="142" t="s">
        <v>2474</v>
      </c>
      <c r="H1493" s="141"/>
      <c r="I1493" s="202" t="s">
        <v>18</v>
      </c>
      <c r="J1493" s="153">
        <v>1</v>
      </c>
      <c r="K1493" s="142" t="s">
        <v>730</v>
      </c>
      <c r="L1493" s="168" t="s">
        <v>2522</v>
      </c>
      <c r="M1493" s="11" t="str">
        <f>VLOOKUP(N1493,'Mã NV'!$A$3:$B$196,2,0)</f>
        <v>TE87</v>
      </c>
      <c r="N1493" s="297" t="s">
        <v>2615</v>
      </c>
      <c r="O1493" s="381">
        <v>44197</v>
      </c>
      <c r="P1493" s="371"/>
      <c r="Q1493" s="43"/>
      <c r="R1493" s="153"/>
    </row>
    <row r="1494" spans="1:18" ht="35.25" hidden="1" customHeight="1">
      <c r="A1494" s="15">
        <f t="shared" si="23"/>
        <v>1484</v>
      </c>
      <c r="B1494" s="144" t="s">
        <v>2125</v>
      </c>
      <c r="C1494" s="150" t="s">
        <v>2126</v>
      </c>
      <c r="D1494" s="19"/>
      <c r="E1494" s="19"/>
      <c r="F1494" s="19"/>
      <c r="G1494" s="142"/>
      <c r="H1494" s="141"/>
      <c r="I1494" s="202" t="s">
        <v>18</v>
      </c>
      <c r="J1494" s="153">
        <v>1</v>
      </c>
      <c r="K1494" s="142" t="s">
        <v>730</v>
      </c>
      <c r="L1494" s="168" t="s">
        <v>2522</v>
      </c>
      <c r="M1494" s="11" t="str">
        <f>VLOOKUP(N1494,'Mã NV'!$A$3:$B$196,2,0)</f>
        <v>TE89</v>
      </c>
      <c r="N1494" s="297" t="s">
        <v>2616</v>
      </c>
      <c r="O1494" s="381">
        <v>44197</v>
      </c>
      <c r="P1494" s="371"/>
      <c r="Q1494" s="43"/>
      <c r="R1494" s="153"/>
    </row>
    <row r="1495" spans="1:18" ht="35.25" hidden="1" customHeight="1">
      <c r="A1495" s="15">
        <f t="shared" si="23"/>
        <v>1485</v>
      </c>
      <c r="B1495" s="144" t="s">
        <v>2127</v>
      </c>
      <c r="C1495" s="154" t="s">
        <v>2128</v>
      </c>
      <c r="D1495" s="19"/>
      <c r="E1495" s="19"/>
      <c r="F1495" s="19"/>
      <c r="G1495" s="142"/>
      <c r="H1495" s="141"/>
      <c r="I1495" s="202" t="s">
        <v>18</v>
      </c>
      <c r="J1495" s="153">
        <v>1</v>
      </c>
      <c r="K1495" s="142" t="s">
        <v>730</v>
      </c>
      <c r="L1495" s="168" t="s">
        <v>2522</v>
      </c>
      <c r="M1495" s="11" t="str">
        <f>VLOOKUP(N1495,'Mã NV'!$A$3:$B$196,2,0)</f>
        <v>TE89</v>
      </c>
      <c r="N1495" s="297" t="s">
        <v>2616</v>
      </c>
      <c r="O1495" s="381">
        <v>44197</v>
      </c>
      <c r="P1495" s="371"/>
      <c r="Q1495" s="43"/>
      <c r="R1495" s="153"/>
    </row>
    <row r="1496" spans="1:18" ht="35.25" hidden="1" customHeight="1">
      <c r="A1496" s="15">
        <f t="shared" si="23"/>
        <v>1486</v>
      </c>
      <c r="B1496" s="144" t="s">
        <v>2129</v>
      </c>
      <c r="C1496" s="154" t="s">
        <v>2130</v>
      </c>
      <c r="D1496" s="19"/>
      <c r="E1496" s="19"/>
      <c r="F1496" s="19"/>
      <c r="G1496" s="142"/>
      <c r="H1496" s="141"/>
      <c r="I1496" s="202" t="s">
        <v>18</v>
      </c>
      <c r="J1496" s="153">
        <v>1</v>
      </c>
      <c r="K1496" s="142" t="s">
        <v>730</v>
      </c>
      <c r="L1496" s="168" t="s">
        <v>2522</v>
      </c>
      <c r="M1496" s="11" t="str">
        <f>VLOOKUP(N1496,'Mã NV'!$A$3:$B$196,2,0)</f>
        <v>TE89</v>
      </c>
      <c r="N1496" s="297" t="s">
        <v>2616</v>
      </c>
      <c r="O1496" s="381">
        <v>44972</v>
      </c>
      <c r="P1496" s="371"/>
      <c r="Q1496" s="43"/>
      <c r="R1496" s="153"/>
    </row>
    <row r="1497" spans="1:18" ht="35.25" hidden="1" customHeight="1">
      <c r="A1497" s="15">
        <f t="shared" si="23"/>
        <v>1487</v>
      </c>
      <c r="B1497" s="144" t="s">
        <v>2131</v>
      </c>
      <c r="C1497" s="154" t="s">
        <v>2132</v>
      </c>
      <c r="D1497" s="19"/>
      <c r="E1497" s="19"/>
      <c r="F1497" s="19"/>
      <c r="G1497" s="142"/>
      <c r="H1497" s="141"/>
      <c r="I1497" s="202" t="s">
        <v>181</v>
      </c>
      <c r="J1497" s="153">
        <v>1</v>
      </c>
      <c r="K1497" s="142" t="s">
        <v>730</v>
      </c>
      <c r="L1497" s="168" t="s">
        <v>2522</v>
      </c>
      <c r="M1497" s="11" t="str">
        <f>VLOOKUP(N1497,'Mã NV'!$A$3:$B$196,2,0)</f>
        <v>TE89</v>
      </c>
      <c r="N1497" s="297" t="s">
        <v>2616</v>
      </c>
      <c r="O1497" s="381">
        <v>44972</v>
      </c>
      <c r="P1497" s="371"/>
      <c r="Q1497" s="43"/>
      <c r="R1497" s="153"/>
    </row>
    <row r="1498" spans="1:18" ht="35.25" hidden="1" customHeight="1">
      <c r="A1498" s="15">
        <f t="shared" si="23"/>
        <v>1488</v>
      </c>
      <c r="B1498" s="141" t="s">
        <v>2133</v>
      </c>
      <c r="C1498" s="154" t="s">
        <v>1403</v>
      </c>
      <c r="D1498" s="19"/>
      <c r="E1498" s="19"/>
      <c r="F1498" s="19"/>
      <c r="G1498" s="142"/>
      <c r="H1498" s="141"/>
      <c r="I1498" s="202" t="s">
        <v>18</v>
      </c>
      <c r="J1498" s="153">
        <v>1</v>
      </c>
      <c r="K1498" s="142" t="s">
        <v>730</v>
      </c>
      <c r="L1498" s="168" t="s">
        <v>2522</v>
      </c>
      <c r="M1498" s="11" t="str">
        <f>VLOOKUP(N1498,'Mã NV'!$A$3:$B$196,2,0)</f>
        <v>TE89</v>
      </c>
      <c r="N1498" s="297" t="s">
        <v>2616</v>
      </c>
      <c r="O1498" s="381">
        <v>44972</v>
      </c>
      <c r="P1498" s="371"/>
      <c r="Q1498" s="43"/>
      <c r="R1498" s="153"/>
    </row>
    <row r="1499" spans="1:18" ht="35.25" hidden="1" customHeight="1">
      <c r="A1499" s="15">
        <f t="shared" si="23"/>
        <v>1489</v>
      </c>
      <c r="B1499" s="144" t="s">
        <v>2134</v>
      </c>
      <c r="C1499" s="150" t="s">
        <v>1110</v>
      </c>
      <c r="D1499" s="19"/>
      <c r="E1499" s="19"/>
      <c r="F1499" s="19"/>
      <c r="G1499" s="142" t="s">
        <v>2475</v>
      </c>
      <c r="H1499" s="141"/>
      <c r="I1499" s="202" t="s">
        <v>18</v>
      </c>
      <c r="J1499" s="153">
        <v>1</v>
      </c>
      <c r="K1499" s="142" t="s">
        <v>730</v>
      </c>
      <c r="L1499" s="168" t="s">
        <v>2522</v>
      </c>
      <c r="M1499" s="11" t="str">
        <f>VLOOKUP(N1499,'Mã NV'!$A$3:$B$196,2,0)</f>
        <v>TE41</v>
      </c>
      <c r="N1499" s="297" t="s">
        <v>2617</v>
      </c>
      <c r="O1499" s="381">
        <v>44197</v>
      </c>
      <c r="P1499" s="371"/>
      <c r="Q1499" s="43"/>
      <c r="R1499" s="153"/>
    </row>
    <row r="1500" spans="1:18" ht="35.25" hidden="1" customHeight="1">
      <c r="A1500" s="15">
        <f t="shared" si="23"/>
        <v>1490</v>
      </c>
      <c r="B1500" s="150" t="s">
        <v>2135</v>
      </c>
      <c r="C1500" s="150" t="s">
        <v>2136</v>
      </c>
      <c r="D1500" s="19"/>
      <c r="E1500" s="19"/>
      <c r="F1500" s="19"/>
      <c r="G1500" s="149"/>
      <c r="H1500" s="141"/>
      <c r="I1500" s="202" t="s">
        <v>18</v>
      </c>
      <c r="J1500" s="153">
        <v>1</v>
      </c>
      <c r="K1500" s="142" t="s">
        <v>730</v>
      </c>
      <c r="L1500" s="168" t="s">
        <v>2522</v>
      </c>
      <c r="M1500" s="11" t="str">
        <f>VLOOKUP(N1500,'Mã NV'!$A$3:$B$196,2,0)</f>
        <v>TE41</v>
      </c>
      <c r="N1500" s="297" t="s">
        <v>2617</v>
      </c>
      <c r="O1500" s="380">
        <f>VLOOKUP(B1500,'Tổng hợp (3)'!$C$4:$E$985,3,0)</f>
        <v>44552</v>
      </c>
      <c r="P1500" s="378"/>
      <c r="Q1500" s="43"/>
      <c r="R1500" s="153"/>
    </row>
    <row r="1501" spans="1:18" ht="35.25" hidden="1" customHeight="1">
      <c r="A1501" s="15">
        <f t="shared" si="23"/>
        <v>1491</v>
      </c>
      <c r="B1501" s="144" t="s">
        <v>2137</v>
      </c>
      <c r="C1501" s="150" t="s">
        <v>2138</v>
      </c>
      <c r="D1501" s="19"/>
      <c r="E1501" s="19"/>
      <c r="F1501" s="19"/>
      <c r="G1501" s="142" t="s">
        <v>2476</v>
      </c>
      <c r="H1501" s="141"/>
      <c r="I1501" s="202" t="s">
        <v>18</v>
      </c>
      <c r="J1501" s="153">
        <v>1</v>
      </c>
      <c r="K1501" s="142" t="s">
        <v>730</v>
      </c>
      <c r="L1501" s="168" t="s">
        <v>2522</v>
      </c>
      <c r="M1501" s="11" t="str">
        <f>VLOOKUP(N1501,'Mã NV'!$A$3:$B$196,2,0)</f>
        <v>TE41</v>
      </c>
      <c r="N1501" s="297" t="s">
        <v>2617</v>
      </c>
      <c r="O1501" s="381">
        <v>44197</v>
      </c>
      <c r="P1501" s="371"/>
      <c r="Q1501" s="43"/>
      <c r="R1501" s="153"/>
    </row>
    <row r="1502" spans="1:18" ht="35.25" hidden="1" customHeight="1">
      <c r="A1502" s="15">
        <f t="shared" si="23"/>
        <v>1492</v>
      </c>
      <c r="B1502" s="144" t="s">
        <v>2139</v>
      </c>
      <c r="C1502" s="150" t="s">
        <v>2140</v>
      </c>
      <c r="D1502" s="19"/>
      <c r="E1502" s="19"/>
      <c r="F1502" s="19"/>
      <c r="G1502" s="149" t="s">
        <v>2477</v>
      </c>
      <c r="H1502" s="141"/>
      <c r="I1502" s="202" t="s">
        <v>18</v>
      </c>
      <c r="J1502" s="153">
        <v>1</v>
      </c>
      <c r="K1502" s="142" t="s">
        <v>730</v>
      </c>
      <c r="L1502" s="168" t="s">
        <v>2522</v>
      </c>
      <c r="M1502" s="11" t="str">
        <f>VLOOKUP(N1502,'Mã NV'!$A$3:$B$196,2,0)</f>
        <v>TE41</v>
      </c>
      <c r="N1502" s="297" t="s">
        <v>2617</v>
      </c>
      <c r="O1502" s="381">
        <v>44197</v>
      </c>
      <c r="P1502" s="371"/>
      <c r="Q1502" s="43"/>
      <c r="R1502" s="153"/>
    </row>
    <row r="1503" spans="1:18" ht="35.25" hidden="1" customHeight="1">
      <c r="A1503" s="15">
        <f t="shared" si="23"/>
        <v>1493</v>
      </c>
      <c r="B1503" s="191" t="s">
        <v>2141</v>
      </c>
      <c r="C1503" s="191" t="s">
        <v>575</v>
      </c>
      <c r="D1503" s="19"/>
      <c r="E1503" s="19"/>
      <c r="F1503" s="19"/>
      <c r="G1503" s="172"/>
      <c r="H1503" s="141"/>
      <c r="I1503" s="202" t="s">
        <v>18</v>
      </c>
      <c r="J1503" s="192">
        <v>1</v>
      </c>
      <c r="K1503" s="142" t="s">
        <v>730</v>
      </c>
      <c r="L1503" s="168" t="s">
        <v>2522</v>
      </c>
      <c r="M1503" s="11" t="str">
        <f>VLOOKUP(N1503,'Mã NV'!$A$3:$B$196,2,0)</f>
        <v>TE41</v>
      </c>
      <c r="N1503" s="297" t="s">
        <v>2617</v>
      </c>
      <c r="O1503" s="381">
        <v>44197</v>
      </c>
      <c r="P1503" s="371"/>
      <c r="Q1503" s="43"/>
      <c r="R1503" s="192"/>
    </row>
    <row r="1504" spans="1:18" ht="35.25" hidden="1" customHeight="1">
      <c r="A1504" s="15">
        <f t="shared" si="23"/>
        <v>1494</v>
      </c>
      <c r="B1504" s="191" t="s">
        <v>2142</v>
      </c>
      <c r="C1504" s="191" t="s">
        <v>115</v>
      </c>
      <c r="D1504" s="19"/>
      <c r="E1504" s="19"/>
      <c r="F1504" s="19"/>
      <c r="G1504" s="172"/>
      <c r="H1504" s="141"/>
      <c r="I1504" s="202" t="s">
        <v>18</v>
      </c>
      <c r="J1504" s="192">
        <v>1</v>
      </c>
      <c r="K1504" s="142" t="s">
        <v>730</v>
      </c>
      <c r="L1504" s="168" t="s">
        <v>2522</v>
      </c>
      <c r="M1504" s="11" t="str">
        <f>VLOOKUP(N1504,'Mã NV'!$A$3:$B$196,2,0)</f>
        <v>TE41</v>
      </c>
      <c r="N1504" s="297" t="s">
        <v>2617</v>
      </c>
      <c r="O1504" s="381">
        <v>44197</v>
      </c>
      <c r="P1504" s="371"/>
      <c r="Q1504" s="43"/>
      <c r="R1504" s="192"/>
    </row>
    <row r="1505" spans="1:18" ht="35.25" hidden="1" customHeight="1">
      <c r="A1505" s="15">
        <f t="shared" si="23"/>
        <v>1495</v>
      </c>
      <c r="B1505" s="191" t="s">
        <v>2143</v>
      </c>
      <c r="C1505" s="191" t="s">
        <v>2101</v>
      </c>
      <c r="D1505" s="19"/>
      <c r="E1505" s="19"/>
      <c r="F1505" s="19"/>
      <c r="G1505" s="172"/>
      <c r="H1505" s="141"/>
      <c r="I1505" s="202" t="s">
        <v>18</v>
      </c>
      <c r="J1505" s="192">
        <v>1</v>
      </c>
      <c r="K1505" s="142" t="s">
        <v>730</v>
      </c>
      <c r="L1505" s="168" t="s">
        <v>2522</v>
      </c>
      <c r="M1505" s="11" t="str">
        <f>VLOOKUP(N1505,'Mã NV'!$A$3:$B$196,2,0)</f>
        <v>TE41</v>
      </c>
      <c r="N1505" s="297" t="s">
        <v>2617</v>
      </c>
      <c r="O1505" s="380">
        <f>VLOOKUP(B1505,'Tổng hợp (3)'!$C$4:$E$985,3,0)</f>
        <v>44757</v>
      </c>
      <c r="P1505" s="378"/>
      <c r="Q1505" s="43"/>
      <c r="R1505" s="153"/>
    </row>
    <row r="1506" spans="1:18" ht="35.25" hidden="1" customHeight="1">
      <c r="A1506" s="15">
        <f t="shared" si="23"/>
        <v>1496</v>
      </c>
      <c r="B1506" s="144" t="s">
        <v>2144</v>
      </c>
      <c r="C1506" s="250" t="s">
        <v>1176</v>
      </c>
      <c r="D1506" s="19"/>
      <c r="E1506" s="19"/>
      <c r="F1506" s="19"/>
      <c r="G1506" s="142"/>
      <c r="H1506" s="141"/>
      <c r="I1506" s="202" t="s">
        <v>18</v>
      </c>
      <c r="J1506" s="192">
        <v>1</v>
      </c>
      <c r="K1506" s="142" t="s">
        <v>730</v>
      </c>
      <c r="L1506" s="168" t="s">
        <v>2522</v>
      </c>
      <c r="M1506" s="11" t="str">
        <f>VLOOKUP(N1506,'Mã NV'!$A$3:$B$196,2,0)</f>
        <v>TE41</v>
      </c>
      <c r="N1506" s="297" t="s">
        <v>2617</v>
      </c>
      <c r="O1506" s="381">
        <v>44197</v>
      </c>
      <c r="P1506" s="371"/>
      <c r="Q1506" s="43"/>
      <c r="R1506" s="153"/>
    </row>
    <row r="1507" spans="1:18" ht="35.25" hidden="1" customHeight="1">
      <c r="A1507" s="15">
        <f t="shared" si="23"/>
        <v>1497</v>
      </c>
      <c r="B1507" s="176" t="s">
        <v>2145</v>
      </c>
      <c r="C1507" s="189" t="s">
        <v>1646</v>
      </c>
      <c r="D1507" s="19"/>
      <c r="E1507" s="19"/>
      <c r="F1507" s="19"/>
      <c r="G1507" s="145" t="s">
        <v>2472</v>
      </c>
      <c r="H1507" s="141"/>
      <c r="I1507" s="186" t="s">
        <v>18</v>
      </c>
      <c r="J1507" s="186">
        <v>1</v>
      </c>
      <c r="K1507" s="142" t="s">
        <v>730</v>
      </c>
      <c r="L1507" s="181" t="s">
        <v>2522</v>
      </c>
      <c r="M1507" s="11" t="str">
        <f>VLOOKUP(N1507,'Mã NV'!$A$3:$B$196,2,0)</f>
        <v>TE63</v>
      </c>
      <c r="N1507" s="321" t="s">
        <v>2618</v>
      </c>
      <c r="O1507" s="381">
        <v>44197</v>
      </c>
      <c r="P1507" s="371"/>
      <c r="Q1507" s="43"/>
      <c r="R1507" s="158"/>
    </row>
    <row r="1508" spans="1:18" ht="35.25" hidden="1" customHeight="1">
      <c r="A1508" s="15">
        <f t="shared" si="23"/>
        <v>1498</v>
      </c>
      <c r="B1508" s="176" t="s">
        <v>2146</v>
      </c>
      <c r="C1508" s="189" t="s">
        <v>1339</v>
      </c>
      <c r="D1508" s="19"/>
      <c r="E1508" s="19"/>
      <c r="F1508" s="19"/>
      <c r="G1508" s="181"/>
      <c r="H1508" s="141"/>
      <c r="I1508" s="186" t="s">
        <v>18</v>
      </c>
      <c r="J1508" s="186">
        <v>1</v>
      </c>
      <c r="K1508" s="142" t="s">
        <v>730</v>
      </c>
      <c r="L1508" s="181" t="s">
        <v>2522</v>
      </c>
      <c r="M1508" s="11" t="str">
        <f>VLOOKUP(N1508,'Mã NV'!$A$3:$B$196,2,0)</f>
        <v>TE63</v>
      </c>
      <c r="N1508" s="321" t="s">
        <v>2618</v>
      </c>
      <c r="O1508" s="380">
        <f>VLOOKUP(B1508,'Tổng hợp (3)'!$C$4:$E$985,3,0)</f>
        <v>44896</v>
      </c>
      <c r="P1508" s="378"/>
      <c r="Q1508" s="43"/>
      <c r="R1508" s="158"/>
    </row>
    <row r="1509" spans="1:18" ht="35.25" hidden="1" customHeight="1">
      <c r="A1509" s="15">
        <f t="shared" si="23"/>
        <v>1499</v>
      </c>
      <c r="B1509" s="156" t="s">
        <v>2147</v>
      </c>
      <c r="C1509" s="169" t="s">
        <v>633</v>
      </c>
      <c r="D1509" s="19"/>
      <c r="E1509" s="19"/>
      <c r="F1509" s="19"/>
      <c r="G1509" s="145" t="s">
        <v>2478</v>
      </c>
      <c r="H1509" s="141"/>
      <c r="I1509" s="186" t="s">
        <v>18</v>
      </c>
      <c r="J1509" s="158">
        <v>1</v>
      </c>
      <c r="K1509" s="142" t="s">
        <v>730</v>
      </c>
      <c r="L1509" s="181" t="s">
        <v>2522</v>
      </c>
      <c r="M1509" s="11" t="str">
        <f>VLOOKUP(N1509,'Mã NV'!$A$3:$B$196,2,0)</f>
        <v>TE97</v>
      </c>
      <c r="N1509" s="303" t="s">
        <v>2619</v>
      </c>
      <c r="O1509" s="381">
        <v>44197</v>
      </c>
      <c r="P1509" s="371"/>
      <c r="Q1509" s="43"/>
      <c r="R1509" s="158"/>
    </row>
    <row r="1510" spans="1:18" ht="35.25" hidden="1" customHeight="1">
      <c r="A1510" s="15">
        <f t="shared" si="23"/>
        <v>1500</v>
      </c>
      <c r="B1510" s="156" t="s">
        <v>2148</v>
      </c>
      <c r="C1510" s="169" t="s">
        <v>1339</v>
      </c>
      <c r="D1510" s="19"/>
      <c r="E1510" s="19"/>
      <c r="F1510" s="19"/>
      <c r="G1510" s="145"/>
      <c r="H1510" s="141"/>
      <c r="I1510" s="186" t="s">
        <v>18</v>
      </c>
      <c r="J1510" s="158">
        <v>1</v>
      </c>
      <c r="K1510" s="142" t="s">
        <v>730</v>
      </c>
      <c r="L1510" s="181" t="s">
        <v>2522</v>
      </c>
      <c r="M1510" s="11" t="str">
        <f>VLOOKUP(N1510,'Mã NV'!$A$3:$B$196,2,0)</f>
        <v>TE97</v>
      </c>
      <c r="N1510" s="303" t="s">
        <v>2619</v>
      </c>
      <c r="O1510" s="381">
        <v>44197</v>
      </c>
      <c r="P1510" s="371"/>
      <c r="Q1510" s="43"/>
      <c r="R1510" s="158"/>
    </row>
    <row r="1511" spans="1:18" ht="35.25" hidden="1" customHeight="1">
      <c r="A1511" s="15">
        <f t="shared" si="23"/>
        <v>1501</v>
      </c>
      <c r="B1511" s="156" t="s">
        <v>2149</v>
      </c>
      <c r="C1511" s="169" t="s">
        <v>620</v>
      </c>
      <c r="D1511" s="19"/>
      <c r="E1511" s="19"/>
      <c r="F1511" s="19"/>
      <c r="G1511" s="145" t="s">
        <v>2479</v>
      </c>
      <c r="H1511" s="141"/>
      <c r="I1511" s="186" t="s">
        <v>18</v>
      </c>
      <c r="J1511" s="158">
        <v>1</v>
      </c>
      <c r="K1511" s="142" t="s">
        <v>730</v>
      </c>
      <c r="L1511" s="181" t="s">
        <v>2522</v>
      </c>
      <c r="M1511" s="11" t="str">
        <f>VLOOKUP(N1511,'Mã NV'!$A$3:$B$196,2,0)</f>
        <v>TE16</v>
      </c>
      <c r="N1511" s="303" t="s">
        <v>2620</v>
      </c>
      <c r="O1511" s="381">
        <v>44197</v>
      </c>
      <c r="P1511" s="371"/>
      <c r="Q1511" s="43"/>
      <c r="R1511" s="158"/>
    </row>
    <row r="1512" spans="1:18" ht="35.25" hidden="1" customHeight="1">
      <c r="A1512" s="15">
        <f t="shared" si="23"/>
        <v>1502</v>
      </c>
      <c r="B1512" s="156" t="s">
        <v>2150</v>
      </c>
      <c r="C1512" s="169" t="s">
        <v>1339</v>
      </c>
      <c r="D1512" s="19"/>
      <c r="E1512" s="19"/>
      <c r="F1512" s="19"/>
      <c r="G1512" s="145" t="s">
        <v>2480</v>
      </c>
      <c r="H1512" s="141"/>
      <c r="I1512" s="186" t="s">
        <v>18</v>
      </c>
      <c r="J1512" s="158">
        <v>1</v>
      </c>
      <c r="K1512" s="142" t="s">
        <v>730</v>
      </c>
      <c r="L1512" s="181" t="s">
        <v>2522</v>
      </c>
      <c r="M1512" s="11" t="str">
        <f>VLOOKUP(N1512,'Mã NV'!$A$3:$B$196,2,0)</f>
        <v>TE16</v>
      </c>
      <c r="N1512" s="303" t="s">
        <v>2620</v>
      </c>
      <c r="O1512" s="381">
        <v>44197</v>
      </c>
      <c r="P1512" s="371"/>
      <c r="Q1512" s="43"/>
      <c r="R1512" s="158"/>
    </row>
    <row r="1513" spans="1:18" ht="35.25" hidden="1" customHeight="1">
      <c r="A1513" s="15">
        <f t="shared" si="23"/>
        <v>1503</v>
      </c>
      <c r="B1513" s="156" t="s">
        <v>2151</v>
      </c>
      <c r="C1513" s="169" t="s">
        <v>2077</v>
      </c>
      <c r="D1513" s="19"/>
      <c r="E1513" s="19"/>
      <c r="F1513" s="19"/>
      <c r="G1513" s="145" t="s">
        <v>2400</v>
      </c>
      <c r="H1513" s="141"/>
      <c r="I1513" s="186" t="s">
        <v>18</v>
      </c>
      <c r="J1513" s="158">
        <v>1</v>
      </c>
      <c r="K1513" s="142" t="s">
        <v>730</v>
      </c>
      <c r="L1513" s="181" t="s">
        <v>2522</v>
      </c>
      <c r="M1513" s="11" t="str">
        <f>VLOOKUP(N1513,'Mã NV'!$A$3:$B$196,2,0)</f>
        <v>TE16</v>
      </c>
      <c r="N1513" s="303" t="s">
        <v>2620</v>
      </c>
      <c r="O1513" s="381">
        <v>44197</v>
      </c>
      <c r="P1513" s="371"/>
      <c r="Q1513" s="43"/>
      <c r="R1513" s="158"/>
    </row>
    <row r="1514" spans="1:18" ht="35.25" hidden="1" customHeight="1">
      <c r="A1514" s="15">
        <f t="shared" si="23"/>
        <v>1504</v>
      </c>
      <c r="B1514" s="156" t="s">
        <v>2152</v>
      </c>
      <c r="C1514" s="189" t="s">
        <v>2153</v>
      </c>
      <c r="D1514" s="19"/>
      <c r="E1514" s="19"/>
      <c r="F1514" s="19"/>
      <c r="G1514" s="145" t="s">
        <v>2481</v>
      </c>
      <c r="H1514" s="141"/>
      <c r="I1514" s="186" t="s">
        <v>18</v>
      </c>
      <c r="J1514" s="186">
        <v>1</v>
      </c>
      <c r="K1514" s="142" t="s">
        <v>730</v>
      </c>
      <c r="L1514" s="181" t="s">
        <v>2522</v>
      </c>
      <c r="M1514" s="11" t="str">
        <f>VLOOKUP(N1514,'Mã NV'!$A$3:$B$196,2,0)</f>
        <v>TE16</v>
      </c>
      <c r="N1514" s="303" t="s">
        <v>2620</v>
      </c>
      <c r="O1514" s="381">
        <v>44197</v>
      </c>
      <c r="P1514" s="371"/>
      <c r="Q1514" s="43"/>
      <c r="R1514" s="158"/>
    </row>
    <row r="1515" spans="1:18" ht="35.25" hidden="1" customHeight="1">
      <c r="A1515" s="15">
        <f t="shared" si="23"/>
        <v>1505</v>
      </c>
      <c r="B1515" s="156" t="s">
        <v>2154</v>
      </c>
      <c r="C1515" s="189" t="s">
        <v>641</v>
      </c>
      <c r="D1515" s="19"/>
      <c r="E1515" s="19"/>
      <c r="F1515" s="19"/>
      <c r="G1515" s="145">
        <v>965780169</v>
      </c>
      <c r="H1515" s="141"/>
      <c r="I1515" s="186" t="s">
        <v>18</v>
      </c>
      <c r="J1515" s="186">
        <v>1</v>
      </c>
      <c r="K1515" s="142" t="s">
        <v>730</v>
      </c>
      <c r="L1515" s="181" t="s">
        <v>2522</v>
      </c>
      <c r="M1515" s="11" t="str">
        <f>VLOOKUP(N1515,'Mã NV'!$A$3:$B$196,2,0)</f>
        <v>TE16</v>
      </c>
      <c r="N1515" s="303" t="s">
        <v>2620</v>
      </c>
      <c r="O1515" s="381">
        <v>44197</v>
      </c>
      <c r="P1515" s="371"/>
      <c r="Q1515" s="43"/>
      <c r="R1515" s="158"/>
    </row>
    <row r="1516" spans="1:18" ht="35.25" hidden="1" customHeight="1">
      <c r="A1516" s="15">
        <f t="shared" si="23"/>
        <v>1506</v>
      </c>
      <c r="B1516" s="144" t="s">
        <v>2155</v>
      </c>
      <c r="C1516" s="150" t="s">
        <v>2156</v>
      </c>
      <c r="D1516" s="19"/>
      <c r="E1516" s="19"/>
      <c r="F1516" s="19"/>
      <c r="G1516" s="183" t="s">
        <v>2455</v>
      </c>
      <c r="H1516" s="141"/>
      <c r="I1516" s="202" t="s">
        <v>18</v>
      </c>
      <c r="J1516" s="153">
        <v>1</v>
      </c>
      <c r="K1516" s="142" t="s">
        <v>730</v>
      </c>
      <c r="L1516" s="168" t="s">
        <v>2522</v>
      </c>
      <c r="M1516" s="11" t="str">
        <f>VLOOKUP(N1516,'Mã NV'!$A$3:$B$196,2,0)</f>
        <v>TE46</v>
      </c>
      <c r="N1516" s="297" t="s">
        <v>2621</v>
      </c>
      <c r="O1516" s="381">
        <v>44197</v>
      </c>
      <c r="P1516" s="371"/>
      <c r="Q1516" s="43"/>
      <c r="R1516" s="153"/>
    </row>
    <row r="1517" spans="1:18" ht="35.25" hidden="1" customHeight="1">
      <c r="A1517" s="15">
        <f t="shared" si="23"/>
        <v>1507</v>
      </c>
      <c r="B1517" s="144" t="s">
        <v>2157</v>
      </c>
      <c r="C1517" s="150" t="s">
        <v>1339</v>
      </c>
      <c r="D1517" s="19"/>
      <c r="E1517" s="19"/>
      <c r="F1517" s="19"/>
      <c r="G1517" s="142"/>
      <c r="H1517" s="141"/>
      <c r="I1517" s="202" t="s">
        <v>18</v>
      </c>
      <c r="J1517" s="153">
        <v>1</v>
      </c>
      <c r="K1517" s="142" t="s">
        <v>730</v>
      </c>
      <c r="L1517" s="168" t="s">
        <v>2522</v>
      </c>
      <c r="M1517" s="11" t="str">
        <f>VLOOKUP(N1517,'Mã NV'!$A$3:$B$196,2,0)</f>
        <v>TE46</v>
      </c>
      <c r="N1517" s="297" t="s">
        <v>2621</v>
      </c>
      <c r="O1517" s="381">
        <v>44197</v>
      </c>
      <c r="P1517" s="371"/>
      <c r="Q1517" s="43"/>
      <c r="R1517" s="153"/>
    </row>
    <row r="1518" spans="1:18" ht="35.25" hidden="1" customHeight="1">
      <c r="A1518" s="15">
        <f t="shared" si="23"/>
        <v>1508</v>
      </c>
      <c r="B1518" s="144" t="s">
        <v>2158</v>
      </c>
      <c r="C1518" s="150" t="s">
        <v>2077</v>
      </c>
      <c r="D1518" s="19"/>
      <c r="E1518" s="19"/>
      <c r="F1518" s="19"/>
      <c r="G1518" s="142" t="s">
        <v>2371</v>
      </c>
      <c r="H1518" s="141"/>
      <c r="I1518" s="202" t="s">
        <v>18</v>
      </c>
      <c r="J1518" s="153">
        <v>1</v>
      </c>
      <c r="K1518" s="142" t="s">
        <v>730</v>
      </c>
      <c r="L1518" s="168" t="s">
        <v>2522</v>
      </c>
      <c r="M1518" s="11" t="str">
        <f>VLOOKUP(N1518,'Mã NV'!$A$3:$B$196,2,0)</f>
        <v>TE46</v>
      </c>
      <c r="N1518" s="297" t="s">
        <v>2621</v>
      </c>
      <c r="O1518" s="381">
        <v>44197</v>
      </c>
      <c r="P1518" s="371"/>
      <c r="Q1518" s="43"/>
      <c r="R1518" s="153"/>
    </row>
    <row r="1519" spans="1:18" ht="35.25" hidden="1" customHeight="1">
      <c r="A1519" s="15">
        <f t="shared" si="23"/>
        <v>1509</v>
      </c>
      <c r="B1519" s="144" t="s">
        <v>2159</v>
      </c>
      <c r="C1519" s="150" t="s">
        <v>605</v>
      </c>
      <c r="D1519" s="19"/>
      <c r="E1519" s="19"/>
      <c r="F1519" s="19"/>
      <c r="G1519" s="142"/>
      <c r="H1519" s="141"/>
      <c r="I1519" s="202" t="s">
        <v>18</v>
      </c>
      <c r="J1519" s="153">
        <v>1</v>
      </c>
      <c r="K1519" s="142" t="s">
        <v>730</v>
      </c>
      <c r="L1519" s="168" t="s">
        <v>2522</v>
      </c>
      <c r="M1519" s="11" t="str">
        <f>VLOOKUP(N1519,'Mã NV'!$A$3:$B$196,2,0)</f>
        <v>TE46</v>
      </c>
      <c r="N1519" s="297" t="s">
        <v>2621</v>
      </c>
      <c r="O1519" s="381">
        <v>44197</v>
      </c>
      <c r="P1519" s="371"/>
      <c r="Q1519" s="43"/>
      <c r="R1519" s="153"/>
    </row>
    <row r="1520" spans="1:18" ht="35.25" hidden="1" customHeight="1">
      <c r="A1520" s="15">
        <f t="shared" si="23"/>
        <v>1510</v>
      </c>
      <c r="B1520" s="144" t="s">
        <v>2160</v>
      </c>
      <c r="C1520" s="150" t="s">
        <v>601</v>
      </c>
      <c r="D1520" s="19"/>
      <c r="E1520" s="19"/>
      <c r="F1520" s="19"/>
      <c r="G1520" s="142"/>
      <c r="H1520" s="141"/>
      <c r="I1520" s="202" t="s">
        <v>18</v>
      </c>
      <c r="J1520" s="153">
        <v>1</v>
      </c>
      <c r="K1520" s="142" t="s">
        <v>730</v>
      </c>
      <c r="L1520" s="168" t="s">
        <v>2522</v>
      </c>
      <c r="M1520" s="11" t="str">
        <f>VLOOKUP(N1520,'Mã NV'!$A$3:$B$196,2,0)</f>
        <v>TE46</v>
      </c>
      <c r="N1520" s="297" t="s">
        <v>2621</v>
      </c>
      <c r="O1520" s="381">
        <v>44197</v>
      </c>
      <c r="P1520" s="371"/>
      <c r="Q1520" s="43"/>
      <c r="R1520" s="153"/>
    </row>
    <row r="1521" spans="1:18" ht="35.25" hidden="1" customHeight="1">
      <c r="A1521" s="15">
        <f t="shared" si="23"/>
        <v>1511</v>
      </c>
      <c r="B1521" s="150" t="s">
        <v>2161</v>
      </c>
      <c r="C1521" s="150" t="s">
        <v>2162</v>
      </c>
      <c r="D1521" s="19"/>
      <c r="E1521" s="19"/>
      <c r="F1521" s="19"/>
      <c r="G1521" s="142"/>
      <c r="H1521" s="141"/>
      <c r="I1521" s="202" t="s">
        <v>18</v>
      </c>
      <c r="J1521" s="153">
        <v>1</v>
      </c>
      <c r="K1521" s="142" t="s">
        <v>730</v>
      </c>
      <c r="L1521" s="168" t="s">
        <v>2522</v>
      </c>
      <c r="M1521" s="11" t="str">
        <f>VLOOKUP(N1521,'Mã NV'!$A$3:$B$196,2,0)</f>
        <v>TE46</v>
      </c>
      <c r="N1521" s="297" t="s">
        <v>2621</v>
      </c>
      <c r="O1521" s="380">
        <f>VLOOKUP(B1521,'Tổng hợp (3)'!$C$4:$E$985,3,0)</f>
        <v>44908</v>
      </c>
      <c r="P1521" s="378"/>
      <c r="Q1521" s="43"/>
      <c r="R1521" s="153"/>
    </row>
    <row r="1522" spans="1:18" ht="35.25" hidden="1" customHeight="1">
      <c r="A1522" s="15">
        <f t="shared" si="23"/>
        <v>1512</v>
      </c>
      <c r="B1522" s="144" t="s">
        <v>2163</v>
      </c>
      <c r="C1522" s="150" t="s">
        <v>633</v>
      </c>
      <c r="D1522" s="19"/>
      <c r="E1522" s="19"/>
      <c r="F1522" s="19"/>
      <c r="G1522" s="142" t="s">
        <v>2334</v>
      </c>
      <c r="H1522" s="141"/>
      <c r="I1522" s="202" t="s">
        <v>18</v>
      </c>
      <c r="J1522" s="153">
        <v>1</v>
      </c>
      <c r="K1522" s="142" t="s">
        <v>730</v>
      </c>
      <c r="L1522" s="168" t="s">
        <v>2522</v>
      </c>
      <c r="M1522" s="11" t="str">
        <f>VLOOKUP(N1522,'Mã NV'!$A$3:$B$196,2,0)</f>
        <v>TE53</v>
      </c>
      <c r="N1522" s="297" t="s">
        <v>2622</v>
      </c>
      <c r="O1522" s="381">
        <v>44197</v>
      </c>
      <c r="P1522" s="371"/>
      <c r="Q1522" s="43"/>
      <c r="R1522" s="153"/>
    </row>
    <row r="1523" spans="1:18" ht="35.25" hidden="1" customHeight="1">
      <c r="A1523" s="15">
        <f t="shared" si="23"/>
        <v>1513</v>
      </c>
      <c r="B1523" s="144" t="s">
        <v>2164</v>
      </c>
      <c r="C1523" s="150" t="s">
        <v>1339</v>
      </c>
      <c r="D1523" s="19"/>
      <c r="E1523" s="19"/>
      <c r="F1523" s="19"/>
      <c r="G1523" s="142" t="s">
        <v>2482</v>
      </c>
      <c r="H1523" s="141"/>
      <c r="I1523" s="202" t="s">
        <v>18</v>
      </c>
      <c r="J1523" s="153">
        <v>1</v>
      </c>
      <c r="K1523" s="142" t="s">
        <v>730</v>
      </c>
      <c r="L1523" s="168" t="s">
        <v>2522</v>
      </c>
      <c r="M1523" s="11" t="str">
        <f>VLOOKUP(N1523,'Mã NV'!$A$3:$B$196,2,0)</f>
        <v>TE53</v>
      </c>
      <c r="N1523" s="297" t="s">
        <v>2622</v>
      </c>
      <c r="O1523" s="381">
        <v>44197</v>
      </c>
      <c r="P1523" s="371"/>
      <c r="Q1523" s="43"/>
      <c r="R1523" s="153"/>
    </row>
    <row r="1524" spans="1:18" ht="35.25" hidden="1" customHeight="1">
      <c r="A1524" s="15">
        <f t="shared" si="23"/>
        <v>1514</v>
      </c>
      <c r="B1524" s="144" t="s">
        <v>2165</v>
      </c>
      <c r="C1524" s="150" t="s">
        <v>2077</v>
      </c>
      <c r="D1524" s="19"/>
      <c r="E1524" s="19"/>
      <c r="F1524" s="19"/>
      <c r="G1524" s="142"/>
      <c r="H1524" s="141"/>
      <c r="I1524" s="202" t="s">
        <v>18</v>
      </c>
      <c r="J1524" s="153">
        <v>1</v>
      </c>
      <c r="K1524" s="142" t="s">
        <v>730</v>
      </c>
      <c r="L1524" s="168" t="s">
        <v>2522</v>
      </c>
      <c r="M1524" s="11" t="str">
        <f>VLOOKUP(N1524,'Mã NV'!$A$3:$B$196,2,0)</f>
        <v>TE53</v>
      </c>
      <c r="N1524" s="297" t="s">
        <v>2622</v>
      </c>
      <c r="O1524" s="381">
        <v>44197</v>
      </c>
      <c r="P1524" s="371"/>
      <c r="Q1524" s="43"/>
      <c r="R1524" s="153"/>
    </row>
    <row r="1525" spans="1:18" ht="35.25" hidden="1" customHeight="1">
      <c r="A1525" s="15">
        <f t="shared" si="23"/>
        <v>1515</v>
      </c>
      <c r="B1525" s="161" t="s">
        <v>2166</v>
      </c>
      <c r="C1525" s="191" t="s">
        <v>620</v>
      </c>
      <c r="D1525" s="19"/>
      <c r="E1525" s="19"/>
      <c r="F1525" s="19"/>
      <c r="G1525" s="168" t="s">
        <v>2483</v>
      </c>
      <c r="H1525" s="141"/>
      <c r="I1525" s="202" t="s">
        <v>18</v>
      </c>
      <c r="J1525" s="202">
        <v>1</v>
      </c>
      <c r="K1525" s="142" t="s">
        <v>730</v>
      </c>
      <c r="L1525" s="168" t="s">
        <v>2522</v>
      </c>
      <c r="M1525" s="11" t="str">
        <f>VLOOKUP(N1525,'Mã NV'!$A$3:$B$196,2,0)</f>
        <v>TE93</v>
      </c>
      <c r="N1525" s="297" t="s">
        <v>2623</v>
      </c>
      <c r="O1525" s="381">
        <v>44197</v>
      </c>
      <c r="P1525" s="371"/>
      <c r="Q1525" s="43"/>
      <c r="R1525" s="153"/>
    </row>
    <row r="1526" spans="1:18" ht="35.25" hidden="1" customHeight="1">
      <c r="A1526" s="15">
        <f t="shared" si="23"/>
        <v>1516</v>
      </c>
      <c r="B1526" s="161" t="s">
        <v>2167</v>
      </c>
      <c r="C1526" s="191" t="s">
        <v>1339</v>
      </c>
      <c r="D1526" s="19"/>
      <c r="E1526" s="19"/>
      <c r="F1526" s="19"/>
      <c r="G1526" s="168" t="s">
        <v>2484</v>
      </c>
      <c r="H1526" s="141"/>
      <c r="I1526" s="202" t="s">
        <v>18</v>
      </c>
      <c r="J1526" s="202">
        <v>1</v>
      </c>
      <c r="K1526" s="142" t="s">
        <v>730</v>
      </c>
      <c r="L1526" s="168" t="s">
        <v>2522</v>
      </c>
      <c r="M1526" s="11" t="str">
        <f>VLOOKUP(N1526,'Mã NV'!$A$3:$B$196,2,0)</f>
        <v>TE93</v>
      </c>
      <c r="N1526" s="297" t="s">
        <v>2623</v>
      </c>
      <c r="O1526" s="381">
        <v>44197</v>
      </c>
      <c r="P1526" s="371"/>
      <c r="Q1526" s="43"/>
      <c r="R1526" s="153"/>
    </row>
    <row r="1527" spans="1:18" ht="35.25" hidden="1" customHeight="1">
      <c r="A1527" s="15">
        <f t="shared" si="23"/>
        <v>1517</v>
      </c>
      <c r="B1527" s="161" t="s">
        <v>2168</v>
      </c>
      <c r="C1527" s="191" t="s">
        <v>1537</v>
      </c>
      <c r="D1527" s="19"/>
      <c r="E1527" s="19"/>
      <c r="F1527" s="19"/>
      <c r="G1527" s="168" t="s">
        <v>2485</v>
      </c>
      <c r="H1527" s="141"/>
      <c r="I1527" s="202" t="s">
        <v>18</v>
      </c>
      <c r="J1527" s="202">
        <v>1</v>
      </c>
      <c r="K1527" s="142" t="s">
        <v>730</v>
      </c>
      <c r="L1527" s="168" t="s">
        <v>2522</v>
      </c>
      <c r="M1527" s="11" t="str">
        <f>VLOOKUP(N1527,'Mã NV'!$A$3:$B$196,2,0)</f>
        <v>TE93</v>
      </c>
      <c r="N1527" s="297" t="s">
        <v>2623</v>
      </c>
      <c r="O1527" s="381">
        <v>44197</v>
      </c>
      <c r="P1527" s="371"/>
      <c r="Q1527" s="43"/>
      <c r="R1527" s="153"/>
    </row>
    <row r="1528" spans="1:18" ht="35.25" hidden="1" customHeight="1">
      <c r="A1528" s="15">
        <f t="shared" si="23"/>
        <v>1518</v>
      </c>
      <c r="B1528" s="161" t="s">
        <v>2169</v>
      </c>
      <c r="C1528" s="191" t="s">
        <v>601</v>
      </c>
      <c r="D1528" s="19"/>
      <c r="E1528" s="19"/>
      <c r="F1528" s="19"/>
      <c r="G1528" s="168"/>
      <c r="H1528" s="141"/>
      <c r="I1528" s="202" t="s">
        <v>18</v>
      </c>
      <c r="J1528" s="202">
        <v>1</v>
      </c>
      <c r="K1528" s="142" t="s">
        <v>730</v>
      </c>
      <c r="L1528" s="168" t="s">
        <v>2522</v>
      </c>
      <c r="M1528" s="11" t="str">
        <f>VLOOKUP(N1528,'Mã NV'!$A$3:$B$196,2,0)</f>
        <v>TE93</v>
      </c>
      <c r="N1528" s="297" t="s">
        <v>2623</v>
      </c>
      <c r="O1528" s="381">
        <v>44197</v>
      </c>
      <c r="P1528" s="371"/>
      <c r="Q1528" s="43"/>
      <c r="R1528" s="153"/>
    </row>
    <row r="1529" spans="1:18" ht="35.25" hidden="1" customHeight="1">
      <c r="A1529" s="15">
        <f t="shared" si="23"/>
        <v>1519</v>
      </c>
      <c r="B1529" s="144" t="s">
        <v>2170</v>
      </c>
      <c r="C1529" s="191" t="s">
        <v>2171</v>
      </c>
      <c r="D1529" s="19"/>
      <c r="E1529" s="19"/>
      <c r="F1529" s="19"/>
      <c r="G1529" s="142"/>
      <c r="H1529" s="141"/>
      <c r="I1529" s="202" t="s">
        <v>18</v>
      </c>
      <c r="J1529" s="202">
        <v>1</v>
      </c>
      <c r="K1529" s="142" t="s">
        <v>730</v>
      </c>
      <c r="L1529" s="168" t="s">
        <v>2522</v>
      </c>
      <c r="M1529" s="11" t="str">
        <f>VLOOKUP(N1529,'Mã NV'!$A$3:$B$196,2,0)</f>
        <v>TE93</v>
      </c>
      <c r="N1529" s="297" t="s">
        <v>2623</v>
      </c>
      <c r="O1529" s="381">
        <v>44197</v>
      </c>
      <c r="P1529" s="371"/>
      <c r="Q1529" s="43"/>
      <c r="R1529" s="153"/>
    </row>
    <row r="1530" spans="1:18" ht="35.25" hidden="1" customHeight="1">
      <c r="A1530" s="15">
        <f t="shared" si="23"/>
        <v>1520</v>
      </c>
      <c r="B1530" s="144" t="s">
        <v>2172</v>
      </c>
      <c r="C1530" s="191" t="s">
        <v>620</v>
      </c>
      <c r="D1530" s="19"/>
      <c r="E1530" s="19"/>
      <c r="F1530" s="19"/>
      <c r="G1530" s="142" t="s">
        <v>2486</v>
      </c>
      <c r="H1530" s="141"/>
      <c r="I1530" s="202" t="s">
        <v>18</v>
      </c>
      <c r="J1530" s="202">
        <v>1</v>
      </c>
      <c r="K1530" s="142" t="s">
        <v>730</v>
      </c>
      <c r="L1530" s="168" t="s">
        <v>2522</v>
      </c>
      <c r="M1530" s="11" t="str">
        <f>VLOOKUP(N1530,'Mã NV'!$A$3:$B$196,2,0)</f>
        <v>TE70</v>
      </c>
      <c r="N1530" s="297" t="s">
        <v>2624</v>
      </c>
      <c r="O1530" s="381">
        <v>44197</v>
      </c>
      <c r="P1530" s="371"/>
      <c r="Q1530" s="43"/>
      <c r="R1530" s="153"/>
    </row>
    <row r="1531" spans="1:18" ht="35.25" hidden="1" customHeight="1">
      <c r="A1531" s="15">
        <f t="shared" si="23"/>
        <v>1521</v>
      </c>
      <c r="B1531" s="144" t="s">
        <v>2173</v>
      </c>
      <c r="C1531" s="191" t="s">
        <v>1339</v>
      </c>
      <c r="D1531" s="19"/>
      <c r="E1531" s="19"/>
      <c r="F1531" s="19"/>
      <c r="G1531" s="142"/>
      <c r="H1531" s="141"/>
      <c r="I1531" s="202" t="s">
        <v>18</v>
      </c>
      <c r="J1531" s="202">
        <v>1</v>
      </c>
      <c r="K1531" s="142" t="s">
        <v>730</v>
      </c>
      <c r="L1531" s="168" t="s">
        <v>2522</v>
      </c>
      <c r="M1531" s="11" t="str">
        <f>VLOOKUP(N1531,'Mã NV'!$A$3:$B$196,2,0)</f>
        <v>TE70</v>
      </c>
      <c r="N1531" s="297" t="s">
        <v>2624</v>
      </c>
      <c r="O1531" s="381">
        <v>44197</v>
      </c>
      <c r="P1531" s="371"/>
      <c r="Q1531" s="43"/>
      <c r="R1531" s="153"/>
    </row>
    <row r="1532" spans="1:18" ht="35.25" hidden="1" customHeight="1">
      <c r="A1532" s="15">
        <f t="shared" si="23"/>
        <v>1522</v>
      </c>
      <c r="B1532" s="144" t="s">
        <v>2174</v>
      </c>
      <c r="C1532" s="191" t="s">
        <v>601</v>
      </c>
      <c r="D1532" s="19"/>
      <c r="E1532" s="19"/>
      <c r="F1532" s="19"/>
      <c r="G1532" s="142"/>
      <c r="H1532" s="141"/>
      <c r="I1532" s="202" t="s">
        <v>18</v>
      </c>
      <c r="J1532" s="202"/>
      <c r="K1532" s="142" t="s">
        <v>730</v>
      </c>
      <c r="L1532" s="168" t="s">
        <v>2522</v>
      </c>
      <c r="M1532" s="11" t="str">
        <f>VLOOKUP(N1532,'Mã NV'!$A$3:$B$196,2,0)</f>
        <v>TE70</v>
      </c>
      <c r="N1532" s="297" t="s">
        <v>2624</v>
      </c>
      <c r="O1532" s="381">
        <v>44197</v>
      </c>
      <c r="P1532" s="371"/>
      <c r="Q1532" s="43"/>
      <c r="R1532" s="153"/>
    </row>
    <row r="1533" spans="1:18" ht="35.25" hidden="1" customHeight="1">
      <c r="A1533" s="15">
        <f t="shared" si="23"/>
        <v>1523</v>
      </c>
      <c r="B1533" s="144" t="s">
        <v>2175</v>
      </c>
      <c r="C1533" s="150" t="s">
        <v>633</v>
      </c>
      <c r="D1533" s="19"/>
      <c r="E1533" s="19"/>
      <c r="F1533" s="19"/>
      <c r="G1533" s="142" t="s">
        <v>2487</v>
      </c>
      <c r="H1533" s="141"/>
      <c r="I1533" s="202" t="s">
        <v>18</v>
      </c>
      <c r="J1533" s="153">
        <v>1</v>
      </c>
      <c r="K1533" s="142" t="s">
        <v>730</v>
      </c>
      <c r="L1533" s="168" t="s">
        <v>2522</v>
      </c>
      <c r="M1533" s="11" t="str">
        <f>VLOOKUP(N1533,'Mã NV'!$A$3:$B$196,2,0)</f>
        <v>TE58</v>
      </c>
      <c r="N1533" s="297" t="s">
        <v>2625</v>
      </c>
      <c r="O1533" s="381">
        <v>44197</v>
      </c>
      <c r="P1533" s="371"/>
      <c r="Q1533" s="43"/>
      <c r="R1533" s="153"/>
    </row>
    <row r="1534" spans="1:18" ht="35.25" hidden="1" customHeight="1">
      <c r="A1534" s="15">
        <f t="shared" si="23"/>
        <v>1524</v>
      </c>
      <c r="B1534" s="144" t="s">
        <v>2176</v>
      </c>
      <c r="C1534" s="150" t="s">
        <v>1339</v>
      </c>
      <c r="D1534" s="19"/>
      <c r="E1534" s="19"/>
      <c r="F1534" s="19"/>
      <c r="G1534" s="142" t="s">
        <v>2488</v>
      </c>
      <c r="H1534" s="141"/>
      <c r="I1534" s="202" t="s">
        <v>18</v>
      </c>
      <c r="J1534" s="153">
        <v>1</v>
      </c>
      <c r="K1534" s="142" t="s">
        <v>730</v>
      </c>
      <c r="L1534" s="168" t="s">
        <v>2522</v>
      </c>
      <c r="M1534" s="11" t="str">
        <f>VLOOKUP(N1534,'Mã NV'!$A$3:$B$196,2,0)</f>
        <v>TE58</v>
      </c>
      <c r="N1534" s="297" t="s">
        <v>2625</v>
      </c>
      <c r="O1534" s="381">
        <v>44197</v>
      </c>
      <c r="P1534" s="371"/>
      <c r="Q1534" s="43"/>
      <c r="R1534" s="153"/>
    </row>
    <row r="1535" spans="1:18" ht="35.25" hidden="1" customHeight="1">
      <c r="A1535" s="15">
        <f t="shared" si="23"/>
        <v>1525</v>
      </c>
      <c r="B1535" s="144" t="s">
        <v>2177</v>
      </c>
      <c r="C1535" s="191" t="s">
        <v>612</v>
      </c>
      <c r="D1535" s="19"/>
      <c r="E1535" s="19"/>
      <c r="F1535" s="19"/>
      <c r="G1535" s="183" t="s">
        <v>2489</v>
      </c>
      <c r="H1535" s="141"/>
      <c r="I1535" s="202" t="s">
        <v>18</v>
      </c>
      <c r="J1535" s="153">
        <v>1</v>
      </c>
      <c r="K1535" s="142" t="s">
        <v>730</v>
      </c>
      <c r="L1535" s="168" t="s">
        <v>2522</v>
      </c>
      <c r="M1535" s="11" t="str">
        <f>VLOOKUP(N1535,'Mã NV'!$A$3:$B$196,2,0)</f>
        <v>TE58</v>
      </c>
      <c r="N1535" s="297" t="s">
        <v>2625</v>
      </c>
      <c r="O1535" s="381">
        <v>44197</v>
      </c>
      <c r="P1535" s="371"/>
      <c r="Q1535" s="43"/>
      <c r="R1535" s="153"/>
    </row>
    <row r="1536" spans="1:18" ht="35.25" hidden="1" customHeight="1">
      <c r="A1536" s="15">
        <f t="shared" si="23"/>
        <v>1526</v>
      </c>
      <c r="B1536" s="144" t="s">
        <v>2178</v>
      </c>
      <c r="C1536" s="191" t="s">
        <v>2171</v>
      </c>
      <c r="D1536" s="19"/>
      <c r="E1536" s="19"/>
      <c r="F1536" s="19"/>
      <c r="G1536" s="183"/>
      <c r="H1536" s="141"/>
      <c r="I1536" s="202" t="s">
        <v>18</v>
      </c>
      <c r="J1536" s="205">
        <v>1</v>
      </c>
      <c r="K1536" s="142" t="s">
        <v>730</v>
      </c>
      <c r="L1536" s="168" t="s">
        <v>2522</v>
      </c>
      <c r="M1536" s="11" t="str">
        <f>VLOOKUP(N1536,'Mã NV'!$A$3:$B$196,2,0)</f>
        <v>TE58</v>
      </c>
      <c r="N1536" s="297" t="s">
        <v>2625</v>
      </c>
      <c r="O1536" s="381">
        <v>44197</v>
      </c>
      <c r="P1536" s="371"/>
      <c r="Q1536" s="43"/>
      <c r="R1536" s="153"/>
    </row>
    <row r="1537" spans="1:18" ht="35.25" hidden="1" customHeight="1">
      <c r="A1537" s="15">
        <f t="shared" si="23"/>
        <v>1527</v>
      </c>
      <c r="B1537" s="144" t="s">
        <v>2179</v>
      </c>
      <c r="C1537" s="191" t="s">
        <v>601</v>
      </c>
      <c r="D1537" s="19"/>
      <c r="E1537" s="19"/>
      <c r="F1537" s="19"/>
      <c r="G1537" s="183"/>
      <c r="H1537" s="141"/>
      <c r="I1537" s="202" t="s">
        <v>18</v>
      </c>
      <c r="J1537" s="205">
        <v>1</v>
      </c>
      <c r="K1537" s="142" t="s">
        <v>730</v>
      </c>
      <c r="L1537" s="168" t="s">
        <v>2522</v>
      </c>
      <c r="M1537" s="11" t="str">
        <f>VLOOKUP(N1537,'Mã NV'!$A$3:$B$196,2,0)</f>
        <v>TE58</v>
      </c>
      <c r="N1537" s="297" t="s">
        <v>2625</v>
      </c>
      <c r="O1537" s="381">
        <v>44197</v>
      </c>
      <c r="P1537" s="371"/>
      <c r="Q1537" s="43"/>
      <c r="R1537" s="153"/>
    </row>
    <row r="1538" spans="1:18" ht="35.25" hidden="1" customHeight="1">
      <c r="A1538" s="15">
        <f t="shared" si="23"/>
        <v>1528</v>
      </c>
      <c r="B1538" s="161" t="s">
        <v>2180</v>
      </c>
      <c r="C1538" s="191" t="s">
        <v>2181</v>
      </c>
      <c r="D1538" s="19"/>
      <c r="E1538" s="19"/>
      <c r="F1538" s="19"/>
      <c r="G1538" s="202" t="s">
        <v>2490</v>
      </c>
      <c r="H1538" s="141"/>
      <c r="I1538" s="202" t="s">
        <v>18</v>
      </c>
      <c r="J1538" s="202">
        <v>1</v>
      </c>
      <c r="K1538" s="142" t="s">
        <v>730</v>
      </c>
      <c r="L1538" s="168" t="s">
        <v>2522</v>
      </c>
      <c r="M1538" s="11" t="str">
        <f>VLOOKUP(N1538,'Mã NV'!$A$3:$B$196,2,0)</f>
        <v>TE06</v>
      </c>
      <c r="N1538" s="297" t="s">
        <v>2626</v>
      </c>
      <c r="O1538" s="381">
        <v>44197</v>
      </c>
      <c r="P1538" s="371"/>
      <c r="Q1538" s="43"/>
      <c r="R1538" s="153"/>
    </row>
    <row r="1539" spans="1:18" ht="35.25" hidden="1" customHeight="1">
      <c r="A1539" s="15">
        <f t="shared" si="23"/>
        <v>1529</v>
      </c>
      <c r="B1539" s="161" t="s">
        <v>2182</v>
      </c>
      <c r="C1539" s="191" t="s">
        <v>2183</v>
      </c>
      <c r="D1539" s="19"/>
      <c r="E1539" s="19"/>
      <c r="F1539" s="19"/>
      <c r="G1539" s="202" t="s">
        <v>2491</v>
      </c>
      <c r="H1539" s="141"/>
      <c r="I1539" s="202" t="s">
        <v>18</v>
      </c>
      <c r="J1539" s="202">
        <v>1</v>
      </c>
      <c r="K1539" s="142" t="s">
        <v>730</v>
      </c>
      <c r="L1539" s="168" t="s">
        <v>2522</v>
      </c>
      <c r="M1539" s="11" t="str">
        <f>VLOOKUP(N1539,'Mã NV'!$A$3:$B$196,2,0)</f>
        <v>TE06</v>
      </c>
      <c r="N1539" s="316" t="s">
        <v>2626</v>
      </c>
      <c r="O1539" s="381">
        <v>44197</v>
      </c>
      <c r="P1539" s="371"/>
      <c r="Q1539" s="43"/>
      <c r="R1539" s="153"/>
    </row>
    <row r="1540" spans="1:18" ht="35.25" hidden="1" customHeight="1">
      <c r="A1540" s="15">
        <f t="shared" si="23"/>
        <v>1530</v>
      </c>
      <c r="B1540" s="161" t="s">
        <v>2184</v>
      </c>
      <c r="C1540" s="191" t="s">
        <v>2185</v>
      </c>
      <c r="D1540" s="19"/>
      <c r="E1540" s="19"/>
      <c r="F1540" s="19"/>
      <c r="G1540" s="202" t="s">
        <v>385</v>
      </c>
      <c r="H1540" s="141"/>
      <c r="I1540" s="202" t="s">
        <v>18</v>
      </c>
      <c r="J1540" s="202">
        <v>1</v>
      </c>
      <c r="K1540" s="142" t="s">
        <v>730</v>
      </c>
      <c r="L1540" s="168" t="s">
        <v>2522</v>
      </c>
      <c r="M1540" s="11" t="str">
        <f>VLOOKUP(N1540,'Mã NV'!$A$3:$B$196,2,0)</f>
        <v>TE06</v>
      </c>
      <c r="N1540" s="316" t="s">
        <v>2626</v>
      </c>
      <c r="O1540" s="381">
        <v>44197</v>
      </c>
      <c r="P1540" s="371"/>
      <c r="Q1540" s="43"/>
      <c r="R1540" s="153"/>
    </row>
    <row r="1541" spans="1:18" ht="35.25" hidden="1" customHeight="1">
      <c r="A1541" s="15">
        <f t="shared" si="23"/>
        <v>1531</v>
      </c>
      <c r="B1541" s="161" t="s">
        <v>2186</v>
      </c>
      <c r="C1541" s="172">
        <v>966549269</v>
      </c>
      <c r="D1541" s="19"/>
      <c r="E1541" s="19"/>
      <c r="F1541" s="19"/>
      <c r="G1541" s="202"/>
      <c r="H1541" s="141"/>
      <c r="I1541" s="202" t="s">
        <v>18</v>
      </c>
      <c r="J1541" s="202">
        <v>1</v>
      </c>
      <c r="K1541" s="142" t="s">
        <v>730</v>
      </c>
      <c r="L1541" s="168" t="s">
        <v>2522</v>
      </c>
      <c r="M1541" s="11" t="str">
        <f>VLOOKUP(N1541,'Mã NV'!$A$3:$B$196,2,0)</f>
        <v>TE06</v>
      </c>
      <c r="N1541" s="316" t="s">
        <v>2626</v>
      </c>
      <c r="O1541" s="381">
        <v>44197</v>
      </c>
      <c r="P1541" s="371"/>
      <c r="Q1541" s="43"/>
      <c r="R1541" s="153"/>
    </row>
    <row r="1542" spans="1:18" ht="35.25" hidden="1" customHeight="1">
      <c r="A1542" s="15">
        <f t="shared" si="23"/>
        <v>1532</v>
      </c>
      <c r="B1542" s="156" t="s">
        <v>2187</v>
      </c>
      <c r="C1542" s="189" t="s">
        <v>620</v>
      </c>
      <c r="D1542" s="19"/>
      <c r="E1542" s="19"/>
      <c r="F1542" s="19"/>
      <c r="G1542" s="145" t="s">
        <v>2486</v>
      </c>
      <c r="H1542" s="141"/>
      <c r="I1542" s="186" t="s">
        <v>18</v>
      </c>
      <c r="J1542" s="186">
        <v>1</v>
      </c>
      <c r="K1542" s="142" t="s">
        <v>730</v>
      </c>
      <c r="L1542" s="181" t="s">
        <v>2522</v>
      </c>
      <c r="M1542" s="11" t="str">
        <f>VLOOKUP(N1542,'Mã NV'!$A$3:$B$196,2,0)</f>
        <v>TE04</v>
      </c>
      <c r="N1542" s="303" t="s">
        <v>2627</v>
      </c>
      <c r="O1542" s="381">
        <v>44197</v>
      </c>
      <c r="P1542" s="371"/>
      <c r="Q1542" s="43"/>
      <c r="R1542" s="158"/>
    </row>
    <row r="1543" spans="1:18" ht="35.25" hidden="1" customHeight="1">
      <c r="A1543" s="15">
        <f t="shared" si="23"/>
        <v>1533</v>
      </c>
      <c r="B1543" s="156" t="s">
        <v>2188</v>
      </c>
      <c r="C1543" s="189" t="s">
        <v>1339</v>
      </c>
      <c r="D1543" s="19"/>
      <c r="E1543" s="19"/>
      <c r="F1543" s="19"/>
      <c r="G1543" s="145"/>
      <c r="H1543" s="141"/>
      <c r="I1543" s="186" t="s">
        <v>18</v>
      </c>
      <c r="J1543" s="186">
        <v>1</v>
      </c>
      <c r="K1543" s="142" t="s">
        <v>730</v>
      </c>
      <c r="L1543" s="181" t="s">
        <v>2522</v>
      </c>
      <c r="M1543" s="11" t="str">
        <f>VLOOKUP(N1543,'Mã NV'!$A$3:$B$196,2,0)</f>
        <v>TE04</v>
      </c>
      <c r="N1543" s="303" t="s">
        <v>2627</v>
      </c>
      <c r="O1543" s="381">
        <v>44197</v>
      </c>
      <c r="P1543" s="371"/>
      <c r="Q1543" s="43"/>
      <c r="R1543" s="158"/>
    </row>
    <row r="1544" spans="1:18" ht="35.25" hidden="1" customHeight="1">
      <c r="A1544" s="15">
        <f t="shared" si="23"/>
        <v>1534</v>
      </c>
      <c r="B1544" s="156" t="s">
        <v>2189</v>
      </c>
      <c r="C1544" s="189" t="s">
        <v>698</v>
      </c>
      <c r="D1544" s="19"/>
      <c r="E1544" s="19"/>
      <c r="F1544" s="19"/>
      <c r="G1544" s="145"/>
      <c r="H1544" s="141"/>
      <c r="I1544" s="186" t="s">
        <v>18</v>
      </c>
      <c r="J1544" s="186">
        <v>1</v>
      </c>
      <c r="K1544" s="142" t="s">
        <v>730</v>
      </c>
      <c r="L1544" s="181" t="s">
        <v>2522</v>
      </c>
      <c r="M1544" s="11" t="str">
        <f>VLOOKUP(N1544,'Mã NV'!$A$3:$B$196,2,0)</f>
        <v>TE04</v>
      </c>
      <c r="N1544" s="303" t="s">
        <v>2627</v>
      </c>
      <c r="O1544" s="380">
        <f>VLOOKUP(B1544,'Tổng hợp (3)'!$C$4:$E$985,3,0)</f>
        <v>44798</v>
      </c>
      <c r="P1544" s="378"/>
      <c r="Q1544" s="43"/>
      <c r="R1544" s="158"/>
    </row>
    <row r="1545" spans="1:18" ht="35.25" hidden="1" customHeight="1">
      <c r="A1545" s="15">
        <f t="shared" si="23"/>
        <v>1535</v>
      </c>
      <c r="B1545" s="156" t="s">
        <v>2190</v>
      </c>
      <c r="C1545" s="189" t="s">
        <v>2191</v>
      </c>
      <c r="D1545" s="19"/>
      <c r="E1545" s="19"/>
      <c r="F1545" s="19"/>
      <c r="G1545" s="145">
        <v>969625798</v>
      </c>
      <c r="H1545" s="141"/>
      <c r="I1545" s="186" t="s">
        <v>18</v>
      </c>
      <c r="J1545" s="186">
        <v>1</v>
      </c>
      <c r="K1545" s="142" t="s">
        <v>730</v>
      </c>
      <c r="L1545" s="181" t="s">
        <v>2522</v>
      </c>
      <c r="M1545" s="11" t="str">
        <f>VLOOKUP(N1545,'Mã NV'!$A$3:$B$196,2,0)</f>
        <v>TE04</v>
      </c>
      <c r="N1545" s="303" t="s">
        <v>2627</v>
      </c>
      <c r="O1545" s="381">
        <v>44197</v>
      </c>
      <c r="P1545" s="371"/>
      <c r="Q1545" s="43"/>
      <c r="R1545" s="158"/>
    </row>
    <row r="1546" spans="1:18" ht="35.25" hidden="1" customHeight="1">
      <c r="A1546" s="15">
        <f t="shared" si="23"/>
        <v>1536</v>
      </c>
      <c r="B1546" s="156" t="s">
        <v>2192</v>
      </c>
      <c r="C1546" s="169" t="s">
        <v>620</v>
      </c>
      <c r="D1546" s="19"/>
      <c r="E1546" s="19"/>
      <c r="F1546" s="19"/>
      <c r="G1546" s="145" t="s">
        <v>2465</v>
      </c>
      <c r="H1546" s="141"/>
      <c r="I1546" s="186" t="s">
        <v>18</v>
      </c>
      <c r="J1546" s="158">
        <v>1</v>
      </c>
      <c r="K1546" s="142" t="s">
        <v>730</v>
      </c>
      <c r="L1546" s="181" t="s">
        <v>2522</v>
      </c>
      <c r="M1546" s="11" t="str">
        <f>VLOOKUP(N1546,'Mã NV'!$A$3:$B$196,2,0)</f>
        <v>TE60</v>
      </c>
      <c r="N1546" s="303" t="s">
        <v>2628</v>
      </c>
      <c r="O1546" s="381">
        <v>44197</v>
      </c>
      <c r="P1546" s="371"/>
      <c r="Q1546" s="43"/>
      <c r="R1546" s="158"/>
    </row>
    <row r="1547" spans="1:18" ht="35.25" hidden="1" customHeight="1">
      <c r="A1547" s="15">
        <f t="shared" si="23"/>
        <v>1537</v>
      </c>
      <c r="B1547" s="156" t="s">
        <v>2193</v>
      </c>
      <c r="C1547" s="169" t="s">
        <v>1339</v>
      </c>
      <c r="D1547" s="19"/>
      <c r="E1547" s="19"/>
      <c r="F1547" s="19"/>
      <c r="G1547" s="145" t="s">
        <v>2466</v>
      </c>
      <c r="H1547" s="141"/>
      <c r="I1547" s="186" t="s">
        <v>18</v>
      </c>
      <c r="J1547" s="158">
        <v>1</v>
      </c>
      <c r="K1547" s="142" t="s">
        <v>730</v>
      </c>
      <c r="L1547" s="181" t="s">
        <v>2522</v>
      </c>
      <c r="M1547" s="11" t="str">
        <f>VLOOKUP(N1547,'Mã NV'!$A$3:$B$196,2,0)</f>
        <v>TE60</v>
      </c>
      <c r="N1547" s="303" t="s">
        <v>2628</v>
      </c>
      <c r="O1547" s="381">
        <v>44197</v>
      </c>
      <c r="P1547" s="371"/>
      <c r="Q1547" s="43"/>
      <c r="R1547" s="158"/>
    </row>
    <row r="1548" spans="1:18" ht="35.25" hidden="1" customHeight="1">
      <c r="A1548" s="15">
        <f t="shared" si="23"/>
        <v>1538</v>
      </c>
      <c r="B1548" s="156" t="s">
        <v>2194</v>
      </c>
      <c r="C1548" s="169" t="s">
        <v>620</v>
      </c>
      <c r="D1548" s="19"/>
      <c r="E1548" s="19"/>
      <c r="F1548" s="19"/>
      <c r="G1548" s="145"/>
      <c r="H1548" s="141"/>
      <c r="I1548" s="186" t="s">
        <v>18</v>
      </c>
      <c r="J1548" s="158">
        <v>1</v>
      </c>
      <c r="K1548" s="142" t="s">
        <v>730</v>
      </c>
      <c r="L1548" s="181" t="s">
        <v>2522</v>
      </c>
      <c r="M1548" s="11" t="str">
        <f>VLOOKUP(N1548,'Mã NV'!$A$3:$B$196,2,0)</f>
        <v>TE105</v>
      </c>
      <c r="N1548" s="303" t="s">
        <v>2629</v>
      </c>
      <c r="O1548" s="381">
        <v>44197</v>
      </c>
      <c r="P1548" s="371"/>
      <c r="Q1548" s="43"/>
      <c r="R1548" s="158"/>
    </row>
    <row r="1549" spans="1:18" ht="35.25" hidden="1" customHeight="1">
      <c r="A1549" s="15">
        <f t="shared" si="23"/>
        <v>1539</v>
      </c>
      <c r="B1549" s="156" t="s">
        <v>2195</v>
      </c>
      <c r="C1549" s="169" t="s">
        <v>120</v>
      </c>
      <c r="D1549" s="19"/>
      <c r="E1549" s="19"/>
      <c r="F1549" s="19"/>
      <c r="G1549" s="145"/>
      <c r="H1549" s="141"/>
      <c r="I1549" s="186" t="s">
        <v>18</v>
      </c>
      <c r="J1549" s="158">
        <v>1</v>
      </c>
      <c r="K1549" s="142" t="s">
        <v>730</v>
      </c>
      <c r="L1549" s="181" t="s">
        <v>2522</v>
      </c>
      <c r="M1549" s="11" t="str">
        <f>VLOOKUP(N1549,'Mã NV'!$A$3:$B$196,2,0)</f>
        <v>TE105</v>
      </c>
      <c r="N1549" s="303" t="s">
        <v>2629</v>
      </c>
      <c r="O1549" s="381">
        <v>44197</v>
      </c>
      <c r="P1549" s="371"/>
      <c r="Q1549" s="43"/>
      <c r="R1549" s="158"/>
    </row>
    <row r="1550" spans="1:18" ht="35.25" hidden="1" customHeight="1">
      <c r="A1550" s="15">
        <f t="shared" si="23"/>
        <v>1540</v>
      </c>
      <c r="B1550" s="19" t="s">
        <v>2196</v>
      </c>
      <c r="C1550" s="150" t="s">
        <v>2045</v>
      </c>
      <c r="D1550" s="19"/>
      <c r="E1550" s="19"/>
      <c r="F1550" s="19"/>
      <c r="G1550" s="176"/>
      <c r="H1550" s="141"/>
      <c r="I1550" s="202" t="s">
        <v>18</v>
      </c>
      <c r="J1550" s="202">
        <v>1</v>
      </c>
      <c r="K1550" s="142" t="s">
        <v>730</v>
      </c>
      <c r="L1550" s="168" t="s">
        <v>2522</v>
      </c>
      <c r="M1550" s="11" t="str">
        <f>VLOOKUP(N1550,'Mã NV'!$A$3:$B$196,2,0)</f>
        <v>TE114</v>
      </c>
      <c r="N1550" s="310" t="s">
        <v>2630</v>
      </c>
      <c r="O1550" s="380">
        <f>VLOOKUP(B1550,'Tổng hợp (3)'!$C$4:$E$985,3,0)</f>
        <v>44917</v>
      </c>
      <c r="P1550" s="378"/>
      <c r="Q1550" s="43"/>
      <c r="R1550" s="176"/>
    </row>
    <row r="1551" spans="1:18" ht="35.25" hidden="1" customHeight="1">
      <c r="A1551" s="15">
        <f t="shared" si="23"/>
        <v>1541</v>
      </c>
      <c r="B1551" s="19" t="s">
        <v>2197</v>
      </c>
      <c r="C1551" s="150" t="s">
        <v>2047</v>
      </c>
      <c r="D1551" s="19"/>
      <c r="E1551" s="19"/>
      <c r="F1551" s="19"/>
      <c r="G1551" s="176"/>
      <c r="H1551" s="141"/>
      <c r="I1551" s="202" t="s">
        <v>18</v>
      </c>
      <c r="J1551" s="202">
        <v>1</v>
      </c>
      <c r="K1551" s="142" t="s">
        <v>730</v>
      </c>
      <c r="L1551" s="168" t="s">
        <v>2522</v>
      </c>
      <c r="M1551" s="11" t="str">
        <f>VLOOKUP(N1551,'Mã NV'!$A$3:$B$196,2,0)</f>
        <v>TE114</v>
      </c>
      <c r="N1551" s="310" t="s">
        <v>2630</v>
      </c>
      <c r="O1551" s="380">
        <f>VLOOKUP(B1551,'Tổng hợp (3)'!$C$4:$E$985,3,0)</f>
        <v>44917</v>
      </c>
      <c r="P1551" s="378"/>
      <c r="Q1551" s="43"/>
      <c r="R1551" s="176"/>
    </row>
    <row r="1552" spans="1:18" ht="35.25" hidden="1" customHeight="1">
      <c r="A1552" s="15">
        <f t="shared" si="23"/>
        <v>1542</v>
      </c>
      <c r="B1552" s="19" t="s">
        <v>2198</v>
      </c>
      <c r="C1552" s="150" t="s">
        <v>2199</v>
      </c>
      <c r="D1552" s="19"/>
      <c r="E1552" s="19"/>
      <c r="F1552" s="19"/>
      <c r="G1552" s="176"/>
      <c r="H1552" s="141"/>
      <c r="I1552" s="202" t="s">
        <v>18</v>
      </c>
      <c r="J1552" s="202">
        <v>1</v>
      </c>
      <c r="K1552" s="142" t="s">
        <v>730</v>
      </c>
      <c r="L1552" s="168" t="s">
        <v>2522</v>
      </c>
      <c r="M1552" s="11" t="str">
        <f>VLOOKUP(N1552,'Mã NV'!$A$3:$B$196,2,0)</f>
        <v>IN55</v>
      </c>
      <c r="N1552" s="310" t="s">
        <v>2631</v>
      </c>
      <c r="O1552" s="382" t="s">
        <v>4267</v>
      </c>
      <c r="P1552" s="371"/>
      <c r="Q1552" s="43"/>
      <c r="R1552" s="176"/>
    </row>
    <row r="1553" spans="1:18" ht="35.25" hidden="1" customHeight="1">
      <c r="A1553" s="15">
        <f t="shared" si="23"/>
        <v>1543</v>
      </c>
      <c r="B1553" s="19" t="s">
        <v>2200</v>
      </c>
      <c r="C1553" s="150" t="s">
        <v>2201</v>
      </c>
      <c r="D1553" s="19"/>
      <c r="E1553" s="19"/>
      <c r="F1553" s="19"/>
      <c r="G1553" s="176"/>
      <c r="H1553" s="141"/>
      <c r="I1553" s="202" t="s">
        <v>18</v>
      </c>
      <c r="J1553" s="202">
        <v>1</v>
      </c>
      <c r="K1553" s="142" t="s">
        <v>730</v>
      </c>
      <c r="L1553" s="168" t="s">
        <v>2522</v>
      </c>
      <c r="M1553" s="11" t="str">
        <f>VLOOKUP(N1553,'Mã NV'!$A$3:$B$196,2,0)</f>
        <v>IN55</v>
      </c>
      <c r="N1553" s="310" t="s">
        <v>2631</v>
      </c>
      <c r="O1553" s="382" t="s">
        <v>4267</v>
      </c>
      <c r="P1553" s="371"/>
      <c r="Q1553" s="43"/>
      <c r="R1553" s="176"/>
    </row>
    <row r="1554" spans="1:18" ht="35.25" hidden="1" customHeight="1">
      <c r="A1554" s="15">
        <f t="shared" ref="A1554:A1617" si="24">A1553+1</f>
        <v>1544</v>
      </c>
      <c r="B1554" s="19" t="s">
        <v>2202</v>
      </c>
      <c r="C1554" s="150" t="s">
        <v>858</v>
      </c>
      <c r="D1554" s="19"/>
      <c r="E1554" s="19"/>
      <c r="F1554" s="19"/>
      <c r="G1554" s="176"/>
      <c r="H1554" s="141"/>
      <c r="I1554" s="202" t="s">
        <v>18</v>
      </c>
      <c r="J1554" s="202">
        <v>1</v>
      </c>
      <c r="K1554" s="142" t="s">
        <v>730</v>
      </c>
      <c r="L1554" s="168" t="s">
        <v>2522</v>
      </c>
      <c r="M1554" s="11" t="str">
        <f>VLOOKUP(N1554,'Mã NV'!$A$3:$B$196,2,0)</f>
        <v>IN55</v>
      </c>
      <c r="N1554" s="310" t="s">
        <v>2631</v>
      </c>
      <c r="O1554" s="382" t="s">
        <v>4267</v>
      </c>
      <c r="P1554" s="371"/>
      <c r="Q1554" s="43"/>
      <c r="R1554" s="176"/>
    </row>
    <row r="1555" spans="1:18" ht="35.25" hidden="1" customHeight="1">
      <c r="A1555" s="15">
        <f t="shared" si="24"/>
        <v>1545</v>
      </c>
      <c r="B1555" s="19" t="s">
        <v>2203</v>
      </c>
      <c r="C1555" s="150" t="s">
        <v>2204</v>
      </c>
      <c r="D1555" s="19"/>
      <c r="E1555" s="19"/>
      <c r="F1555" s="19"/>
      <c r="G1555" s="176"/>
      <c r="H1555" s="141"/>
      <c r="I1555" s="202" t="s">
        <v>18</v>
      </c>
      <c r="J1555" s="202">
        <v>1</v>
      </c>
      <c r="K1555" s="142" t="s">
        <v>730</v>
      </c>
      <c r="L1555" s="168" t="s">
        <v>2522</v>
      </c>
      <c r="M1555" s="11" t="str">
        <f>VLOOKUP(N1555,'Mã NV'!$A$3:$B$196,2,0)</f>
        <v>TE85</v>
      </c>
      <c r="N1555" s="310" t="s">
        <v>2632</v>
      </c>
      <c r="O1555" s="382" t="s">
        <v>4267</v>
      </c>
      <c r="P1555" s="371"/>
      <c r="Q1555" s="43"/>
      <c r="R1555" s="176"/>
    </row>
    <row r="1556" spans="1:18" ht="35.25" hidden="1" customHeight="1">
      <c r="A1556" s="15">
        <f t="shared" si="24"/>
        <v>1546</v>
      </c>
      <c r="B1556" s="19" t="s">
        <v>2205</v>
      </c>
      <c r="C1556" s="150" t="s">
        <v>2206</v>
      </c>
      <c r="D1556" s="19"/>
      <c r="E1556" s="19"/>
      <c r="F1556" s="19"/>
      <c r="G1556" s="176"/>
      <c r="H1556" s="141"/>
      <c r="I1556" s="202" t="s">
        <v>181</v>
      </c>
      <c r="J1556" s="202">
        <v>1</v>
      </c>
      <c r="K1556" s="142" t="s">
        <v>730</v>
      </c>
      <c r="L1556" s="168" t="s">
        <v>2522</v>
      </c>
      <c r="M1556" s="11" t="str">
        <f>VLOOKUP(N1556,'Mã NV'!$A$3:$B$196,2,0)</f>
        <v>TE85</v>
      </c>
      <c r="N1556" s="310" t="s">
        <v>2632</v>
      </c>
      <c r="O1556" s="382" t="s">
        <v>4267</v>
      </c>
      <c r="P1556" s="371"/>
      <c r="Q1556" s="43"/>
      <c r="R1556" s="176"/>
    </row>
    <row r="1557" spans="1:18" ht="35.25" hidden="1" customHeight="1">
      <c r="A1557" s="15">
        <f t="shared" si="24"/>
        <v>1547</v>
      </c>
      <c r="B1557" s="144" t="s">
        <v>2207</v>
      </c>
      <c r="C1557" s="150" t="s">
        <v>1786</v>
      </c>
      <c r="D1557" s="19"/>
      <c r="E1557" s="19"/>
      <c r="F1557" s="19"/>
      <c r="G1557" s="142" t="s">
        <v>2492</v>
      </c>
      <c r="H1557" s="141"/>
      <c r="I1557" s="202" t="s">
        <v>18</v>
      </c>
      <c r="J1557" s="153">
        <v>1</v>
      </c>
      <c r="K1557" s="142" t="s">
        <v>730</v>
      </c>
      <c r="L1557" s="168" t="s">
        <v>2522</v>
      </c>
      <c r="M1557" s="11" t="str">
        <f>VLOOKUP(N1557,'Mã NV'!$A$3:$B$196,2,0)</f>
        <v>TE77</v>
      </c>
      <c r="N1557" s="297" t="s">
        <v>2597</v>
      </c>
      <c r="O1557" s="381">
        <v>44197</v>
      </c>
      <c r="P1557" s="371"/>
      <c r="Q1557" s="43"/>
      <c r="R1557" s="142" t="s">
        <v>272</v>
      </c>
    </row>
    <row r="1558" spans="1:18" ht="35.25" hidden="1" customHeight="1">
      <c r="A1558" s="15">
        <f t="shared" si="24"/>
        <v>1548</v>
      </c>
      <c r="B1558" s="144" t="s">
        <v>2208</v>
      </c>
      <c r="C1558" s="150" t="s">
        <v>1786</v>
      </c>
      <c r="D1558" s="19"/>
      <c r="E1558" s="19"/>
      <c r="F1558" s="19"/>
      <c r="G1558" s="142" t="s">
        <v>2492</v>
      </c>
      <c r="H1558" s="141"/>
      <c r="I1558" s="202" t="s">
        <v>18</v>
      </c>
      <c r="J1558" s="153">
        <v>1</v>
      </c>
      <c r="K1558" s="142" t="s">
        <v>730</v>
      </c>
      <c r="L1558" s="168" t="s">
        <v>2522</v>
      </c>
      <c r="M1558" s="11" t="str">
        <f>VLOOKUP(N1558,'Mã NV'!$A$3:$B$196,2,0)</f>
        <v>TE77</v>
      </c>
      <c r="N1558" s="297" t="s">
        <v>2597</v>
      </c>
      <c r="O1558" s="381">
        <v>44197</v>
      </c>
      <c r="P1558" s="371"/>
      <c r="Q1558" s="43"/>
      <c r="R1558" s="142" t="s">
        <v>272</v>
      </c>
    </row>
    <row r="1559" spans="1:18" ht="35.25" hidden="1" customHeight="1">
      <c r="A1559" s="15">
        <f t="shared" si="24"/>
        <v>1549</v>
      </c>
      <c r="B1559" s="144" t="s">
        <v>2209</v>
      </c>
      <c r="C1559" s="150" t="s">
        <v>1786</v>
      </c>
      <c r="D1559" s="19"/>
      <c r="E1559" s="19"/>
      <c r="F1559" s="19"/>
      <c r="G1559" s="142" t="s">
        <v>2492</v>
      </c>
      <c r="H1559" s="141"/>
      <c r="I1559" s="202" t="s">
        <v>18</v>
      </c>
      <c r="J1559" s="153">
        <v>1</v>
      </c>
      <c r="K1559" s="142" t="s">
        <v>730</v>
      </c>
      <c r="L1559" s="168" t="s">
        <v>2522</v>
      </c>
      <c r="M1559" s="11" t="str">
        <f>VLOOKUP(N1559,'Mã NV'!$A$3:$B$196,2,0)</f>
        <v>TE77</v>
      </c>
      <c r="N1559" s="297" t="s">
        <v>2597</v>
      </c>
      <c r="O1559" s="381">
        <v>44197</v>
      </c>
      <c r="P1559" s="371"/>
      <c r="Q1559" s="43"/>
      <c r="R1559" s="142" t="s">
        <v>272</v>
      </c>
    </row>
    <row r="1560" spans="1:18" ht="35.25" hidden="1" customHeight="1">
      <c r="A1560" s="15">
        <f t="shared" si="24"/>
        <v>1550</v>
      </c>
      <c r="B1560" s="144" t="s">
        <v>2210</v>
      </c>
      <c r="C1560" s="150" t="s">
        <v>1786</v>
      </c>
      <c r="D1560" s="19"/>
      <c r="E1560" s="19"/>
      <c r="F1560" s="19"/>
      <c r="G1560" s="142" t="s">
        <v>2492</v>
      </c>
      <c r="H1560" s="141"/>
      <c r="I1560" s="202" t="s">
        <v>18</v>
      </c>
      <c r="J1560" s="153">
        <v>1</v>
      </c>
      <c r="K1560" s="142" t="s">
        <v>730</v>
      </c>
      <c r="L1560" s="168" t="s">
        <v>2522</v>
      </c>
      <c r="M1560" s="11" t="str">
        <f>VLOOKUP(N1560,'Mã NV'!$A$3:$B$196,2,0)</f>
        <v>TE77</v>
      </c>
      <c r="N1560" s="297" t="s">
        <v>2597</v>
      </c>
      <c r="O1560" s="381">
        <v>44197</v>
      </c>
      <c r="P1560" s="371"/>
      <c r="Q1560" s="43"/>
      <c r="R1560" s="142" t="s">
        <v>272</v>
      </c>
    </row>
    <row r="1561" spans="1:18" ht="35.25" hidden="1" customHeight="1">
      <c r="A1561" s="15">
        <f t="shared" si="24"/>
        <v>1551</v>
      </c>
      <c r="B1561" s="144" t="s">
        <v>2211</v>
      </c>
      <c r="C1561" s="150" t="s">
        <v>1786</v>
      </c>
      <c r="D1561" s="19"/>
      <c r="E1561" s="19"/>
      <c r="F1561" s="19"/>
      <c r="G1561" s="142" t="s">
        <v>2492</v>
      </c>
      <c r="H1561" s="141"/>
      <c r="I1561" s="202" t="s">
        <v>18</v>
      </c>
      <c r="J1561" s="153">
        <v>1</v>
      </c>
      <c r="K1561" s="142" t="s">
        <v>730</v>
      </c>
      <c r="L1561" s="168" t="s">
        <v>2522</v>
      </c>
      <c r="M1561" s="11" t="str">
        <f>VLOOKUP(N1561,'Mã NV'!$A$3:$B$196,2,0)</f>
        <v>TE77</v>
      </c>
      <c r="N1561" s="297" t="s">
        <v>2597</v>
      </c>
      <c r="O1561" s="381">
        <v>44197</v>
      </c>
      <c r="P1561" s="371"/>
      <c r="Q1561" s="43"/>
      <c r="R1561" s="142" t="s">
        <v>272</v>
      </c>
    </row>
    <row r="1562" spans="1:18" ht="35.25" hidden="1" customHeight="1">
      <c r="A1562" s="15">
        <f t="shared" si="24"/>
        <v>1552</v>
      </c>
      <c r="B1562" s="144" t="s">
        <v>2212</v>
      </c>
      <c r="C1562" s="150" t="s">
        <v>1786</v>
      </c>
      <c r="D1562" s="19"/>
      <c r="E1562" s="19"/>
      <c r="F1562" s="19"/>
      <c r="G1562" s="142" t="s">
        <v>2492</v>
      </c>
      <c r="H1562" s="141"/>
      <c r="I1562" s="202" t="s">
        <v>18</v>
      </c>
      <c r="J1562" s="153">
        <v>1</v>
      </c>
      <c r="K1562" s="142" t="s">
        <v>730</v>
      </c>
      <c r="L1562" s="168" t="s">
        <v>2522</v>
      </c>
      <c r="M1562" s="11" t="str">
        <f>VLOOKUP(N1562,'Mã NV'!$A$3:$B$196,2,0)</f>
        <v>TE77</v>
      </c>
      <c r="N1562" s="297" t="s">
        <v>2597</v>
      </c>
      <c r="O1562" s="381">
        <v>44197</v>
      </c>
      <c r="P1562" s="371"/>
      <c r="Q1562" s="43"/>
      <c r="R1562" s="142" t="s">
        <v>272</v>
      </c>
    </row>
    <row r="1563" spans="1:18" ht="35.25" hidden="1" customHeight="1">
      <c r="A1563" s="15">
        <f t="shared" si="24"/>
        <v>1553</v>
      </c>
      <c r="B1563" s="144" t="s">
        <v>2213</v>
      </c>
      <c r="C1563" s="150" t="s">
        <v>1786</v>
      </c>
      <c r="D1563" s="19"/>
      <c r="E1563" s="19"/>
      <c r="F1563" s="19"/>
      <c r="G1563" s="142" t="s">
        <v>2492</v>
      </c>
      <c r="H1563" s="141"/>
      <c r="I1563" s="202" t="s">
        <v>18</v>
      </c>
      <c r="J1563" s="153">
        <v>1</v>
      </c>
      <c r="K1563" s="142" t="s">
        <v>730</v>
      </c>
      <c r="L1563" s="168" t="s">
        <v>2522</v>
      </c>
      <c r="M1563" s="11" t="str">
        <f>VLOOKUP(N1563,'Mã NV'!$A$3:$B$196,2,0)</f>
        <v>TE77</v>
      </c>
      <c r="N1563" s="297" t="s">
        <v>2597</v>
      </c>
      <c r="O1563" s="381">
        <v>44197</v>
      </c>
      <c r="P1563" s="371"/>
      <c r="Q1563" s="43"/>
      <c r="R1563" s="142" t="s">
        <v>272</v>
      </c>
    </row>
    <row r="1564" spans="1:18" ht="35.25" hidden="1" customHeight="1">
      <c r="A1564" s="15">
        <f t="shared" si="24"/>
        <v>1554</v>
      </c>
      <c r="B1564" s="144" t="s">
        <v>2214</v>
      </c>
      <c r="C1564" s="150" t="s">
        <v>1786</v>
      </c>
      <c r="D1564" s="19"/>
      <c r="E1564" s="19"/>
      <c r="F1564" s="19"/>
      <c r="G1564" s="142" t="s">
        <v>2492</v>
      </c>
      <c r="H1564" s="141"/>
      <c r="I1564" s="202" t="s">
        <v>18</v>
      </c>
      <c r="J1564" s="153">
        <v>1</v>
      </c>
      <c r="K1564" s="142" t="s">
        <v>730</v>
      </c>
      <c r="L1564" s="168" t="s">
        <v>2522</v>
      </c>
      <c r="M1564" s="11" t="str">
        <f>VLOOKUP(N1564,'Mã NV'!$A$3:$B$196,2,0)</f>
        <v>TE77</v>
      </c>
      <c r="N1564" s="297" t="s">
        <v>2597</v>
      </c>
      <c r="O1564" s="381">
        <v>44197</v>
      </c>
      <c r="P1564" s="371"/>
      <c r="Q1564" s="43"/>
      <c r="R1564" s="142" t="s">
        <v>272</v>
      </c>
    </row>
    <row r="1565" spans="1:18" ht="35.25" hidden="1" customHeight="1">
      <c r="A1565" s="15">
        <f t="shared" si="24"/>
        <v>1555</v>
      </c>
      <c r="B1565" s="144" t="s">
        <v>2215</v>
      </c>
      <c r="C1565" s="150" t="s">
        <v>2216</v>
      </c>
      <c r="D1565" s="19"/>
      <c r="E1565" s="19"/>
      <c r="F1565" s="19"/>
      <c r="G1565" s="142"/>
      <c r="H1565" s="141"/>
      <c r="I1565" s="202" t="s">
        <v>89</v>
      </c>
      <c r="J1565" s="153">
        <v>1</v>
      </c>
      <c r="K1565" s="142" t="s">
        <v>730</v>
      </c>
      <c r="L1565" s="168" t="s">
        <v>2522</v>
      </c>
      <c r="M1565" s="11" t="str">
        <f>VLOOKUP(N1565,'Mã NV'!$A$3:$B$196,2,0)</f>
        <v>TE77</v>
      </c>
      <c r="N1565" s="297" t="s">
        <v>2597</v>
      </c>
      <c r="O1565" s="381">
        <v>44197</v>
      </c>
      <c r="P1565" s="371"/>
      <c r="Q1565" s="43"/>
      <c r="R1565" s="142" t="s">
        <v>272</v>
      </c>
    </row>
    <row r="1566" spans="1:18" ht="35.25" hidden="1" customHeight="1">
      <c r="A1566" s="15">
        <f t="shared" si="24"/>
        <v>1556</v>
      </c>
      <c r="B1566" s="144" t="s">
        <v>2217</v>
      </c>
      <c r="C1566" s="150" t="s">
        <v>2218</v>
      </c>
      <c r="D1566" s="19"/>
      <c r="E1566" s="19"/>
      <c r="F1566" s="19"/>
      <c r="G1566" s="142"/>
      <c r="H1566" s="141"/>
      <c r="I1566" s="202" t="s">
        <v>18</v>
      </c>
      <c r="J1566" s="153">
        <v>1</v>
      </c>
      <c r="K1566" s="142" t="s">
        <v>730</v>
      </c>
      <c r="L1566" s="168" t="s">
        <v>2522</v>
      </c>
      <c r="M1566" s="11" t="str">
        <f>VLOOKUP(N1566,'Mã NV'!$A$3:$B$196,2,0)</f>
        <v>TE77</v>
      </c>
      <c r="N1566" s="297" t="s">
        <v>2597</v>
      </c>
      <c r="O1566" s="381">
        <v>44197</v>
      </c>
      <c r="P1566" s="371"/>
      <c r="Q1566" s="43"/>
      <c r="R1566" s="142" t="s">
        <v>272</v>
      </c>
    </row>
    <row r="1567" spans="1:18" ht="35.25" hidden="1" customHeight="1">
      <c r="A1567" s="15">
        <f t="shared" si="24"/>
        <v>1557</v>
      </c>
      <c r="B1567" s="144" t="s">
        <v>2219</v>
      </c>
      <c r="C1567" s="150" t="s">
        <v>2218</v>
      </c>
      <c r="D1567" s="19"/>
      <c r="E1567" s="19"/>
      <c r="F1567" s="19"/>
      <c r="G1567" s="142"/>
      <c r="H1567" s="141"/>
      <c r="I1567" s="202" t="s">
        <v>18</v>
      </c>
      <c r="J1567" s="153">
        <v>1</v>
      </c>
      <c r="K1567" s="142" t="s">
        <v>730</v>
      </c>
      <c r="L1567" s="168" t="s">
        <v>2522</v>
      </c>
      <c r="M1567" s="11" t="str">
        <f>VLOOKUP(N1567,'Mã NV'!$A$3:$B$196,2,0)</f>
        <v>TE77</v>
      </c>
      <c r="N1567" s="297" t="s">
        <v>2597</v>
      </c>
      <c r="O1567" s="381">
        <v>44197</v>
      </c>
      <c r="P1567" s="371"/>
      <c r="Q1567" s="43"/>
      <c r="R1567" s="142" t="s">
        <v>272</v>
      </c>
    </row>
    <row r="1568" spans="1:18" ht="35.25" hidden="1" customHeight="1">
      <c r="A1568" s="15">
        <f t="shared" si="24"/>
        <v>1558</v>
      </c>
      <c r="B1568" s="144" t="s">
        <v>2220</v>
      </c>
      <c r="C1568" s="150" t="s">
        <v>32</v>
      </c>
      <c r="D1568" s="19"/>
      <c r="E1568" s="19"/>
      <c r="F1568" s="19"/>
      <c r="G1568" s="142" t="s">
        <v>2493</v>
      </c>
      <c r="H1568" s="141"/>
      <c r="I1568" s="202" t="s">
        <v>18</v>
      </c>
      <c r="J1568" s="153">
        <v>1</v>
      </c>
      <c r="K1568" s="142" t="s">
        <v>730</v>
      </c>
      <c r="L1568" s="168" t="s">
        <v>2522</v>
      </c>
      <c r="M1568" s="11" t="str">
        <f>VLOOKUP(N1568,'Mã NV'!$A$3:$B$196,2,0)</f>
        <v>TE77</v>
      </c>
      <c r="N1568" s="297" t="s">
        <v>2597</v>
      </c>
      <c r="O1568" s="381">
        <v>44197</v>
      </c>
      <c r="P1568" s="371"/>
      <c r="Q1568" s="43"/>
      <c r="R1568" s="142" t="s">
        <v>272</v>
      </c>
    </row>
    <row r="1569" spans="1:18" ht="35.25" hidden="1" customHeight="1">
      <c r="A1569" s="15">
        <f t="shared" si="24"/>
        <v>1559</v>
      </c>
      <c r="B1569" s="144" t="s">
        <v>2221</v>
      </c>
      <c r="C1569" s="150" t="s">
        <v>32</v>
      </c>
      <c r="D1569" s="19"/>
      <c r="E1569" s="19"/>
      <c r="F1569" s="19"/>
      <c r="G1569" s="142" t="s">
        <v>2493</v>
      </c>
      <c r="H1569" s="141"/>
      <c r="I1569" s="202" t="s">
        <v>18</v>
      </c>
      <c r="J1569" s="153">
        <v>1</v>
      </c>
      <c r="K1569" s="142" t="s">
        <v>730</v>
      </c>
      <c r="L1569" s="168" t="s">
        <v>2522</v>
      </c>
      <c r="M1569" s="11" t="str">
        <f>VLOOKUP(N1569,'Mã NV'!$A$3:$B$196,2,0)</f>
        <v>TE77</v>
      </c>
      <c r="N1569" s="297" t="s">
        <v>2597</v>
      </c>
      <c r="O1569" s="381">
        <v>44197</v>
      </c>
      <c r="P1569" s="371"/>
      <c r="Q1569" s="43"/>
      <c r="R1569" s="142" t="s">
        <v>272</v>
      </c>
    </row>
    <row r="1570" spans="1:18" ht="35.25" hidden="1" customHeight="1">
      <c r="A1570" s="15">
        <f t="shared" si="24"/>
        <v>1560</v>
      </c>
      <c r="B1570" s="161" t="s">
        <v>2222</v>
      </c>
      <c r="C1570" s="150" t="s">
        <v>32</v>
      </c>
      <c r="D1570" s="19"/>
      <c r="E1570" s="19"/>
      <c r="F1570" s="19"/>
      <c r="G1570" s="142" t="s">
        <v>2493</v>
      </c>
      <c r="H1570" s="141"/>
      <c r="I1570" s="202" t="s">
        <v>18</v>
      </c>
      <c r="J1570" s="153">
        <v>1</v>
      </c>
      <c r="K1570" s="142" t="s">
        <v>730</v>
      </c>
      <c r="L1570" s="168" t="s">
        <v>2522</v>
      </c>
      <c r="M1570" s="11" t="str">
        <f>VLOOKUP(N1570,'Mã NV'!$A$3:$B$196,2,0)</f>
        <v>TE77</v>
      </c>
      <c r="N1570" s="297" t="s">
        <v>2597</v>
      </c>
      <c r="O1570" s="381">
        <v>44197</v>
      </c>
      <c r="P1570" s="371"/>
      <c r="Q1570" s="43"/>
      <c r="R1570" s="142" t="s">
        <v>272</v>
      </c>
    </row>
    <row r="1571" spans="1:18" ht="35.25" hidden="1" customHeight="1">
      <c r="A1571" s="15">
        <f t="shared" si="24"/>
        <v>1561</v>
      </c>
      <c r="B1571" s="144" t="s">
        <v>2223</v>
      </c>
      <c r="C1571" s="150" t="s">
        <v>32</v>
      </c>
      <c r="D1571" s="19"/>
      <c r="E1571" s="19"/>
      <c r="F1571" s="19"/>
      <c r="G1571" s="142" t="s">
        <v>2493</v>
      </c>
      <c r="H1571" s="141"/>
      <c r="I1571" s="202" t="s">
        <v>18</v>
      </c>
      <c r="J1571" s="153">
        <v>1</v>
      </c>
      <c r="K1571" s="142" t="s">
        <v>730</v>
      </c>
      <c r="L1571" s="168" t="s">
        <v>2522</v>
      </c>
      <c r="M1571" s="11" t="str">
        <f>VLOOKUP(N1571,'Mã NV'!$A$3:$B$196,2,0)</f>
        <v>TE77</v>
      </c>
      <c r="N1571" s="297" t="s">
        <v>2597</v>
      </c>
      <c r="O1571" s="380">
        <f>VLOOKUP(B1571,'Tổng hợp (3)'!$C$4:$E$985,3,0)</f>
        <v>44774</v>
      </c>
      <c r="P1571" s="378"/>
      <c r="Q1571" s="43"/>
      <c r="R1571" s="142" t="s">
        <v>272</v>
      </c>
    </row>
    <row r="1572" spans="1:18" ht="35.25" hidden="1" customHeight="1">
      <c r="A1572" s="15">
        <f t="shared" si="24"/>
        <v>1562</v>
      </c>
      <c r="B1572" s="11" t="s">
        <v>2224</v>
      </c>
      <c r="C1572" s="150" t="s">
        <v>32</v>
      </c>
      <c r="D1572" s="19"/>
      <c r="E1572" s="19"/>
      <c r="F1572" s="19"/>
      <c r="G1572" s="142" t="s">
        <v>2493</v>
      </c>
      <c r="H1572" s="141"/>
      <c r="I1572" s="202" t="s">
        <v>18</v>
      </c>
      <c r="J1572" s="153">
        <v>1</v>
      </c>
      <c r="K1572" s="142" t="s">
        <v>730</v>
      </c>
      <c r="L1572" s="168" t="s">
        <v>2522</v>
      </c>
      <c r="M1572" s="11" t="str">
        <f>VLOOKUP(N1572,'Mã NV'!$A$3:$B$196,2,0)</f>
        <v>TE77</v>
      </c>
      <c r="N1572" s="297" t="s">
        <v>2597</v>
      </c>
      <c r="O1572" s="380">
        <f>VLOOKUP(B1572,'Tổng hợp (3)'!$C$4:$E$985,3,0)</f>
        <v>44774</v>
      </c>
      <c r="P1572" s="378"/>
      <c r="Q1572" s="43"/>
      <c r="R1572" s="142" t="s">
        <v>272</v>
      </c>
    </row>
    <row r="1573" spans="1:18" ht="35.25" hidden="1" customHeight="1">
      <c r="A1573" s="15">
        <f t="shared" si="24"/>
        <v>1563</v>
      </c>
      <c r="B1573" s="11" t="s">
        <v>2225</v>
      </c>
      <c r="C1573" s="150" t="s">
        <v>32</v>
      </c>
      <c r="D1573" s="19"/>
      <c r="E1573" s="19"/>
      <c r="F1573" s="19"/>
      <c r="G1573" s="142" t="s">
        <v>2493</v>
      </c>
      <c r="H1573" s="141"/>
      <c r="I1573" s="202" t="s">
        <v>18</v>
      </c>
      <c r="J1573" s="153">
        <v>1</v>
      </c>
      <c r="K1573" s="142" t="s">
        <v>730</v>
      </c>
      <c r="L1573" s="168" t="s">
        <v>2522</v>
      </c>
      <c r="M1573" s="11" t="str">
        <f>VLOOKUP(N1573,'Mã NV'!$A$3:$B$196,2,0)</f>
        <v>TE77</v>
      </c>
      <c r="N1573" s="297" t="s">
        <v>2597</v>
      </c>
      <c r="O1573" s="380">
        <f>VLOOKUP(B1573,'Tổng hợp (3)'!$C$4:$E$985,3,0)</f>
        <v>44774</v>
      </c>
      <c r="P1573" s="378"/>
      <c r="Q1573" s="43"/>
      <c r="R1573" s="142" t="s">
        <v>272</v>
      </c>
    </row>
    <row r="1574" spans="1:18" ht="35.25" hidden="1" customHeight="1">
      <c r="A1574" s="15">
        <f t="shared" si="24"/>
        <v>1564</v>
      </c>
      <c r="B1574" s="144" t="s">
        <v>2226</v>
      </c>
      <c r="C1574" s="150" t="s">
        <v>32</v>
      </c>
      <c r="D1574" s="19"/>
      <c r="E1574" s="19"/>
      <c r="F1574" s="19"/>
      <c r="G1574" s="142" t="s">
        <v>2493</v>
      </c>
      <c r="H1574" s="141"/>
      <c r="I1574" s="202" t="s">
        <v>18</v>
      </c>
      <c r="J1574" s="153">
        <v>1</v>
      </c>
      <c r="K1574" s="142" t="s">
        <v>730</v>
      </c>
      <c r="L1574" s="168" t="s">
        <v>2522</v>
      </c>
      <c r="M1574" s="11" t="str">
        <f>VLOOKUP(N1574,'Mã NV'!$A$3:$B$196,2,0)</f>
        <v>TE77</v>
      </c>
      <c r="N1574" s="297" t="s">
        <v>2597</v>
      </c>
      <c r="O1574" s="381">
        <v>44197</v>
      </c>
      <c r="P1574" s="371"/>
      <c r="Q1574" s="43"/>
      <c r="R1574" s="142" t="s">
        <v>272</v>
      </c>
    </row>
    <row r="1575" spans="1:18" ht="35.25" hidden="1" customHeight="1">
      <c r="A1575" s="15">
        <f t="shared" si="24"/>
        <v>1565</v>
      </c>
      <c r="B1575" s="144" t="s">
        <v>2227</v>
      </c>
      <c r="C1575" s="150" t="s">
        <v>32</v>
      </c>
      <c r="D1575" s="19"/>
      <c r="E1575" s="19"/>
      <c r="F1575" s="19"/>
      <c r="G1575" s="142" t="s">
        <v>2493</v>
      </c>
      <c r="H1575" s="141"/>
      <c r="I1575" s="202" t="s">
        <v>18</v>
      </c>
      <c r="J1575" s="153">
        <v>1</v>
      </c>
      <c r="K1575" s="142" t="s">
        <v>730</v>
      </c>
      <c r="L1575" s="168" t="s">
        <v>2522</v>
      </c>
      <c r="M1575" s="11" t="str">
        <f>VLOOKUP(N1575,'Mã NV'!$A$3:$B$196,2,0)</f>
        <v>TE77</v>
      </c>
      <c r="N1575" s="297" t="s">
        <v>2597</v>
      </c>
      <c r="O1575" s="381">
        <v>44197</v>
      </c>
      <c r="P1575" s="371"/>
      <c r="Q1575" s="43"/>
      <c r="R1575" s="142" t="s">
        <v>272</v>
      </c>
    </row>
    <row r="1576" spans="1:18" ht="35.25" hidden="1" customHeight="1">
      <c r="A1576" s="15">
        <f t="shared" si="24"/>
        <v>1566</v>
      </c>
      <c r="B1576" s="144" t="s">
        <v>2228</v>
      </c>
      <c r="C1576" s="150" t="s">
        <v>32</v>
      </c>
      <c r="D1576" s="19"/>
      <c r="E1576" s="19"/>
      <c r="F1576" s="19"/>
      <c r="G1576" s="142" t="s">
        <v>2493</v>
      </c>
      <c r="H1576" s="141"/>
      <c r="I1576" s="202" t="s">
        <v>18</v>
      </c>
      <c r="J1576" s="153">
        <v>1</v>
      </c>
      <c r="K1576" s="142" t="s">
        <v>730</v>
      </c>
      <c r="L1576" s="168" t="s">
        <v>2522</v>
      </c>
      <c r="M1576" s="11" t="str">
        <f>VLOOKUP(N1576,'Mã NV'!$A$3:$B$196,2,0)</f>
        <v>TE77</v>
      </c>
      <c r="N1576" s="297" t="s">
        <v>2597</v>
      </c>
      <c r="O1576" s="381">
        <v>44197</v>
      </c>
      <c r="P1576" s="371"/>
      <c r="Q1576" s="43"/>
      <c r="R1576" s="142" t="s">
        <v>272</v>
      </c>
    </row>
    <row r="1577" spans="1:18" ht="35.25" hidden="1" customHeight="1">
      <c r="A1577" s="15">
        <f t="shared" si="24"/>
        <v>1567</v>
      </c>
      <c r="B1577" s="144" t="s">
        <v>2229</v>
      </c>
      <c r="C1577" s="150" t="s">
        <v>32</v>
      </c>
      <c r="D1577" s="19"/>
      <c r="E1577" s="19"/>
      <c r="F1577" s="19"/>
      <c r="G1577" s="142" t="s">
        <v>2493</v>
      </c>
      <c r="H1577" s="141"/>
      <c r="I1577" s="202" t="s">
        <v>18</v>
      </c>
      <c r="J1577" s="153">
        <v>1</v>
      </c>
      <c r="K1577" s="142" t="s">
        <v>730</v>
      </c>
      <c r="L1577" s="168" t="s">
        <v>2522</v>
      </c>
      <c r="M1577" s="11" t="str">
        <f>VLOOKUP(N1577,'Mã NV'!$A$3:$B$196,2,0)</f>
        <v>TE77</v>
      </c>
      <c r="N1577" s="297" t="s">
        <v>2597</v>
      </c>
      <c r="O1577" s="381">
        <v>44197</v>
      </c>
      <c r="P1577" s="371"/>
      <c r="Q1577" s="43"/>
      <c r="R1577" s="142" t="s">
        <v>272</v>
      </c>
    </row>
    <row r="1578" spans="1:18" ht="35.25" hidden="1" customHeight="1">
      <c r="A1578" s="15">
        <f t="shared" si="24"/>
        <v>1568</v>
      </c>
      <c r="B1578" s="144" t="s">
        <v>2230</v>
      </c>
      <c r="C1578" s="150" t="s">
        <v>32</v>
      </c>
      <c r="D1578" s="19"/>
      <c r="E1578" s="19"/>
      <c r="F1578" s="19"/>
      <c r="G1578" s="142" t="s">
        <v>2493</v>
      </c>
      <c r="H1578" s="141"/>
      <c r="I1578" s="202" t="s">
        <v>18</v>
      </c>
      <c r="J1578" s="153">
        <v>1</v>
      </c>
      <c r="K1578" s="142" t="s">
        <v>730</v>
      </c>
      <c r="L1578" s="168" t="s">
        <v>2522</v>
      </c>
      <c r="M1578" s="11" t="str">
        <f>VLOOKUP(N1578,'Mã NV'!$A$3:$B$196,2,0)</f>
        <v>TE77</v>
      </c>
      <c r="N1578" s="297" t="s">
        <v>2597</v>
      </c>
      <c r="O1578" s="381">
        <v>44197</v>
      </c>
      <c r="P1578" s="371"/>
      <c r="Q1578" s="43"/>
      <c r="R1578" s="142" t="s">
        <v>272</v>
      </c>
    </row>
    <row r="1579" spans="1:18" ht="35.25" hidden="1" customHeight="1">
      <c r="A1579" s="15">
        <f t="shared" si="24"/>
        <v>1569</v>
      </c>
      <c r="B1579" s="144" t="s">
        <v>2231</v>
      </c>
      <c r="C1579" s="150" t="s">
        <v>32</v>
      </c>
      <c r="D1579" s="19"/>
      <c r="E1579" s="19"/>
      <c r="F1579" s="19"/>
      <c r="G1579" s="142" t="s">
        <v>2493</v>
      </c>
      <c r="H1579" s="141"/>
      <c r="I1579" s="202" t="s">
        <v>18</v>
      </c>
      <c r="J1579" s="153">
        <v>1</v>
      </c>
      <c r="K1579" s="142" t="s">
        <v>730</v>
      </c>
      <c r="L1579" s="168" t="s">
        <v>2522</v>
      </c>
      <c r="M1579" s="11" t="str">
        <f>VLOOKUP(N1579,'Mã NV'!$A$3:$B$196,2,0)</f>
        <v>TE77</v>
      </c>
      <c r="N1579" s="297" t="s">
        <v>2597</v>
      </c>
      <c r="O1579" s="381">
        <v>44197</v>
      </c>
      <c r="P1579" s="371"/>
      <c r="Q1579" s="43"/>
      <c r="R1579" s="142" t="s">
        <v>272</v>
      </c>
    </row>
    <row r="1580" spans="1:18" ht="35.25" hidden="1" customHeight="1">
      <c r="A1580" s="15">
        <f t="shared" si="24"/>
        <v>1570</v>
      </c>
      <c r="B1580" s="144" t="s">
        <v>2232</v>
      </c>
      <c r="C1580" s="150" t="s">
        <v>32</v>
      </c>
      <c r="D1580" s="19"/>
      <c r="E1580" s="19"/>
      <c r="F1580" s="19"/>
      <c r="G1580" s="142" t="s">
        <v>2493</v>
      </c>
      <c r="H1580" s="141"/>
      <c r="I1580" s="202" t="s">
        <v>18</v>
      </c>
      <c r="J1580" s="153">
        <v>1</v>
      </c>
      <c r="K1580" s="142" t="s">
        <v>730</v>
      </c>
      <c r="L1580" s="168" t="s">
        <v>2522</v>
      </c>
      <c r="M1580" s="11" t="str">
        <f>VLOOKUP(N1580,'Mã NV'!$A$3:$B$196,2,0)</f>
        <v>TE77</v>
      </c>
      <c r="N1580" s="297" t="s">
        <v>2597</v>
      </c>
      <c r="O1580" s="381">
        <v>44197</v>
      </c>
      <c r="P1580" s="371"/>
      <c r="Q1580" s="43"/>
      <c r="R1580" s="142" t="s">
        <v>272</v>
      </c>
    </row>
    <row r="1581" spans="1:18" ht="35.25" hidden="1" customHeight="1">
      <c r="A1581" s="15">
        <f t="shared" si="24"/>
        <v>1571</v>
      </c>
      <c r="B1581" s="144" t="s">
        <v>2233</v>
      </c>
      <c r="C1581" s="150" t="s">
        <v>32</v>
      </c>
      <c r="D1581" s="19"/>
      <c r="E1581" s="19"/>
      <c r="F1581" s="19"/>
      <c r="G1581" s="142" t="s">
        <v>2493</v>
      </c>
      <c r="H1581" s="141"/>
      <c r="I1581" s="202" t="s">
        <v>18</v>
      </c>
      <c r="J1581" s="153">
        <v>1</v>
      </c>
      <c r="K1581" s="142" t="s">
        <v>730</v>
      </c>
      <c r="L1581" s="168" t="s">
        <v>2522</v>
      </c>
      <c r="M1581" s="11" t="str">
        <f>VLOOKUP(N1581,'Mã NV'!$A$3:$B$196,2,0)</f>
        <v>TE77</v>
      </c>
      <c r="N1581" s="297" t="s">
        <v>2597</v>
      </c>
      <c r="O1581" s="381">
        <v>44197</v>
      </c>
      <c r="P1581" s="371"/>
      <c r="Q1581" s="43"/>
      <c r="R1581" s="142" t="s">
        <v>272</v>
      </c>
    </row>
    <row r="1582" spans="1:18" ht="35.25" hidden="1" customHeight="1">
      <c r="A1582" s="15">
        <f t="shared" si="24"/>
        <v>1572</v>
      </c>
      <c r="B1582" s="144" t="s">
        <v>2234</v>
      </c>
      <c r="C1582" s="150" t="s">
        <v>32</v>
      </c>
      <c r="D1582" s="19"/>
      <c r="E1582" s="19"/>
      <c r="F1582" s="19"/>
      <c r="G1582" s="142" t="s">
        <v>2493</v>
      </c>
      <c r="H1582" s="141"/>
      <c r="I1582" s="202" t="s">
        <v>18</v>
      </c>
      <c r="J1582" s="153">
        <v>1</v>
      </c>
      <c r="K1582" s="142" t="s">
        <v>730</v>
      </c>
      <c r="L1582" s="168" t="s">
        <v>2522</v>
      </c>
      <c r="M1582" s="11" t="str">
        <f>VLOOKUP(N1582,'Mã NV'!$A$3:$B$196,2,0)</f>
        <v>TE77</v>
      </c>
      <c r="N1582" s="297" t="s">
        <v>2597</v>
      </c>
      <c r="O1582" s="381">
        <v>44197</v>
      </c>
      <c r="P1582" s="371"/>
      <c r="Q1582" s="43"/>
      <c r="R1582" s="142" t="s">
        <v>272</v>
      </c>
    </row>
    <row r="1583" spans="1:18" ht="35.25" hidden="1" customHeight="1">
      <c r="A1583" s="15">
        <f t="shared" si="24"/>
        <v>1573</v>
      </c>
      <c r="B1583" s="144" t="s">
        <v>2235</v>
      </c>
      <c r="C1583" s="150" t="s">
        <v>32</v>
      </c>
      <c r="D1583" s="19"/>
      <c r="E1583" s="19"/>
      <c r="F1583" s="19"/>
      <c r="G1583" s="142" t="s">
        <v>2493</v>
      </c>
      <c r="H1583" s="141"/>
      <c r="I1583" s="202" t="s">
        <v>18</v>
      </c>
      <c r="J1583" s="153">
        <v>1</v>
      </c>
      <c r="K1583" s="142" t="s">
        <v>730</v>
      </c>
      <c r="L1583" s="168" t="s">
        <v>2522</v>
      </c>
      <c r="M1583" s="11" t="str">
        <f>VLOOKUP(N1583,'Mã NV'!$A$3:$B$196,2,0)</f>
        <v>TE77</v>
      </c>
      <c r="N1583" s="297" t="s">
        <v>2597</v>
      </c>
      <c r="O1583" s="381">
        <v>44197</v>
      </c>
      <c r="P1583" s="371"/>
      <c r="Q1583" s="43"/>
      <c r="R1583" s="142" t="s">
        <v>272</v>
      </c>
    </row>
    <row r="1584" spans="1:18" ht="35.25" hidden="1" customHeight="1">
      <c r="A1584" s="15">
        <f t="shared" si="24"/>
        <v>1574</v>
      </c>
      <c r="B1584" s="144" t="s">
        <v>2236</v>
      </c>
      <c r="C1584" s="150" t="s">
        <v>32</v>
      </c>
      <c r="D1584" s="19"/>
      <c r="E1584" s="19"/>
      <c r="F1584" s="19"/>
      <c r="G1584" s="142" t="s">
        <v>2493</v>
      </c>
      <c r="H1584" s="141"/>
      <c r="I1584" s="202" t="s">
        <v>18</v>
      </c>
      <c r="J1584" s="153">
        <v>1</v>
      </c>
      <c r="K1584" s="142" t="s">
        <v>730</v>
      </c>
      <c r="L1584" s="168" t="s">
        <v>2522</v>
      </c>
      <c r="M1584" s="11" t="str">
        <f>VLOOKUP(N1584,'Mã NV'!$A$3:$B$196,2,0)</f>
        <v>TE77</v>
      </c>
      <c r="N1584" s="297" t="s">
        <v>2597</v>
      </c>
      <c r="O1584" s="381">
        <v>44197</v>
      </c>
      <c r="P1584" s="371"/>
      <c r="Q1584" s="43"/>
      <c r="R1584" s="142" t="s">
        <v>272</v>
      </c>
    </row>
    <row r="1585" spans="1:18" ht="35.25" hidden="1" customHeight="1">
      <c r="A1585" s="15">
        <f t="shared" si="24"/>
        <v>1575</v>
      </c>
      <c r="B1585" s="144" t="s">
        <v>2237</v>
      </c>
      <c r="C1585" s="150" t="s">
        <v>32</v>
      </c>
      <c r="D1585" s="19"/>
      <c r="E1585" s="19"/>
      <c r="F1585" s="19"/>
      <c r="G1585" s="142" t="s">
        <v>2493</v>
      </c>
      <c r="H1585" s="141"/>
      <c r="I1585" s="202" t="s">
        <v>18</v>
      </c>
      <c r="J1585" s="153">
        <v>1</v>
      </c>
      <c r="K1585" s="142" t="s">
        <v>730</v>
      </c>
      <c r="L1585" s="168" t="s">
        <v>2522</v>
      </c>
      <c r="M1585" s="11" t="str">
        <f>VLOOKUP(N1585,'Mã NV'!$A$3:$B$196,2,0)</f>
        <v>TE77</v>
      </c>
      <c r="N1585" s="297" t="s">
        <v>2597</v>
      </c>
      <c r="O1585" s="381">
        <v>44197</v>
      </c>
      <c r="P1585" s="371"/>
      <c r="Q1585" s="43"/>
      <c r="R1585" s="142" t="s">
        <v>272</v>
      </c>
    </row>
    <row r="1586" spans="1:18" ht="35.25" hidden="1" customHeight="1">
      <c r="A1586" s="15">
        <f t="shared" si="24"/>
        <v>1576</v>
      </c>
      <c r="B1586" s="144" t="s">
        <v>2238</v>
      </c>
      <c r="C1586" s="150" t="s">
        <v>32</v>
      </c>
      <c r="D1586" s="19"/>
      <c r="E1586" s="19"/>
      <c r="F1586" s="19"/>
      <c r="G1586" s="142" t="s">
        <v>2493</v>
      </c>
      <c r="H1586" s="141"/>
      <c r="I1586" s="202" t="s">
        <v>18</v>
      </c>
      <c r="J1586" s="153">
        <v>1</v>
      </c>
      <c r="K1586" s="142" t="s">
        <v>730</v>
      </c>
      <c r="L1586" s="168" t="s">
        <v>2522</v>
      </c>
      <c r="M1586" s="11" t="str">
        <f>VLOOKUP(N1586,'Mã NV'!$A$3:$B$196,2,0)</f>
        <v>TE77</v>
      </c>
      <c r="N1586" s="297" t="s">
        <v>2597</v>
      </c>
      <c r="O1586" s="381">
        <v>44197</v>
      </c>
      <c r="P1586" s="371"/>
      <c r="Q1586" s="43"/>
      <c r="R1586" s="142" t="s">
        <v>272</v>
      </c>
    </row>
    <row r="1587" spans="1:18" ht="35.25" hidden="1" customHeight="1">
      <c r="A1587" s="15">
        <f t="shared" si="24"/>
        <v>1577</v>
      </c>
      <c r="B1587" s="144" t="s">
        <v>2239</v>
      </c>
      <c r="C1587" s="150" t="s">
        <v>32</v>
      </c>
      <c r="D1587" s="19"/>
      <c r="E1587" s="19"/>
      <c r="F1587" s="19"/>
      <c r="G1587" s="142" t="s">
        <v>2493</v>
      </c>
      <c r="H1587" s="141"/>
      <c r="I1587" s="202" t="s">
        <v>18</v>
      </c>
      <c r="J1587" s="153">
        <v>1</v>
      </c>
      <c r="K1587" s="142" t="s">
        <v>730</v>
      </c>
      <c r="L1587" s="168" t="s">
        <v>2522</v>
      </c>
      <c r="M1587" s="11" t="str">
        <f>VLOOKUP(N1587,'Mã NV'!$A$3:$B$196,2,0)</f>
        <v>TE77</v>
      </c>
      <c r="N1587" s="297" t="s">
        <v>2597</v>
      </c>
      <c r="O1587" s="381">
        <v>44197</v>
      </c>
      <c r="P1587" s="371"/>
      <c r="Q1587" s="43"/>
      <c r="R1587" s="142" t="s">
        <v>272</v>
      </c>
    </row>
    <row r="1588" spans="1:18" ht="35.25" hidden="1" customHeight="1">
      <c r="A1588" s="15">
        <f t="shared" si="24"/>
        <v>1578</v>
      </c>
      <c r="B1588" s="144" t="s">
        <v>2240</v>
      </c>
      <c r="C1588" s="150" t="s">
        <v>32</v>
      </c>
      <c r="D1588" s="19"/>
      <c r="E1588" s="19"/>
      <c r="F1588" s="19"/>
      <c r="G1588" s="142" t="s">
        <v>2493</v>
      </c>
      <c r="H1588" s="141"/>
      <c r="I1588" s="202" t="s">
        <v>18</v>
      </c>
      <c r="J1588" s="153">
        <v>1</v>
      </c>
      <c r="K1588" s="142" t="s">
        <v>730</v>
      </c>
      <c r="L1588" s="168" t="s">
        <v>2522</v>
      </c>
      <c r="M1588" s="11" t="str">
        <f>VLOOKUP(N1588,'Mã NV'!$A$3:$B$196,2,0)</f>
        <v>TE77</v>
      </c>
      <c r="N1588" s="297" t="s">
        <v>2597</v>
      </c>
      <c r="O1588" s="381">
        <v>44197</v>
      </c>
      <c r="P1588" s="371"/>
      <c r="Q1588" s="43"/>
      <c r="R1588" s="142" t="s">
        <v>272</v>
      </c>
    </row>
    <row r="1589" spans="1:18" ht="35.25" hidden="1" customHeight="1">
      <c r="A1589" s="15">
        <f t="shared" si="24"/>
        <v>1579</v>
      </c>
      <c r="B1589" s="144" t="s">
        <v>2241</v>
      </c>
      <c r="C1589" s="150" t="s">
        <v>147</v>
      </c>
      <c r="D1589" s="19"/>
      <c r="E1589" s="19"/>
      <c r="F1589" s="19"/>
      <c r="G1589" s="142" t="s">
        <v>147</v>
      </c>
      <c r="H1589" s="141"/>
      <c r="I1589" s="202" t="s">
        <v>18</v>
      </c>
      <c r="J1589" s="153">
        <v>1</v>
      </c>
      <c r="K1589" s="142" t="s">
        <v>730</v>
      </c>
      <c r="L1589" s="168" t="s">
        <v>2522</v>
      </c>
      <c r="M1589" s="11" t="str">
        <f>VLOOKUP(N1589,'Mã NV'!$A$3:$B$196,2,0)</f>
        <v>TE77</v>
      </c>
      <c r="N1589" s="297" t="s">
        <v>2597</v>
      </c>
      <c r="O1589" s="381">
        <v>44197</v>
      </c>
      <c r="P1589" s="371"/>
      <c r="Q1589" s="43"/>
      <c r="R1589" s="142" t="s">
        <v>272</v>
      </c>
    </row>
    <row r="1590" spans="1:18" ht="35.25" hidden="1" customHeight="1">
      <c r="A1590" s="15">
        <f t="shared" si="24"/>
        <v>1580</v>
      </c>
      <c r="B1590" s="144" t="s">
        <v>2242</v>
      </c>
      <c r="C1590" s="150" t="s">
        <v>147</v>
      </c>
      <c r="D1590" s="19"/>
      <c r="E1590" s="19"/>
      <c r="F1590" s="19"/>
      <c r="G1590" s="142" t="s">
        <v>147</v>
      </c>
      <c r="H1590" s="141"/>
      <c r="I1590" s="202" t="s">
        <v>18</v>
      </c>
      <c r="J1590" s="153">
        <v>1</v>
      </c>
      <c r="K1590" s="142" t="s">
        <v>730</v>
      </c>
      <c r="L1590" s="168" t="s">
        <v>2522</v>
      </c>
      <c r="M1590" s="11" t="str">
        <f>VLOOKUP(N1590,'Mã NV'!$A$3:$B$196,2,0)</f>
        <v>TE77</v>
      </c>
      <c r="N1590" s="297" t="s">
        <v>2597</v>
      </c>
      <c r="O1590" s="381">
        <v>44197</v>
      </c>
      <c r="P1590" s="371"/>
      <c r="Q1590" s="43"/>
      <c r="R1590" s="142" t="s">
        <v>272</v>
      </c>
    </row>
    <row r="1591" spans="1:18" ht="35.25" hidden="1" customHeight="1">
      <c r="A1591" s="15">
        <f t="shared" si="24"/>
        <v>1581</v>
      </c>
      <c r="B1591" s="144" t="s">
        <v>2243</v>
      </c>
      <c r="C1591" s="150" t="s">
        <v>147</v>
      </c>
      <c r="D1591" s="19"/>
      <c r="E1591" s="19"/>
      <c r="F1591" s="19"/>
      <c r="G1591" s="142" t="s">
        <v>147</v>
      </c>
      <c r="H1591" s="141"/>
      <c r="I1591" s="202" t="s">
        <v>18</v>
      </c>
      <c r="J1591" s="153">
        <v>1</v>
      </c>
      <c r="K1591" s="142" t="s">
        <v>730</v>
      </c>
      <c r="L1591" s="168" t="s">
        <v>2522</v>
      </c>
      <c r="M1591" s="11" t="str">
        <f>VLOOKUP(N1591,'Mã NV'!$A$3:$B$196,2,0)</f>
        <v>TE77</v>
      </c>
      <c r="N1591" s="297" t="s">
        <v>2597</v>
      </c>
      <c r="O1591" s="381">
        <v>44197</v>
      </c>
      <c r="P1591" s="371"/>
      <c r="Q1591" s="43"/>
      <c r="R1591" s="142" t="s">
        <v>272</v>
      </c>
    </row>
    <row r="1592" spans="1:18" ht="35.25" hidden="1" customHeight="1">
      <c r="A1592" s="15">
        <f t="shared" si="24"/>
        <v>1582</v>
      </c>
      <c r="B1592" s="144" t="s">
        <v>2244</v>
      </c>
      <c r="C1592" s="150" t="s">
        <v>147</v>
      </c>
      <c r="D1592" s="19"/>
      <c r="E1592" s="19"/>
      <c r="F1592" s="19"/>
      <c r="G1592" s="142" t="s">
        <v>147</v>
      </c>
      <c r="H1592" s="141"/>
      <c r="I1592" s="202" t="s">
        <v>18</v>
      </c>
      <c r="J1592" s="153">
        <v>1</v>
      </c>
      <c r="K1592" s="142" t="s">
        <v>730</v>
      </c>
      <c r="L1592" s="168" t="s">
        <v>2522</v>
      </c>
      <c r="M1592" s="11" t="str">
        <f>VLOOKUP(N1592,'Mã NV'!$A$3:$B$196,2,0)</f>
        <v>TE77</v>
      </c>
      <c r="N1592" s="297" t="s">
        <v>2597</v>
      </c>
      <c r="O1592" s="381">
        <v>44197</v>
      </c>
      <c r="P1592" s="371"/>
      <c r="Q1592" s="43"/>
      <c r="R1592" s="142" t="s">
        <v>272</v>
      </c>
    </row>
    <row r="1593" spans="1:18" ht="35.25" hidden="1" customHeight="1">
      <c r="A1593" s="15">
        <f t="shared" si="24"/>
        <v>1583</v>
      </c>
      <c r="B1593" s="144" t="s">
        <v>2245</v>
      </c>
      <c r="C1593" s="150" t="s">
        <v>147</v>
      </c>
      <c r="D1593" s="19"/>
      <c r="E1593" s="19"/>
      <c r="F1593" s="19"/>
      <c r="G1593" s="142" t="s">
        <v>147</v>
      </c>
      <c r="H1593" s="141"/>
      <c r="I1593" s="202" t="s">
        <v>18</v>
      </c>
      <c r="J1593" s="153">
        <v>1</v>
      </c>
      <c r="K1593" s="142" t="s">
        <v>730</v>
      </c>
      <c r="L1593" s="168" t="s">
        <v>2522</v>
      </c>
      <c r="M1593" s="11" t="str">
        <f>VLOOKUP(N1593,'Mã NV'!$A$3:$B$196,2,0)</f>
        <v>TE77</v>
      </c>
      <c r="N1593" s="297" t="s">
        <v>2597</v>
      </c>
      <c r="O1593" s="381">
        <v>44197</v>
      </c>
      <c r="P1593" s="371"/>
      <c r="Q1593" s="43"/>
      <c r="R1593" s="142" t="s">
        <v>272</v>
      </c>
    </row>
    <row r="1594" spans="1:18" ht="35.25" hidden="1" customHeight="1">
      <c r="A1594" s="15">
        <f t="shared" si="24"/>
        <v>1584</v>
      </c>
      <c r="B1594" s="144" t="s">
        <v>2246</v>
      </c>
      <c r="C1594" s="150" t="s">
        <v>147</v>
      </c>
      <c r="D1594" s="19"/>
      <c r="E1594" s="19"/>
      <c r="F1594" s="19"/>
      <c r="G1594" s="142" t="s">
        <v>147</v>
      </c>
      <c r="H1594" s="141"/>
      <c r="I1594" s="202" t="s">
        <v>18</v>
      </c>
      <c r="J1594" s="153">
        <v>1</v>
      </c>
      <c r="K1594" s="142" t="s">
        <v>730</v>
      </c>
      <c r="L1594" s="168" t="s">
        <v>2522</v>
      </c>
      <c r="M1594" s="11" t="str">
        <f>VLOOKUP(N1594,'Mã NV'!$A$3:$B$196,2,0)</f>
        <v>TE77</v>
      </c>
      <c r="N1594" s="297" t="s">
        <v>2597</v>
      </c>
      <c r="O1594" s="381">
        <v>44197</v>
      </c>
      <c r="P1594" s="371"/>
      <c r="Q1594" s="43"/>
      <c r="R1594" s="142" t="s">
        <v>272</v>
      </c>
    </row>
    <row r="1595" spans="1:18" ht="35.25" hidden="1" customHeight="1">
      <c r="A1595" s="15">
        <f t="shared" si="24"/>
        <v>1585</v>
      </c>
      <c r="B1595" s="144" t="s">
        <v>2247</v>
      </c>
      <c r="C1595" s="150" t="s">
        <v>147</v>
      </c>
      <c r="D1595" s="19"/>
      <c r="E1595" s="19"/>
      <c r="F1595" s="19"/>
      <c r="G1595" s="142" t="s">
        <v>147</v>
      </c>
      <c r="H1595" s="141"/>
      <c r="I1595" s="202" t="s">
        <v>18</v>
      </c>
      <c r="J1595" s="153">
        <v>1</v>
      </c>
      <c r="K1595" s="142" t="s">
        <v>730</v>
      </c>
      <c r="L1595" s="168" t="s">
        <v>2522</v>
      </c>
      <c r="M1595" s="11" t="str">
        <f>VLOOKUP(N1595,'Mã NV'!$A$3:$B$196,2,0)</f>
        <v>TE77</v>
      </c>
      <c r="N1595" s="297" t="s">
        <v>2597</v>
      </c>
      <c r="O1595" s="381">
        <v>44197</v>
      </c>
      <c r="P1595" s="371"/>
      <c r="Q1595" s="43"/>
      <c r="R1595" s="142" t="s">
        <v>272</v>
      </c>
    </row>
    <row r="1596" spans="1:18" ht="35.25" hidden="1" customHeight="1">
      <c r="A1596" s="15">
        <f t="shared" si="24"/>
        <v>1586</v>
      </c>
      <c r="B1596" s="144" t="s">
        <v>2248</v>
      </c>
      <c r="C1596" s="150" t="s">
        <v>147</v>
      </c>
      <c r="D1596" s="19"/>
      <c r="E1596" s="19"/>
      <c r="F1596" s="19"/>
      <c r="G1596" s="142" t="s">
        <v>147</v>
      </c>
      <c r="H1596" s="141"/>
      <c r="I1596" s="202" t="s">
        <v>18</v>
      </c>
      <c r="J1596" s="153">
        <v>1</v>
      </c>
      <c r="K1596" s="142" t="s">
        <v>730</v>
      </c>
      <c r="L1596" s="168" t="s">
        <v>2522</v>
      </c>
      <c r="M1596" s="11" t="str">
        <f>VLOOKUP(N1596,'Mã NV'!$A$3:$B$196,2,0)</f>
        <v>TE77</v>
      </c>
      <c r="N1596" s="297" t="s">
        <v>2597</v>
      </c>
      <c r="O1596" s="381">
        <v>44197</v>
      </c>
      <c r="P1596" s="371"/>
      <c r="Q1596" s="43"/>
      <c r="R1596" s="142" t="s">
        <v>272</v>
      </c>
    </row>
    <row r="1597" spans="1:18" ht="35.25" hidden="1" customHeight="1">
      <c r="A1597" s="15">
        <f t="shared" si="24"/>
        <v>1587</v>
      </c>
      <c r="B1597" s="144" t="s">
        <v>2249</v>
      </c>
      <c r="C1597" s="150" t="s">
        <v>147</v>
      </c>
      <c r="D1597" s="19"/>
      <c r="E1597" s="19"/>
      <c r="F1597" s="19"/>
      <c r="G1597" s="142" t="s">
        <v>147</v>
      </c>
      <c r="H1597" s="141"/>
      <c r="I1597" s="202" t="s">
        <v>18</v>
      </c>
      <c r="J1597" s="153">
        <v>1</v>
      </c>
      <c r="K1597" s="142" t="s">
        <v>730</v>
      </c>
      <c r="L1597" s="168" t="s">
        <v>2522</v>
      </c>
      <c r="M1597" s="11" t="str">
        <f>VLOOKUP(N1597,'Mã NV'!$A$3:$B$196,2,0)</f>
        <v>TE77</v>
      </c>
      <c r="N1597" s="297" t="s">
        <v>2597</v>
      </c>
      <c r="O1597" s="381">
        <v>44197</v>
      </c>
      <c r="P1597" s="371"/>
      <c r="Q1597" s="43"/>
      <c r="R1597" s="142" t="s">
        <v>272</v>
      </c>
    </row>
    <row r="1598" spans="1:18" ht="35.25" hidden="1" customHeight="1">
      <c r="A1598" s="15">
        <f t="shared" si="24"/>
        <v>1588</v>
      </c>
      <c r="B1598" s="144" t="s">
        <v>2250</v>
      </c>
      <c r="C1598" s="150" t="s">
        <v>147</v>
      </c>
      <c r="D1598" s="19"/>
      <c r="E1598" s="19"/>
      <c r="F1598" s="19"/>
      <c r="G1598" s="142" t="s">
        <v>147</v>
      </c>
      <c r="H1598" s="141"/>
      <c r="I1598" s="202" t="s">
        <v>18</v>
      </c>
      <c r="J1598" s="153">
        <v>1</v>
      </c>
      <c r="K1598" s="142" t="s">
        <v>730</v>
      </c>
      <c r="L1598" s="168" t="s">
        <v>2522</v>
      </c>
      <c r="M1598" s="11" t="str">
        <f>VLOOKUP(N1598,'Mã NV'!$A$3:$B$196,2,0)</f>
        <v>TE77</v>
      </c>
      <c r="N1598" s="297" t="s">
        <v>2597</v>
      </c>
      <c r="O1598" s="381">
        <v>44197</v>
      </c>
      <c r="P1598" s="371"/>
      <c r="Q1598" s="43"/>
      <c r="R1598" s="142" t="s">
        <v>272</v>
      </c>
    </row>
    <row r="1599" spans="1:18" ht="35.25" hidden="1" customHeight="1">
      <c r="A1599" s="15">
        <f t="shared" si="24"/>
        <v>1589</v>
      </c>
      <c r="B1599" s="144" t="s">
        <v>2251</v>
      </c>
      <c r="C1599" s="150" t="s">
        <v>147</v>
      </c>
      <c r="D1599" s="19"/>
      <c r="E1599" s="19"/>
      <c r="F1599" s="19"/>
      <c r="G1599" s="142" t="s">
        <v>147</v>
      </c>
      <c r="H1599" s="141"/>
      <c r="I1599" s="202" t="s">
        <v>18</v>
      </c>
      <c r="J1599" s="153">
        <v>1</v>
      </c>
      <c r="K1599" s="142" t="s">
        <v>730</v>
      </c>
      <c r="L1599" s="168" t="s">
        <v>2522</v>
      </c>
      <c r="M1599" s="11" t="str">
        <f>VLOOKUP(N1599,'Mã NV'!$A$3:$B$196,2,0)</f>
        <v>TE77</v>
      </c>
      <c r="N1599" s="297" t="s">
        <v>2597</v>
      </c>
      <c r="O1599" s="381">
        <v>44197</v>
      </c>
      <c r="P1599" s="371"/>
      <c r="Q1599" s="43"/>
      <c r="R1599" s="142" t="s">
        <v>272</v>
      </c>
    </row>
    <row r="1600" spans="1:18" ht="35.25" hidden="1" customHeight="1">
      <c r="A1600" s="15">
        <f t="shared" si="24"/>
        <v>1590</v>
      </c>
      <c r="B1600" s="144" t="s">
        <v>2252</v>
      </c>
      <c r="C1600" s="150" t="s">
        <v>147</v>
      </c>
      <c r="D1600" s="19"/>
      <c r="E1600" s="19"/>
      <c r="F1600" s="19"/>
      <c r="G1600" s="142" t="s">
        <v>147</v>
      </c>
      <c r="H1600" s="141"/>
      <c r="I1600" s="202" t="s">
        <v>18</v>
      </c>
      <c r="J1600" s="153">
        <v>1</v>
      </c>
      <c r="K1600" s="142" t="s">
        <v>730</v>
      </c>
      <c r="L1600" s="168" t="s">
        <v>2522</v>
      </c>
      <c r="M1600" s="11" t="str">
        <f>VLOOKUP(N1600,'Mã NV'!$A$3:$B$196,2,0)</f>
        <v>TE77</v>
      </c>
      <c r="N1600" s="297" t="s">
        <v>2597</v>
      </c>
      <c r="O1600" s="381">
        <v>44197</v>
      </c>
      <c r="P1600" s="371"/>
      <c r="Q1600" s="43"/>
      <c r="R1600" s="142" t="s">
        <v>272</v>
      </c>
    </row>
    <row r="1601" spans="1:18" ht="35.25" hidden="1" customHeight="1">
      <c r="A1601" s="15">
        <f t="shared" si="24"/>
        <v>1591</v>
      </c>
      <c r="B1601" s="144" t="s">
        <v>2253</v>
      </c>
      <c r="C1601" s="150" t="s">
        <v>147</v>
      </c>
      <c r="D1601" s="19"/>
      <c r="E1601" s="19"/>
      <c r="F1601" s="19"/>
      <c r="G1601" s="142" t="s">
        <v>147</v>
      </c>
      <c r="H1601" s="141"/>
      <c r="I1601" s="202" t="s">
        <v>18</v>
      </c>
      <c r="J1601" s="153">
        <v>1</v>
      </c>
      <c r="K1601" s="142" t="s">
        <v>730</v>
      </c>
      <c r="L1601" s="168" t="s">
        <v>2522</v>
      </c>
      <c r="M1601" s="11" t="str">
        <f>VLOOKUP(N1601,'Mã NV'!$A$3:$B$196,2,0)</f>
        <v>TE77</v>
      </c>
      <c r="N1601" s="297" t="s">
        <v>2597</v>
      </c>
      <c r="O1601" s="381">
        <v>44197</v>
      </c>
      <c r="P1601" s="371"/>
      <c r="Q1601" s="43"/>
      <c r="R1601" s="142" t="s">
        <v>272</v>
      </c>
    </row>
    <row r="1602" spans="1:18" ht="35.25" hidden="1" customHeight="1">
      <c r="A1602" s="15">
        <f t="shared" si="24"/>
        <v>1592</v>
      </c>
      <c r="B1602" s="144" t="s">
        <v>2254</v>
      </c>
      <c r="C1602" s="150" t="s">
        <v>147</v>
      </c>
      <c r="D1602" s="19"/>
      <c r="E1602" s="19"/>
      <c r="F1602" s="19"/>
      <c r="G1602" s="142" t="s">
        <v>147</v>
      </c>
      <c r="H1602" s="141"/>
      <c r="I1602" s="202" t="s">
        <v>18</v>
      </c>
      <c r="J1602" s="153">
        <v>1</v>
      </c>
      <c r="K1602" s="142" t="s">
        <v>730</v>
      </c>
      <c r="L1602" s="168" t="s">
        <v>2522</v>
      </c>
      <c r="M1602" s="11" t="str">
        <f>VLOOKUP(N1602,'Mã NV'!$A$3:$B$196,2,0)</f>
        <v>TE77</v>
      </c>
      <c r="N1602" s="297" t="s">
        <v>2597</v>
      </c>
      <c r="O1602" s="381">
        <v>44197</v>
      </c>
      <c r="P1602" s="371"/>
      <c r="Q1602" s="43"/>
      <c r="R1602" s="142" t="s">
        <v>272</v>
      </c>
    </row>
    <row r="1603" spans="1:18" ht="35.25" hidden="1" customHeight="1">
      <c r="A1603" s="15">
        <f t="shared" si="24"/>
        <v>1593</v>
      </c>
      <c r="B1603" s="144" t="s">
        <v>2255</v>
      </c>
      <c r="C1603" s="150" t="s">
        <v>147</v>
      </c>
      <c r="D1603" s="19"/>
      <c r="E1603" s="19"/>
      <c r="F1603" s="19"/>
      <c r="G1603" s="142" t="s">
        <v>147</v>
      </c>
      <c r="H1603" s="141"/>
      <c r="I1603" s="202" t="s">
        <v>18</v>
      </c>
      <c r="J1603" s="153">
        <v>1</v>
      </c>
      <c r="K1603" s="142" t="s">
        <v>730</v>
      </c>
      <c r="L1603" s="168" t="s">
        <v>2522</v>
      </c>
      <c r="M1603" s="11" t="str">
        <f>VLOOKUP(N1603,'Mã NV'!$A$3:$B$196,2,0)</f>
        <v>TE77</v>
      </c>
      <c r="N1603" s="297" t="s">
        <v>2597</v>
      </c>
      <c r="O1603" s="381">
        <v>44197</v>
      </c>
      <c r="P1603" s="371"/>
      <c r="Q1603" s="43"/>
      <c r="R1603" s="142" t="s">
        <v>272</v>
      </c>
    </row>
    <row r="1604" spans="1:18" ht="35.25" hidden="1" customHeight="1">
      <c r="A1604" s="15">
        <f t="shared" si="24"/>
        <v>1594</v>
      </c>
      <c r="B1604" s="144" t="s">
        <v>2256</v>
      </c>
      <c r="C1604" s="150" t="s">
        <v>147</v>
      </c>
      <c r="D1604" s="19"/>
      <c r="E1604" s="19"/>
      <c r="F1604" s="19"/>
      <c r="G1604" s="142" t="s">
        <v>147</v>
      </c>
      <c r="H1604" s="141"/>
      <c r="I1604" s="202" t="s">
        <v>18</v>
      </c>
      <c r="J1604" s="153">
        <v>1</v>
      </c>
      <c r="K1604" s="142" t="s">
        <v>730</v>
      </c>
      <c r="L1604" s="168" t="s">
        <v>2522</v>
      </c>
      <c r="M1604" s="11" t="str">
        <f>VLOOKUP(N1604,'Mã NV'!$A$3:$B$196,2,0)</f>
        <v>TE77</v>
      </c>
      <c r="N1604" s="297" t="s">
        <v>2597</v>
      </c>
      <c r="O1604" s="381">
        <v>44197</v>
      </c>
      <c r="P1604" s="371"/>
      <c r="Q1604" s="43"/>
      <c r="R1604" s="142" t="s">
        <v>272</v>
      </c>
    </row>
    <row r="1605" spans="1:18" ht="35.25" hidden="1" customHeight="1">
      <c r="A1605" s="15">
        <f t="shared" si="24"/>
        <v>1595</v>
      </c>
      <c r="B1605" s="144" t="s">
        <v>2257</v>
      </c>
      <c r="C1605" s="150" t="s">
        <v>147</v>
      </c>
      <c r="D1605" s="19"/>
      <c r="E1605" s="19"/>
      <c r="F1605" s="19"/>
      <c r="G1605" s="142" t="s">
        <v>147</v>
      </c>
      <c r="H1605" s="141"/>
      <c r="I1605" s="202" t="s">
        <v>18</v>
      </c>
      <c r="J1605" s="153">
        <v>1</v>
      </c>
      <c r="K1605" s="142" t="s">
        <v>730</v>
      </c>
      <c r="L1605" s="168" t="s">
        <v>2522</v>
      </c>
      <c r="M1605" s="11" t="str">
        <f>VLOOKUP(N1605,'Mã NV'!$A$3:$B$196,2,0)</f>
        <v>TE77</v>
      </c>
      <c r="N1605" s="297" t="s">
        <v>2597</v>
      </c>
      <c r="O1605" s="381">
        <v>44197</v>
      </c>
      <c r="P1605" s="371"/>
      <c r="Q1605" s="43"/>
      <c r="R1605" s="142" t="s">
        <v>272</v>
      </c>
    </row>
    <row r="1606" spans="1:18" ht="35.25" hidden="1" customHeight="1">
      <c r="A1606" s="15">
        <f t="shared" si="24"/>
        <v>1596</v>
      </c>
      <c r="B1606" s="144" t="s">
        <v>2258</v>
      </c>
      <c r="C1606" s="150" t="s">
        <v>147</v>
      </c>
      <c r="D1606" s="19"/>
      <c r="E1606" s="19"/>
      <c r="F1606" s="19"/>
      <c r="G1606" s="142" t="s">
        <v>147</v>
      </c>
      <c r="H1606" s="141"/>
      <c r="I1606" s="202" t="s">
        <v>18</v>
      </c>
      <c r="J1606" s="153">
        <v>1</v>
      </c>
      <c r="K1606" s="142" t="s">
        <v>730</v>
      </c>
      <c r="L1606" s="168" t="s">
        <v>2522</v>
      </c>
      <c r="M1606" s="11" t="str">
        <f>VLOOKUP(N1606,'Mã NV'!$A$3:$B$196,2,0)</f>
        <v>TE77</v>
      </c>
      <c r="N1606" s="297" t="s">
        <v>2597</v>
      </c>
      <c r="O1606" s="381">
        <v>44197</v>
      </c>
      <c r="P1606" s="371"/>
      <c r="Q1606" s="43"/>
      <c r="R1606" s="142" t="s">
        <v>272</v>
      </c>
    </row>
    <row r="1607" spans="1:18" ht="35.25" hidden="1" customHeight="1">
      <c r="A1607" s="15">
        <f t="shared" si="24"/>
        <v>1597</v>
      </c>
      <c r="B1607" s="144" t="s">
        <v>2259</v>
      </c>
      <c r="C1607" s="150" t="s">
        <v>147</v>
      </c>
      <c r="D1607" s="19"/>
      <c r="E1607" s="19"/>
      <c r="F1607" s="19"/>
      <c r="G1607" s="142" t="s">
        <v>147</v>
      </c>
      <c r="H1607" s="141"/>
      <c r="I1607" s="202" t="s">
        <v>18</v>
      </c>
      <c r="J1607" s="153">
        <v>1</v>
      </c>
      <c r="K1607" s="142" t="s">
        <v>730</v>
      </c>
      <c r="L1607" s="168" t="s">
        <v>2522</v>
      </c>
      <c r="M1607" s="11" t="str">
        <f>VLOOKUP(N1607,'Mã NV'!$A$3:$B$196,2,0)</f>
        <v>TE77</v>
      </c>
      <c r="N1607" s="297" t="s">
        <v>2597</v>
      </c>
      <c r="O1607" s="381">
        <v>44197</v>
      </c>
      <c r="P1607" s="371"/>
      <c r="Q1607" s="43"/>
      <c r="R1607" s="142" t="s">
        <v>272</v>
      </c>
    </row>
    <row r="1608" spans="1:18" ht="35.25" hidden="1" customHeight="1">
      <c r="A1608" s="15">
        <f t="shared" si="24"/>
        <v>1598</v>
      </c>
      <c r="B1608" s="144" t="s">
        <v>2260</v>
      </c>
      <c r="C1608" s="150" t="s">
        <v>147</v>
      </c>
      <c r="D1608" s="19"/>
      <c r="E1608" s="19"/>
      <c r="F1608" s="19"/>
      <c r="G1608" s="142" t="s">
        <v>147</v>
      </c>
      <c r="H1608" s="141"/>
      <c r="I1608" s="202" t="s">
        <v>18</v>
      </c>
      <c r="J1608" s="153">
        <v>1</v>
      </c>
      <c r="K1608" s="142" t="s">
        <v>730</v>
      </c>
      <c r="L1608" s="168" t="s">
        <v>2522</v>
      </c>
      <c r="M1608" s="11" t="str">
        <f>VLOOKUP(N1608,'Mã NV'!$A$3:$B$196,2,0)</f>
        <v>TE77</v>
      </c>
      <c r="N1608" s="297" t="s">
        <v>2597</v>
      </c>
      <c r="O1608" s="381">
        <v>44197</v>
      </c>
      <c r="P1608" s="371"/>
      <c r="Q1608" s="43"/>
      <c r="R1608" s="142" t="s">
        <v>272</v>
      </c>
    </row>
    <row r="1609" spans="1:18" ht="35.25" hidden="1" customHeight="1">
      <c r="A1609" s="15">
        <f t="shared" si="24"/>
        <v>1599</v>
      </c>
      <c r="B1609" s="144" t="s">
        <v>2261</v>
      </c>
      <c r="C1609" s="150" t="s">
        <v>147</v>
      </c>
      <c r="D1609" s="19"/>
      <c r="E1609" s="19"/>
      <c r="F1609" s="19"/>
      <c r="G1609" s="142" t="s">
        <v>147</v>
      </c>
      <c r="H1609" s="141"/>
      <c r="I1609" s="202" t="s">
        <v>18</v>
      </c>
      <c r="J1609" s="153">
        <v>1</v>
      </c>
      <c r="K1609" s="142" t="s">
        <v>730</v>
      </c>
      <c r="L1609" s="168" t="s">
        <v>2522</v>
      </c>
      <c r="M1609" s="11" t="str">
        <f>VLOOKUP(N1609,'Mã NV'!$A$3:$B$196,2,0)</f>
        <v>TE77</v>
      </c>
      <c r="N1609" s="297" t="s">
        <v>2597</v>
      </c>
      <c r="O1609" s="381">
        <v>44197</v>
      </c>
      <c r="P1609" s="371"/>
      <c r="Q1609" s="43"/>
      <c r="R1609" s="142" t="s">
        <v>272</v>
      </c>
    </row>
    <row r="1610" spans="1:18" ht="35.25" hidden="1" customHeight="1">
      <c r="A1610" s="15">
        <f t="shared" si="24"/>
        <v>1600</v>
      </c>
      <c r="B1610" s="144" t="s">
        <v>2262</v>
      </c>
      <c r="C1610" s="150" t="s">
        <v>147</v>
      </c>
      <c r="D1610" s="19"/>
      <c r="E1610" s="19"/>
      <c r="F1610" s="19"/>
      <c r="G1610" s="142" t="s">
        <v>147</v>
      </c>
      <c r="H1610" s="141"/>
      <c r="I1610" s="202" t="s">
        <v>18</v>
      </c>
      <c r="J1610" s="153">
        <v>1</v>
      </c>
      <c r="K1610" s="142" t="s">
        <v>730</v>
      </c>
      <c r="L1610" s="168" t="s">
        <v>2522</v>
      </c>
      <c r="M1610" s="11" t="str">
        <f>VLOOKUP(N1610,'Mã NV'!$A$3:$B$196,2,0)</f>
        <v>TE77</v>
      </c>
      <c r="N1610" s="297" t="s">
        <v>2597</v>
      </c>
      <c r="O1610" s="381">
        <v>44197</v>
      </c>
      <c r="P1610" s="371"/>
      <c r="Q1610" s="43"/>
      <c r="R1610" s="142" t="s">
        <v>272</v>
      </c>
    </row>
    <row r="1611" spans="1:18" ht="35.25" hidden="1" customHeight="1">
      <c r="A1611" s="15">
        <f t="shared" si="24"/>
        <v>1601</v>
      </c>
      <c r="B1611" s="144" t="s">
        <v>2263</v>
      </c>
      <c r="C1611" s="150" t="s">
        <v>147</v>
      </c>
      <c r="D1611" s="19"/>
      <c r="E1611" s="19"/>
      <c r="F1611" s="19"/>
      <c r="G1611" s="142" t="s">
        <v>147</v>
      </c>
      <c r="H1611" s="141"/>
      <c r="I1611" s="202" t="s">
        <v>18</v>
      </c>
      <c r="J1611" s="153">
        <v>1</v>
      </c>
      <c r="K1611" s="142" t="s">
        <v>730</v>
      </c>
      <c r="L1611" s="168" t="s">
        <v>2522</v>
      </c>
      <c r="M1611" s="11" t="str">
        <f>VLOOKUP(N1611,'Mã NV'!$A$3:$B$196,2,0)</f>
        <v>TE77</v>
      </c>
      <c r="N1611" s="297" t="s">
        <v>2597</v>
      </c>
      <c r="O1611" s="381">
        <v>44197</v>
      </c>
      <c r="P1611" s="371"/>
      <c r="Q1611" s="43"/>
      <c r="R1611" s="142" t="s">
        <v>272</v>
      </c>
    </row>
    <row r="1612" spans="1:18" ht="35.25" hidden="1" customHeight="1">
      <c r="A1612" s="15">
        <f t="shared" si="24"/>
        <v>1602</v>
      </c>
      <c r="B1612" s="144" t="s">
        <v>2264</v>
      </c>
      <c r="C1612" s="150" t="s">
        <v>147</v>
      </c>
      <c r="D1612" s="19"/>
      <c r="E1612" s="19"/>
      <c r="F1612" s="19"/>
      <c r="G1612" s="142" t="s">
        <v>147</v>
      </c>
      <c r="H1612" s="141"/>
      <c r="I1612" s="202" t="s">
        <v>18</v>
      </c>
      <c r="J1612" s="153">
        <v>1</v>
      </c>
      <c r="K1612" s="142" t="s">
        <v>730</v>
      </c>
      <c r="L1612" s="168" t="s">
        <v>2522</v>
      </c>
      <c r="M1612" s="11" t="str">
        <f>VLOOKUP(N1612,'Mã NV'!$A$3:$B$196,2,0)</f>
        <v>TE77</v>
      </c>
      <c r="N1612" s="297" t="s">
        <v>2597</v>
      </c>
      <c r="O1612" s="381">
        <v>44197</v>
      </c>
      <c r="P1612" s="371"/>
      <c r="Q1612" s="43"/>
      <c r="R1612" s="142" t="s">
        <v>272</v>
      </c>
    </row>
    <row r="1613" spans="1:18" ht="35.25" hidden="1" customHeight="1">
      <c r="A1613" s="15">
        <f t="shared" si="24"/>
        <v>1603</v>
      </c>
      <c r="B1613" s="144" t="s">
        <v>2265</v>
      </c>
      <c r="C1613" s="150" t="s">
        <v>147</v>
      </c>
      <c r="D1613" s="19"/>
      <c r="E1613" s="19"/>
      <c r="F1613" s="19"/>
      <c r="G1613" s="142" t="s">
        <v>147</v>
      </c>
      <c r="H1613" s="141"/>
      <c r="I1613" s="202" t="s">
        <v>18</v>
      </c>
      <c r="J1613" s="153">
        <v>1</v>
      </c>
      <c r="K1613" s="142" t="s">
        <v>730</v>
      </c>
      <c r="L1613" s="168" t="s">
        <v>2522</v>
      </c>
      <c r="M1613" s="11" t="str">
        <f>VLOOKUP(N1613,'Mã NV'!$A$3:$B$196,2,0)</f>
        <v>TE77</v>
      </c>
      <c r="N1613" s="297" t="s">
        <v>2597</v>
      </c>
      <c r="O1613" s="381">
        <v>44197</v>
      </c>
      <c r="P1613" s="371"/>
      <c r="Q1613" s="43"/>
      <c r="R1613" s="142" t="s">
        <v>272</v>
      </c>
    </row>
    <row r="1614" spans="1:18" ht="35.25" hidden="1" customHeight="1">
      <c r="A1614" s="15">
        <f t="shared" si="24"/>
        <v>1604</v>
      </c>
      <c r="B1614" s="144" t="s">
        <v>2266</v>
      </c>
      <c r="C1614" s="150" t="s">
        <v>147</v>
      </c>
      <c r="D1614" s="19"/>
      <c r="E1614" s="19"/>
      <c r="F1614" s="19"/>
      <c r="G1614" s="142" t="s">
        <v>147</v>
      </c>
      <c r="H1614" s="141"/>
      <c r="I1614" s="202" t="s">
        <v>18</v>
      </c>
      <c r="J1614" s="153">
        <v>1</v>
      </c>
      <c r="K1614" s="142" t="s">
        <v>730</v>
      </c>
      <c r="L1614" s="168" t="s">
        <v>2522</v>
      </c>
      <c r="M1614" s="11" t="str">
        <f>VLOOKUP(N1614,'Mã NV'!$A$3:$B$196,2,0)</f>
        <v>TE77</v>
      </c>
      <c r="N1614" s="297" t="s">
        <v>2597</v>
      </c>
      <c r="O1614" s="381">
        <v>44197</v>
      </c>
      <c r="P1614" s="371"/>
      <c r="Q1614" s="43"/>
      <c r="R1614" s="142" t="s">
        <v>272</v>
      </c>
    </row>
    <row r="1615" spans="1:18" ht="35.25" hidden="1" customHeight="1">
      <c r="A1615" s="15">
        <f t="shared" si="24"/>
        <v>1605</v>
      </c>
      <c r="B1615" s="144" t="s">
        <v>2267</v>
      </c>
      <c r="C1615" s="150" t="s">
        <v>147</v>
      </c>
      <c r="D1615" s="19"/>
      <c r="E1615" s="19"/>
      <c r="F1615" s="19"/>
      <c r="G1615" s="142" t="s">
        <v>147</v>
      </c>
      <c r="H1615" s="141"/>
      <c r="I1615" s="202" t="s">
        <v>18</v>
      </c>
      <c r="J1615" s="153">
        <v>1</v>
      </c>
      <c r="K1615" s="142" t="s">
        <v>730</v>
      </c>
      <c r="L1615" s="168" t="s">
        <v>2522</v>
      </c>
      <c r="M1615" s="11" t="str">
        <f>VLOOKUP(N1615,'Mã NV'!$A$3:$B$196,2,0)</f>
        <v>TE77</v>
      </c>
      <c r="N1615" s="297" t="s">
        <v>2597</v>
      </c>
      <c r="O1615" s="381">
        <v>44197</v>
      </c>
      <c r="P1615" s="371"/>
      <c r="Q1615" s="43"/>
      <c r="R1615" s="142" t="s">
        <v>272</v>
      </c>
    </row>
    <row r="1616" spans="1:18" ht="35.25" hidden="1" customHeight="1">
      <c r="A1616" s="15">
        <f t="shared" si="24"/>
        <v>1606</v>
      </c>
      <c r="B1616" s="144" t="s">
        <v>2268</v>
      </c>
      <c r="C1616" s="150" t="s">
        <v>147</v>
      </c>
      <c r="D1616" s="19"/>
      <c r="E1616" s="19"/>
      <c r="F1616" s="19"/>
      <c r="G1616" s="142" t="s">
        <v>147</v>
      </c>
      <c r="H1616" s="141"/>
      <c r="I1616" s="202" t="s">
        <v>18</v>
      </c>
      <c r="J1616" s="153">
        <v>1</v>
      </c>
      <c r="K1616" s="142" t="s">
        <v>730</v>
      </c>
      <c r="L1616" s="168" t="s">
        <v>2522</v>
      </c>
      <c r="M1616" s="11" t="str">
        <f>VLOOKUP(N1616,'Mã NV'!$A$3:$B$196,2,0)</f>
        <v>TE77</v>
      </c>
      <c r="N1616" s="297" t="s">
        <v>2597</v>
      </c>
      <c r="O1616" s="381">
        <v>44197</v>
      </c>
      <c r="P1616" s="371"/>
      <c r="Q1616" s="43"/>
      <c r="R1616" s="142" t="s">
        <v>272</v>
      </c>
    </row>
    <row r="1617" spans="1:18" ht="35.25" hidden="1" customHeight="1">
      <c r="A1617" s="15">
        <f t="shared" si="24"/>
        <v>1607</v>
      </c>
      <c r="B1617" s="144" t="s">
        <v>2269</v>
      </c>
      <c r="C1617" s="150" t="s">
        <v>147</v>
      </c>
      <c r="D1617" s="19"/>
      <c r="E1617" s="19"/>
      <c r="F1617" s="19"/>
      <c r="G1617" s="142" t="s">
        <v>147</v>
      </c>
      <c r="H1617" s="141"/>
      <c r="I1617" s="202" t="s">
        <v>18</v>
      </c>
      <c r="J1617" s="153">
        <v>1</v>
      </c>
      <c r="K1617" s="142" t="s">
        <v>730</v>
      </c>
      <c r="L1617" s="168" t="s">
        <v>2522</v>
      </c>
      <c r="M1617" s="11" t="str">
        <f>VLOOKUP(N1617,'Mã NV'!$A$3:$B$196,2,0)</f>
        <v>TE77</v>
      </c>
      <c r="N1617" s="297" t="s">
        <v>2597</v>
      </c>
      <c r="O1617" s="381">
        <v>44197</v>
      </c>
      <c r="P1617" s="371"/>
      <c r="Q1617" s="43"/>
      <c r="R1617" s="142" t="s">
        <v>272</v>
      </c>
    </row>
    <row r="1618" spans="1:18" ht="35.25" hidden="1" customHeight="1">
      <c r="A1618" s="15">
        <f t="shared" ref="A1618:A1682" si="25">A1617+1</f>
        <v>1608</v>
      </c>
      <c r="B1618" s="141" t="s">
        <v>2270</v>
      </c>
      <c r="C1618" s="150" t="s">
        <v>147</v>
      </c>
      <c r="D1618" s="19"/>
      <c r="E1618" s="19"/>
      <c r="F1618" s="19"/>
      <c r="G1618" s="142" t="s">
        <v>147</v>
      </c>
      <c r="H1618" s="141"/>
      <c r="I1618" s="202" t="s">
        <v>18</v>
      </c>
      <c r="J1618" s="153">
        <v>1</v>
      </c>
      <c r="K1618" s="142" t="s">
        <v>730</v>
      </c>
      <c r="L1618" s="168" t="s">
        <v>2522</v>
      </c>
      <c r="M1618" s="11" t="str">
        <f>VLOOKUP(N1618,'Mã NV'!$A$3:$B$196,2,0)</f>
        <v>TE77</v>
      </c>
      <c r="N1618" s="297" t="s">
        <v>2597</v>
      </c>
      <c r="O1618" s="381">
        <v>44197</v>
      </c>
      <c r="P1618" s="371"/>
      <c r="Q1618" s="43"/>
      <c r="R1618" s="142" t="s">
        <v>272</v>
      </c>
    </row>
    <row r="1619" spans="1:18" ht="35.25" hidden="1" customHeight="1">
      <c r="A1619" s="15">
        <f t="shared" si="25"/>
        <v>1609</v>
      </c>
      <c r="B1619" s="141" t="s">
        <v>2271</v>
      </c>
      <c r="C1619" s="150" t="s">
        <v>147</v>
      </c>
      <c r="D1619" s="19"/>
      <c r="E1619" s="19"/>
      <c r="F1619" s="19"/>
      <c r="G1619" s="142" t="s">
        <v>147</v>
      </c>
      <c r="H1619" s="141"/>
      <c r="I1619" s="202" t="s">
        <v>18</v>
      </c>
      <c r="J1619" s="153">
        <v>1</v>
      </c>
      <c r="K1619" s="142" t="s">
        <v>730</v>
      </c>
      <c r="L1619" s="168" t="s">
        <v>2522</v>
      </c>
      <c r="M1619" s="11" t="str">
        <f>VLOOKUP(N1619,'Mã NV'!$A$3:$B$196,2,0)</f>
        <v>TE77</v>
      </c>
      <c r="N1619" s="297" t="s">
        <v>2597</v>
      </c>
      <c r="O1619" s="381">
        <v>44197</v>
      </c>
      <c r="P1619" s="371"/>
      <c r="Q1619" s="43"/>
      <c r="R1619" s="142" t="s">
        <v>272</v>
      </c>
    </row>
    <row r="1620" spans="1:18" ht="35.25" hidden="1" customHeight="1">
      <c r="A1620" s="15">
        <f t="shared" si="25"/>
        <v>1610</v>
      </c>
      <c r="B1620" s="141" t="s">
        <v>2272</v>
      </c>
      <c r="C1620" s="150" t="s">
        <v>147</v>
      </c>
      <c r="D1620" s="19"/>
      <c r="E1620" s="19"/>
      <c r="F1620" s="19"/>
      <c r="G1620" s="142" t="s">
        <v>147</v>
      </c>
      <c r="H1620" s="141"/>
      <c r="I1620" s="202" t="s">
        <v>18</v>
      </c>
      <c r="J1620" s="153">
        <v>1</v>
      </c>
      <c r="K1620" s="142" t="s">
        <v>730</v>
      </c>
      <c r="L1620" s="168" t="s">
        <v>2522</v>
      </c>
      <c r="M1620" s="11" t="str">
        <f>VLOOKUP(N1620,'Mã NV'!$A$3:$B$196,2,0)</f>
        <v>TE77</v>
      </c>
      <c r="N1620" s="297" t="s">
        <v>2597</v>
      </c>
      <c r="O1620" s="381">
        <v>44197</v>
      </c>
      <c r="P1620" s="371"/>
      <c r="Q1620" s="43"/>
      <c r="R1620" s="142" t="s">
        <v>272</v>
      </c>
    </row>
    <row r="1621" spans="1:18" ht="35.25" hidden="1" customHeight="1">
      <c r="A1621" s="15">
        <f t="shared" si="25"/>
        <v>1611</v>
      </c>
      <c r="B1621" s="141" t="s">
        <v>2273</v>
      </c>
      <c r="C1621" s="150" t="s">
        <v>147</v>
      </c>
      <c r="D1621" s="19"/>
      <c r="E1621" s="19"/>
      <c r="F1621" s="19"/>
      <c r="G1621" s="142" t="s">
        <v>147</v>
      </c>
      <c r="H1621" s="141"/>
      <c r="I1621" s="202" t="s">
        <v>18</v>
      </c>
      <c r="J1621" s="153">
        <v>1</v>
      </c>
      <c r="K1621" s="142" t="s">
        <v>730</v>
      </c>
      <c r="L1621" s="168" t="s">
        <v>2522</v>
      </c>
      <c r="M1621" s="11" t="str">
        <f>VLOOKUP(N1621,'Mã NV'!$A$3:$B$196,2,0)</f>
        <v>TE77</v>
      </c>
      <c r="N1621" s="297" t="s">
        <v>2597</v>
      </c>
      <c r="O1621" s="381">
        <v>44197</v>
      </c>
      <c r="P1621" s="371"/>
      <c r="Q1621" s="43"/>
      <c r="R1621" s="142" t="s">
        <v>272</v>
      </c>
    </row>
    <row r="1622" spans="1:18" ht="35.25" hidden="1" customHeight="1">
      <c r="A1622" s="15">
        <f t="shared" si="25"/>
        <v>1612</v>
      </c>
      <c r="B1622" s="141" t="s">
        <v>2274</v>
      </c>
      <c r="C1622" s="150" t="s">
        <v>147</v>
      </c>
      <c r="D1622" s="19"/>
      <c r="E1622" s="19"/>
      <c r="F1622" s="19"/>
      <c r="G1622" s="142" t="s">
        <v>147</v>
      </c>
      <c r="H1622" s="141"/>
      <c r="I1622" s="202" t="s">
        <v>18</v>
      </c>
      <c r="J1622" s="153">
        <v>1</v>
      </c>
      <c r="K1622" s="142" t="s">
        <v>730</v>
      </c>
      <c r="L1622" s="168" t="s">
        <v>2522</v>
      </c>
      <c r="M1622" s="11" t="str">
        <f>VLOOKUP(N1622,'Mã NV'!$A$3:$B$196,2,0)</f>
        <v>TE77</v>
      </c>
      <c r="N1622" s="297" t="s">
        <v>2597</v>
      </c>
      <c r="O1622" s="381">
        <v>44197</v>
      </c>
      <c r="P1622" s="371"/>
      <c r="Q1622" s="43"/>
      <c r="R1622" s="142" t="s">
        <v>272</v>
      </c>
    </row>
    <row r="1623" spans="1:18" ht="35.25" hidden="1" customHeight="1">
      <c r="A1623" s="15">
        <f t="shared" si="25"/>
        <v>1613</v>
      </c>
      <c r="B1623" s="141" t="s">
        <v>2275</v>
      </c>
      <c r="C1623" s="150" t="s">
        <v>147</v>
      </c>
      <c r="D1623" s="19"/>
      <c r="E1623" s="19"/>
      <c r="F1623" s="19"/>
      <c r="G1623" s="142" t="s">
        <v>147</v>
      </c>
      <c r="H1623" s="141"/>
      <c r="I1623" s="202" t="s">
        <v>18</v>
      </c>
      <c r="J1623" s="153">
        <v>1</v>
      </c>
      <c r="K1623" s="142" t="s">
        <v>730</v>
      </c>
      <c r="L1623" s="168" t="s">
        <v>2522</v>
      </c>
      <c r="M1623" s="11" t="str">
        <f>VLOOKUP(N1623,'Mã NV'!$A$3:$B$196,2,0)</f>
        <v>TE77</v>
      </c>
      <c r="N1623" s="297" t="s">
        <v>2597</v>
      </c>
      <c r="O1623" s="381">
        <v>44197</v>
      </c>
      <c r="P1623" s="371"/>
      <c r="Q1623" s="43"/>
      <c r="R1623" s="142" t="s">
        <v>272</v>
      </c>
    </row>
    <row r="1624" spans="1:18" ht="35.25" hidden="1" customHeight="1">
      <c r="A1624" s="15">
        <f t="shared" si="25"/>
        <v>1614</v>
      </c>
      <c r="B1624" s="141" t="s">
        <v>2276</v>
      </c>
      <c r="C1624" s="150" t="s">
        <v>147</v>
      </c>
      <c r="D1624" s="19"/>
      <c r="E1624" s="19"/>
      <c r="F1624" s="19"/>
      <c r="G1624" s="142" t="s">
        <v>147</v>
      </c>
      <c r="H1624" s="141"/>
      <c r="I1624" s="202" t="s">
        <v>18</v>
      </c>
      <c r="J1624" s="153">
        <v>1</v>
      </c>
      <c r="K1624" s="142" t="s">
        <v>730</v>
      </c>
      <c r="L1624" s="168" t="s">
        <v>2522</v>
      </c>
      <c r="M1624" s="11" t="str">
        <f>VLOOKUP(N1624,'Mã NV'!$A$3:$B$196,2,0)</f>
        <v>TE77</v>
      </c>
      <c r="N1624" s="297" t="s">
        <v>2597</v>
      </c>
      <c r="O1624" s="381">
        <v>44197</v>
      </c>
      <c r="P1624" s="371"/>
      <c r="Q1624" s="43"/>
      <c r="R1624" s="142" t="s">
        <v>272</v>
      </c>
    </row>
    <row r="1625" spans="1:18" ht="35.25" hidden="1" customHeight="1">
      <c r="A1625" s="15">
        <f t="shared" si="25"/>
        <v>1615</v>
      </c>
      <c r="B1625" s="11" t="s">
        <v>2277</v>
      </c>
      <c r="C1625" s="150" t="s">
        <v>985</v>
      </c>
      <c r="D1625" s="19"/>
      <c r="E1625" s="19"/>
      <c r="F1625" s="19"/>
      <c r="G1625" s="142"/>
      <c r="H1625" s="141"/>
      <c r="I1625" s="202" t="s">
        <v>18</v>
      </c>
      <c r="J1625" s="153">
        <v>1</v>
      </c>
      <c r="K1625" s="142" t="s">
        <v>730</v>
      </c>
      <c r="L1625" s="168" t="s">
        <v>2522</v>
      </c>
      <c r="M1625" s="11" t="str">
        <f>VLOOKUP(N1625,'Mã NV'!$A$3:$B$196,2,0)</f>
        <v>TE77</v>
      </c>
      <c r="N1625" s="297" t="s">
        <v>2597</v>
      </c>
      <c r="O1625" s="380">
        <f>VLOOKUP(B1625,'Tổng hợp (3)'!$C$4:$E$985,3,0)</f>
        <v>44905</v>
      </c>
      <c r="P1625" s="378"/>
      <c r="Q1625" s="43"/>
      <c r="R1625" s="142" t="s">
        <v>272</v>
      </c>
    </row>
    <row r="1626" spans="1:18" ht="35.25" hidden="1" customHeight="1">
      <c r="A1626" s="15">
        <f t="shared" si="25"/>
        <v>1616</v>
      </c>
      <c r="B1626" s="11" t="s">
        <v>2278</v>
      </c>
      <c r="C1626" s="150" t="s">
        <v>985</v>
      </c>
      <c r="D1626" s="19"/>
      <c r="E1626" s="19"/>
      <c r="F1626" s="19"/>
      <c r="G1626" s="142"/>
      <c r="H1626" s="141"/>
      <c r="I1626" s="202" t="s">
        <v>18</v>
      </c>
      <c r="J1626" s="153">
        <v>1</v>
      </c>
      <c r="K1626" s="142" t="s">
        <v>730</v>
      </c>
      <c r="L1626" s="168" t="s">
        <v>2522</v>
      </c>
      <c r="M1626" s="11" t="str">
        <f>VLOOKUP(N1626,'Mã NV'!$A$3:$B$196,2,0)</f>
        <v>TE77</v>
      </c>
      <c r="N1626" s="297" t="s">
        <v>2597</v>
      </c>
      <c r="O1626" s="380">
        <f>VLOOKUP(B1626,'Tổng hợp (3)'!$C$4:$E$985,3,0)</f>
        <v>44905</v>
      </c>
      <c r="P1626" s="378"/>
      <c r="Q1626" s="43"/>
      <c r="R1626" s="142" t="s">
        <v>272</v>
      </c>
    </row>
    <row r="1627" spans="1:18" ht="35.25" hidden="1" customHeight="1">
      <c r="A1627" s="15">
        <f t="shared" si="25"/>
        <v>1617</v>
      </c>
      <c r="B1627" s="11" t="s">
        <v>2279</v>
      </c>
      <c r="C1627" s="150" t="s">
        <v>985</v>
      </c>
      <c r="D1627" s="19"/>
      <c r="E1627" s="19"/>
      <c r="F1627" s="19"/>
      <c r="G1627" s="142"/>
      <c r="H1627" s="141"/>
      <c r="I1627" s="202" t="s">
        <v>18</v>
      </c>
      <c r="J1627" s="153">
        <v>1</v>
      </c>
      <c r="K1627" s="142" t="s">
        <v>730</v>
      </c>
      <c r="L1627" s="168" t="s">
        <v>2522</v>
      </c>
      <c r="M1627" s="11" t="str">
        <f>VLOOKUP(N1627,'Mã NV'!$A$3:$B$196,2,0)</f>
        <v>TE77</v>
      </c>
      <c r="N1627" s="297" t="s">
        <v>2597</v>
      </c>
      <c r="O1627" s="380">
        <f>VLOOKUP(B1627,'Tổng hợp (3)'!$C$4:$E$985,3,0)</f>
        <v>44905</v>
      </c>
      <c r="P1627" s="378"/>
      <c r="Q1627" s="43"/>
      <c r="R1627" s="142" t="s">
        <v>272</v>
      </c>
    </row>
    <row r="1628" spans="1:18" ht="35.25" hidden="1" customHeight="1">
      <c r="A1628" s="15">
        <f t="shared" si="25"/>
        <v>1618</v>
      </c>
      <c r="B1628" s="11" t="s">
        <v>2280</v>
      </c>
      <c r="C1628" s="150" t="s">
        <v>985</v>
      </c>
      <c r="D1628" s="19"/>
      <c r="E1628" s="19"/>
      <c r="F1628" s="19"/>
      <c r="G1628" s="142"/>
      <c r="H1628" s="141"/>
      <c r="I1628" s="202" t="s">
        <v>18</v>
      </c>
      <c r="J1628" s="153">
        <v>1</v>
      </c>
      <c r="K1628" s="142" t="s">
        <v>730</v>
      </c>
      <c r="L1628" s="168" t="s">
        <v>2522</v>
      </c>
      <c r="M1628" s="11" t="str">
        <f>VLOOKUP(N1628,'Mã NV'!$A$3:$B$196,2,0)</f>
        <v>TE77</v>
      </c>
      <c r="N1628" s="297" t="s">
        <v>2597</v>
      </c>
      <c r="O1628" s="380">
        <f>VLOOKUP(B1628,'Tổng hợp (3)'!$C$4:$E$985,3,0)</f>
        <v>44905</v>
      </c>
      <c r="P1628" s="378"/>
      <c r="Q1628" s="43"/>
      <c r="R1628" s="142" t="s">
        <v>272</v>
      </c>
    </row>
    <row r="1629" spans="1:18" ht="35.25" hidden="1" customHeight="1">
      <c r="A1629" s="15">
        <f t="shared" si="25"/>
        <v>1619</v>
      </c>
      <c r="B1629" s="11" t="s">
        <v>2281</v>
      </c>
      <c r="C1629" s="150" t="s">
        <v>985</v>
      </c>
      <c r="D1629" s="19"/>
      <c r="E1629" s="19"/>
      <c r="F1629" s="19"/>
      <c r="G1629" s="142"/>
      <c r="H1629" s="141"/>
      <c r="I1629" s="202" t="s">
        <v>18</v>
      </c>
      <c r="J1629" s="153">
        <v>1</v>
      </c>
      <c r="K1629" s="142" t="s">
        <v>730</v>
      </c>
      <c r="L1629" s="168" t="s">
        <v>2522</v>
      </c>
      <c r="M1629" s="11" t="str">
        <f>VLOOKUP(N1629,'Mã NV'!$A$3:$B$196,2,0)</f>
        <v>TE77</v>
      </c>
      <c r="N1629" s="297" t="s">
        <v>2597</v>
      </c>
      <c r="O1629" s="380">
        <f>VLOOKUP(B1629,'Tổng hợp (3)'!$C$4:$E$985,3,0)</f>
        <v>44905</v>
      </c>
      <c r="P1629" s="378"/>
      <c r="Q1629" s="43"/>
      <c r="R1629" s="142" t="s">
        <v>272</v>
      </c>
    </row>
    <row r="1630" spans="1:18" ht="35.25" hidden="1" customHeight="1">
      <c r="A1630" s="15">
        <f t="shared" si="25"/>
        <v>1620</v>
      </c>
      <c r="B1630" s="11" t="s">
        <v>2282</v>
      </c>
      <c r="C1630" s="150" t="s">
        <v>985</v>
      </c>
      <c r="D1630" s="19"/>
      <c r="E1630" s="19"/>
      <c r="F1630" s="19"/>
      <c r="G1630" s="142"/>
      <c r="H1630" s="141"/>
      <c r="I1630" s="202" t="s">
        <v>18</v>
      </c>
      <c r="J1630" s="153">
        <v>1</v>
      </c>
      <c r="K1630" s="142" t="s">
        <v>730</v>
      </c>
      <c r="L1630" s="168" t="s">
        <v>2522</v>
      </c>
      <c r="M1630" s="11" t="str">
        <f>VLOOKUP(N1630,'Mã NV'!$A$3:$B$196,2,0)</f>
        <v>TE77</v>
      </c>
      <c r="N1630" s="297" t="s">
        <v>2597</v>
      </c>
      <c r="O1630" s="380">
        <f>VLOOKUP(B1630,'Tổng hợp (3)'!$C$4:$E$985,3,0)</f>
        <v>44905</v>
      </c>
      <c r="P1630" s="378"/>
      <c r="Q1630" s="43"/>
      <c r="R1630" s="142" t="s">
        <v>272</v>
      </c>
    </row>
    <row r="1631" spans="1:18" ht="35.25" hidden="1" customHeight="1">
      <c r="A1631" s="15">
        <f t="shared" si="25"/>
        <v>1621</v>
      </c>
      <c r="B1631" s="11" t="s">
        <v>2283</v>
      </c>
      <c r="C1631" s="150" t="s">
        <v>985</v>
      </c>
      <c r="D1631" s="19"/>
      <c r="E1631" s="19"/>
      <c r="F1631" s="19"/>
      <c r="G1631" s="142"/>
      <c r="H1631" s="141"/>
      <c r="I1631" s="202" t="s">
        <v>18</v>
      </c>
      <c r="J1631" s="153">
        <v>1</v>
      </c>
      <c r="K1631" s="142" t="s">
        <v>730</v>
      </c>
      <c r="L1631" s="168" t="s">
        <v>2522</v>
      </c>
      <c r="M1631" s="11" t="str">
        <f>VLOOKUP(N1631,'Mã NV'!$A$3:$B$196,2,0)</f>
        <v>TE77</v>
      </c>
      <c r="N1631" s="297" t="s">
        <v>2597</v>
      </c>
      <c r="O1631" s="380">
        <f>VLOOKUP(B1631,'Tổng hợp (3)'!$C$4:$E$985,3,0)</f>
        <v>44905</v>
      </c>
      <c r="P1631" s="378"/>
      <c r="Q1631" s="43"/>
      <c r="R1631" s="142" t="s">
        <v>272</v>
      </c>
    </row>
    <row r="1632" spans="1:18" ht="35.25" hidden="1" customHeight="1">
      <c r="A1632" s="15">
        <f t="shared" si="25"/>
        <v>1622</v>
      </c>
      <c r="B1632" s="144" t="s">
        <v>2284</v>
      </c>
      <c r="C1632" s="150" t="s">
        <v>985</v>
      </c>
      <c r="D1632" s="19"/>
      <c r="E1632" s="19"/>
      <c r="F1632" s="19"/>
      <c r="G1632" s="142"/>
      <c r="H1632" s="141"/>
      <c r="I1632" s="202" t="s">
        <v>18</v>
      </c>
      <c r="J1632" s="153">
        <v>1</v>
      </c>
      <c r="K1632" s="142" t="s">
        <v>730</v>
      </c>
      <c r="L1632" s="168" t="s">
        <v>2522</v>
      </c>
      <c r="M1632" s="11" t="str">
        <f>VLOOKUP(N1632,'Mã NV'!$A$3:$B$196,2,0)</f>
        <v>TE77</v>
      </c>
      <c r="N1632" s="297" t="s">
        <v>2597</v>
      </c>
      <c r="O1632" s="381">
        <v>44197</v>
      </c>
      <c r="P1632" s="371"/>
      <c r="Q1632" s="43"/>
      <c r="R1632" s="142" t="s">
        <v>272</v>
      </c>
    </row>
    <row r="1633" spans="1:18" ht="35.25" hidden="1" customHeight="1">
      <c r="A1633" s="15">
        <f t="shared" si="25"/>
        <v>1623</v>
      </c>
      <c r="B1633" s="144" t="s">
        <v>2285</v>
      </c>
      <c r="C1633" s="150" t="s">
        <v>985</v>
      </c>
      <c r="D1633" s="19"/>
      <c r="E1633" s="19"/>
      <c r="F1633" s="19"/>
      <c r="G1633" s="142"/>
      <c r="H1633" s="141"/>
      <c r="I1633" s="202" t="s">
        <v>18</v>
      </c>
      <c r="J1633" s="153">
        <v>1</v>
      </c>
      <c r="K1633" s="142" t="s">
        <v>730</v>
      </c>
      <c r="L1633" s="168" t="s">
        <v>2522</v>
      </c>
      <c r="M1633" s="11" t="str">
        <f>VLOOKUP(N1633,'Mã NV'!$A$3:$B$196,2,0)</f>
        <v>TE77</v>
      </c>
      <c r="N1633" s="297" t="s">
        <v>2597</v>
      </c>
      <c r="O1633" s="381">
        <v>44197</v>
      </c>
      <c r="P1633" s="371"/>
      <c r="Q1633" s="43"/>
      <c r="R1633" s="142" t="s">
        <v>272</v>
      </c>
    </row>
    <row r="1634" spans="1:18" ht="35.25" hidden="1" customHeight="1">
      <c r="A1634" s="15">
        <f t="shared" si="25"/>
        <v>1624</v>
      </c>
      <c r="B1634" s="144" t="s">
        <v>2286</v>
      </c>
      <c r="C1634" s="150" t="s">
        <v>985</v>
      </c>
      <c r="D1634" s="19"/>
      <c r="E1634" s="19"/>
      <c r="F1634" s="19"/>
      <c r="G1634" s="142"/>
      <c r="H1634" s="141"/>
      <c r="I1634" s="202" t="s">
        <v>18</v>
      </c>
      <c r="J1634" s="153">
        <v>1</v>
      </c>
      <c r="K1634" s="142" t="s">
        <v>730</v>
      </c>
      <c r="L1634" s="168" t="s">
        <v>2522</v>
      </c>
      <c r="M1634" s="11" t="str">
        <f>VLOOKUP(N1634,'Mã NV'!$A$3:$B$196,2,0)</f>
        <v>TE77</v>
      </c>
      <c r="N1634" s="297" t="s">
        <v>2597</v>
      </c>
      <c r="O1634" s="381">
        <v>44197</v>
      </c>
      <c r="P1634" s="371"/>
      <c r="Q1634" s="43"/>
      <c r="R1634" s="142" t="s">
        <v>272</v>
      </c>
    </row>
    <row r="1635" spans="1:18" ht="35.25" hidden="1" customHeight="1">
      <c r="A1635" s="15">
        <f t="shared" si="25"/>
        <v>1625</v>
      </c>
      <c r="B1635" s="144" t="s">
        <v>2287</v>
      </c>
      <c r="C1635" s="150" t="s">
        <v>985</v>
      </c>
      <c r="D1635" s="19"/>
      <c r="E1635" s="19"/>
      <c r="F1635" s="19"/>
      <c r="G1635" s="142"/>
      <c r="H1635" s="141"/>
      <c r="I1635" s="202" t="s">
        <v>18</v>
      </c>
      <c r="J1635" s="153">
        <v>1</v>
      </c>
      <c r="K1635" s="142" t="s">
        <v>730</v>
      </c>
      <c r="L1635" s="168" t="s">
        <v>2522</v>
      </c>
      <c r="M1635" s="11" t="str">
        <f>VLOOKUP(N1635,'Mã NV'!$A$3:$B$196,2,0)</f>
        <v>TE77</v>
      </c>
      <c r="N1635" s="297" t="s">
        <v>2597</v>
      </c>
      <c r="O1635" s="381">
        <v>44197</v>
      </c>
      <c r="P1635" s="371"/>
      <c r="Q1635" s="43"/>
      <c r="R1635" s="142" t="s">
        <v>272</v>
      </c>
    </row>
    <row r="1636" spans="1:18" ht="35.25" hidden="1" customHeight="1">
      <c r="A1636" s="15">
        <f t="shared" si="25"/>
        <v>1626</v>
      </c>
      <c r="B1636" s="144" t="s">
        <v>2288</v>
      </c>
      <c r="C1636" s="150" t="s">
        <v>985</v>
      </c>
      <c r="D1636" s="19"/>
      <c r="E1636" s="19"/>
      <c r="F1636" s="19"/>
      <c r="G1636" s="142"/>
      <c r="H1636" s="141"/>
      <c r="I1636" s="202" t="s">
        <v>18</v>
      </c>
      <c r="J1636" s="153">
        <v>1</v>
      </c>
      <c r="K1636" s="142" t="s">
        <v>730</v>
      </c>
      <c r="L1636" s="168" t="s">
        <v>2522</v>
      </c>
      <c r="M1636" s="11" t="str">
        <f>VLOOKUP(N1636,'Mã NV'!$A$3:$B$196,2,0)</f>
        <v>TE77</v>
      </c>
      <c r="N1636" s="297" t="s">
        <v>2597</v>
      </c>
      <c r="O1636" s="381">
        <v>44197</v>
      </c>
      <c r="P1636" s="371"/>
      <c r="Q1636" s="43"/>
      <c r="R1636" s="142" t="s">
        <v>272</v>
      </c>
    </row>
    <row r="1637" spans="1:18" ht="35.25" hidden="1" customHeight="1">
      <c r="A1637" s="15">
        <f t="shared" si="25"/>
        <v>1627</v>
      </c>
      <c r="B1637" s="144" t="s">
        <v>2289</v>
      </c>
      <c r="C1637" s="150" t="s">
        <v>985</v>
      </c>
      <c r="D1637" s="19"/>
      <c r="E1637" s="19"/>
      <c r="F1637" s="19"/>
      <c r="G1637" s="142"/>
      <c r="H1637" s="141"/>
      <c r="I1637" s="202" t="s">
        <v>18</v>
      </c>
      <c r="J1637" s="153">
        <v>1</v>
      </c>
      <c r="K1637" s="142" t="s">
        <v>730</v>
      </c>
      <c r="L1637" s="168" t="s">
        <v>2522</v>
      </c>
      <c r="M1637" s="11" t="str">
        <f>VLOOKUP(N1637,'Mã NV'!$A$3:$B$196,2,0)</f>
        <v>TE77</v>
      </c>
      <c r="N1637" s="297" t="s">
        <v>2597</v>
      </c>
      <c r="O1637" s="381">
        <v>44197</v>
      </c>
      <c r="P1637" s="371"/>
      <c r="Q1637" s="43"/>
      <c r="R1637" s="142" t="s">
        <v>272</v>
      </c>
    </row>
    <row r="1638" spans="1:18" ht="35.25" hidden="1" customHeight="1">
      <c r="A1638" s="15">
        <f t="shared" si="25"/>
        <v>1628</v>
      </c>
      <c r="B1638" s="144" t="s">
        <v>2290</v>
      </c>
      <c r="C1638" s="150" t="s">
        <v>985</v>
      </c>
      <c r="D1638" s="19"/>
      <c r="E1638" s="19"/>
      <c r="F1638" s="19"/>
      <c r="G1638" s="142"/>
      <c r="H1638" s="141"/>
      <c r="I1638" s="202" t="s">
        <v>18</v>
      </c>
      <c r="J1638" s="153">
        <v>1</v>
      </c>
      <c r="K1638" s="142" t="s">
        <v>730</v>
      </c>
      <c r="L1638" s="168" t="s">
        <v>2522</v>
      </c>
      <c r="M1638" s="11" t="str">
        <f>VLOOKUP(N1638,'Mã NV'!$A$3:$B$196,2,0)</f>
        <v>TE77</v>
      </c>
      <c r="N1638" s="297" t="s">
        <v>2597</v>
      </c>
      <c r="O1638" s="381">
        <v>44197</v>
      </c>
      <c r="P1638" s="371"/>
      <c r="Q1638" s="43"/>
      <c r="R1638" s="142" t="s">
        <v>272</v>
      </c>
    </row>
    <row r="1639" spans="1:18" ht="35.25" hidden="1" customHeight="1">
      <c r="A1639" s="15">
        <f t="shared" si="25"/>
        <v>1629</v>
      </c>
      <c r="B1639" s="144" t="s">
        <v>2291</v>
      </c>
      <c r="C1639" s="150" t="s">
        <v>985</v>
      </c>
      <c r="D1639" s="19"/>
      <c r="E1639" s="19"/>
      <c r="F1639" s="19"/>
      <c r="G1639" s="142"/>
      <c r="H1639" s="141"/>
      <c r="I1639" s="202" t="s">
        <v>18</v>
      </c>
      <c r="J1639" s="153">
        <v>1</v>
      </c>
      <c r="K1639" s="142" t="s">
        <v>730</v>
      </c>
      <c r="L1639" s="168" t="s">
        <v>2522</v>
      </c>
      <c r="M1639" s="11" t="str">
        <f>VLOOKUP(N1639,'Mã NV'!$A$3:$B$196,2,0)</f>
        <v>TE77</v>
      </c>
      <c r="N1639" s="297" t="s">
        <v>2597</v>
      </c>
      <c r="O1639" s="381">
        <v>44197</v>
      </c>
      <c r="P1639" s="371"/>
      <c r="Q1639" s="43"/>
      <c r="R1639" s="142" t="s">
        <v>272</v>
      </c>
    </row>
    <row r="1640" spans="1:18" ht="35.25" hidden="1" customHeight="1">
      <c r="A1640" s="15">
        <f t="shared" si="25"/>
        <v>1630</v>
      </c>
      <c r="B1640" s="144" t="s">
        <v>2292</v>
      </c>
      <c r="C1640" s="150" t="s">
        <v>985</v>
      </c>
      <c r="D1640" s="19"/>
      <c r="E1640" s="19"/>
      <c r="F1640" s="19"/>
      <c r="G1640" s="142"/>
      <c r="H1640" s="141"/>
      <c r="I1640" s="202" t="s">
        <v>18</v>
      </c>
      <c r="J1640" s="153">
        <v>1</v>
      </c>
      <c r="K1640" s="142" t="s">
        <v>730</v>
      </c>
      <c r="L1640" s="168" t="s">
        <v>2522</v>
      </c>
      <c r="M1640" s="11" t="str">
        <f>VLOOKUP(N1640,'Mã NV'!$A$3:$B$196,2,0)</f>
        <v>TE77</v>
      </c>
      <c r="N1640" s="297" t="s">
        <v>2597</v>
      </c>
      <c r="O1640" s="381">
        <v>44197</v>
      </c>
      <c r="P1640" s="371"/>
      <c r="Q1640" s="43"/>
      <c r="R1640" s="142" t="s">
        <v>272</v>
      </c>
    </row>
    <row r="1641" spans="1:18" ht="35.25" hidden="1" customHeight="1">
      <c r="A1641" s="15">
        <f t="shared" si="25"/>
        <v>1631</v>
      </c>
      <c r="B1641" s="144" t="s">
        <v>2293</v>
      </c>
      <c r="C1641" s="150" t="s">
        <v>985</v>
      </c>
      <c r="D1641" s="19"/>
      <c r="E1641" s="19"/>
      <c r="F1641" s="19"/>
      <c r="G1641" s="142"/>
      <c r="H1641" s="141"/>
      <c r="I1641" s="202" t="s">
        <v>18</v>
      </c>
      <c r="J1641" s="153">
        <v>1</v>
      </c>
      <c r="K1641" s="142" t="s">
        <v>730</v>
      </c>
      <c r="L1641" s="168" t="s">
        <v>2522</v>
      </c>
      <c r="M1641" s="11" t="str">
        <f>VLOOKUP(N1641,'Mã NV'!$A$3:$B$196,2,0)</f>
        <v>TE77</v>
      </c>
      <c r="N1641" s="297" t="s">
        <v>2597</v>
      </c>
      <c r="O1641" s="381">
        <v>44197</v>
      </c>
      <c r="P1641" s="371"/>
      <c r="Q1641" s="43"/>
      <c r="R1641" s="142" t="s">
        <v>272</v>
      </c>
    </row>
    <row r="1642" spans="1:18" ht="35.25" hidden="1" customHeight="1">
      <c r="A1642" s="15">
        <f t="shared" si="25"/>
        <v>1632</v>
      </c>
      <c r="B1642" s="144" t="s">
        <v>2294</v>
      </c>
      <c r="C1642" s="150" t="s">
        <v>985</v>
      </c>
      <c r="D1642" s="19"/>
      <c r="E1642" s="19"/>
      <c r="F1642" s="19"/>
      <c r="G1642" s="142"/>
      <c r="H1642" s="141"/>
      <c r="I1642" s="202" t="s">
        <v>18</v>
      </c>
      <c r="J1642" s="153">
        <v>1</v>
      </c>
      <c r="K1642" s="142" t="s">
        <v>730</v>
      </c>
      <c r="L1642" s="168" t="s">
        <v>2522</v>
      </c>
      <c r="M1642" s="11" t="str">
        <f>VLOOKUP(N1642,'Mã NV'!$A$3:$B$196,2,0)</f>
        <v>TE77</v>
      </c>
      <c r="N1642" s="297" t="s">
        <v>2597</v>
      </c>
      <c r="O1642" s="381">
        <v>44197</v>
      </c>
      <c r="P1642" s="371"/>
      <c r="Q1642" s="43"/>
      <c r="R1642" s="142" t="s">
        <v>272</v>
      </c>
    </row>
    <row r="1643" spans="1:18" ht="35.25" hidden="1" customHeight="1">
      <c r="A1643" s="15">
        <f t="shared" si="25"/>
        <v>1633</v>
      </c>
      <c r="B1643" s="144" t="s">
        <v>2295</v>
      </c>
      <c r="C1643" s="150" t="s">
        <v>985</v>
      </c>
      <c r="D1643" s="19"/>
      <c r="E1643" s="19"/>
      <c r="F1643" s="19"/>
      <c r="G1643" s="142"/>
      <c r="H1643" s="141"/>
      <c r="I1643" s="202" t="s">
        <v>18</v>
      </c>
      <c r="J1643" s="153">
        <v>1</v>
      </c>
      <c r="K1643" s="142" t="s">
        <v>730</v>
      </c>
      <c r="L1643" s="168" t="s">
        <v>2522</v>
      </c>
      <c r="M1643" s="11" t="str">
        <f>VLOOKUP(N1643,'Mã NV'!$A$3:$B$196,2,0)</f>
        <v>TE77</v>
      </c>
      <c r="N1643" s="297" t="s">
        <v>2597</v>
      </c>
      <c r="O1643" s="381">
        <v>44197</v>
      </c>
      <c r="P1643" s="371"/>
      <c r="Q1643" s="43"/>
      <c r="R1643" s="142" t="s">
        <v>272</v>
      </c>
    </row>
    <row r="1644" spans="1:18" ht="35.25" hidden="1" customHeight="1">
      <c r="A1644" s="15">
        <f t="shared" si="25"/>
        <v>1634</v>
      </c>
      <c r="B1644" s="144" t="s">
        <v>2296</v>
      </c>
      <c r="C1644" s="150" t="s">
        <v>985</v>
      </c>
      <c r="D1644" s="19"/>
      <c r="E1644" s="19"/>
      <c r="F1644" s="19"/>
      <c r="G1644" s="142"/>
      <c r="H1644" s="141"/>
      <c r="I1644" s="202" t="s">
        <v>18</v>
      </c>
      <c r="J1644" s="153">
        <v>1</v>
      </c>
      <c r="K1644" s="142" t="s">
        <v>730</v>
      </c>
      <c r="L1644" s="168" t="s">
        <v>2522</v>
      </c>
      <c r="M1644" s="11" t="str">
        <f>VLOOKUP(N1644,'Mã NV'!$A$3:$B$196,2,0)</f>
        <v>TE77</v>
      </c>
      <c r="N1644" s="297" t="s">
        <v>2597</v>
      </c>
      <c r="O1644" s="381">
        <v>44197</v>
      </c>
      <c r="P1644" s="371"/>
      <c r="Q1644" s="43"/>
      <c r="R1644" s="142" t="s">
        <v>272</v>
      </c>
    </row>
    <row r="1645" spans="1:18" ht="35.25" hidden="1" customHeight="1">
      <c r="A1645" s="15">
        <f t="shared" si="25"/>
        <v>1635</v>
      </c>
      <c r="B1645" s="144" t="s">
        <v>2297</v>
      </c>
      <c r="C1645" s="150" t="s">
        <v>985</v>
      </c>
      <c r="D1645" s="19"/>
      <c r="E1645" s="19"/>
      <c r="F1645" s="19"/>
      <c r="G1645" s="142"/>
      <c r="H1645" s="141"/>
      <c r="I1645" s="202" t="s">
        <v>18</v>
      </c>
      <c r="J1645" s="153">
        <v>1</v>
      </c>
      <c r="K1645" s="142" t="s">
        <v>730</v>
      </c>
      <c r="L1645" s="168" t="s">
        <v>2522</v>
      </c>
      <c r="M1645" s="11" t="str">
        <f>VLOOKUP(N1645,'Mã NV'!$A$3:$B$196,2,0)</f>
        <v>TE77</v>
      </c>
      <c r="N1645" s="297" t="s">
        <v>2597</v>
      </c>
      <c r="O1645" s="381">
        <v>44197</v>
      </c>
      <c r="P1645" s="371"/>
      <c r="Q1645" s="43"/>
      <c r="R1645" s="142" t="s">
        <v>272</v>
      </c>
    </row>
    <row r="1646" spans="1:18" ht="35.25" hidden="1" customHeight="1">
      <c r="A1646" s="15">
        <f t="shared" si="25"/>
        <v>1636</v>
      </c>
      <c r="B1646" s="144" t="s">
        <v>2298</v>
      </c>
      <c r="C1646" s="150" t="s">
        <v>985</v>
      </c>
      <c r="D1646" s="19"/>
      <c r="E1646" s="19"/>
      <c r="F1646" s="19"/>
      <c r="G1646" s="142"/>
      <c r="H1646" s="141"/>
      <c r="I1646" s="202" t="s">
        <v>18</v>
      </c>
      <c r="J1646" s="153">
        <v>1</v>
      </c>
      <c r="K1646" s="142" t="s">
        <v>730</v>
      </c>
      <c r="L1646" s="168" t="s">
        <v>2522</v>
      </c>
      <c r="M1646" s="11" t="str">
        <f>VLOOKUP(N1646,'Mã NV'!$A$3:$B$196,2,0)</f>
        <v>TE77</v>
      </c>
      <c r="N1646" s="297" t="s">
        <v>2597</v>
      </c>
      <c r="O1646" s="381">
        <v>44197</v>
      </c>
      <c r="P1646" s="371"/>
      <c r="Q1646" s="43"/>
      <c r="R1646" s="142" t="s">
        <v>272</v>
      </c>
    </row>
    <row r="1647" spans="1:18" ht="35.25" hidden="1" customHeight="1">
      <c r="A1647" s="15">
        <f t="shared" si="25"/>
        <v>1637</v>
      </c>
      <c r="B1647" s="144" t="s">
        <v>2299</v>
      </c>
      <c r="C1647" s="150" t="s">
        <v>985</v>
      </c>
      <c r="D1647" s="19"/>
      <c r="E1647" s="19"/>
      <c r="F1647" s="19"/>
      <c r="G1647" s="142"/>
      <c r="H1647" s="141"/>
      <c r="I1647" s="202" t="s">
        <v>18</v>
      </c>
      <c r="J1647" s="153">
        <v>1</v>
      </c>
      <c r="K1647" s="142" t="s">
        <v>730</v>
      </c>
      <c r="L1647" s="168" t="s">
        <v>2522</v>
      </c>
      <c r="M1647" s="11" t="str">
        <f>VLOOKUP(N1647,'Mã NV'!$A$3:$B$196,2,0)</f>
        <v>TE77</v>
      </c>
      <c r="N1647" s="297" t="s">
        <v>2597</v>
      </c>
      <c r="O1647" s="381">
        <v>44197</v>
      </c>
      <c r="P1647" s="371"/>
      <c r="Q1647" s="43"/>
      <c r="R1647" s="142" t="s">
        <v>272</v>
      </c>
    </row>
    <row r="1648" spans="1:18" ht="35.25" hidden="1" customHeight="1">
      <c r="A1648" s="15">
        <f t="shared" si="25"/>
        <v>1638</v>
      </c>
      <c r="B1648" s="144" t="s">
        <v>2300</v>
      </c>
      <c r="C1648" s="150" t="s">
        <v>985</v>
      </c>
      <c r="D1648" s="19"/>
      <c r="E1648" s="19"/>
      <c r="F1648" s="19"/>
      <c r="G1648" s="142"/>
      <c r="H1648" s="141"/>
      <c r="I1648" s="202" t="s">
        <v>18</v>
      </c>
      <c r="J1648" s="153">
        <v>1</v>
      </c>
      <c r="K1648" s="142" t="s">
        <v>730</v>
      </c>
      <c r="L1648" s="168" t="s">
        <v>2522</v>
      </c>
      <c r="M1648" s="11" t="str">
        <f>VLOOKUP(N1648,'Mã NV'!$A$3:$B$196,2,0)</f>
        <v>TE77</v>
      </c>
      <c r="N1648" s="297" t="s">
        <v>2597</v>
      </c>
      <c r="O1648" s="381">
        <v>44197</v>
      </c>
      <c r="P1648" s="371"/>
      <c r="Q1648" s="43"/>
      <c r="R1648" s="142" t="s">
        <v>272</v>
      </c>
    </row>
    <row r="1649" spans="1:18" ht="35.25" hidden="1" customHeight="1">
      <c r="A1649" s="15">
        <f t="shared" si="25"/>
        <v>1639</v>
      </c>
      <c r="B1649" s="144" t="s">
        <v>2301</v>
      </c>
      <c r="C1649" s="150" t="s">
        <v>985</v>
      </c>
      <c r="D1649" s="19"/>
      <c r="E1649" s="19"/>
      <c r="F1649" s="19"/>
      <c r="G1649" s="142"/>
      <c r="H1649" s="141"/>
      <c r="I1649" s="202" t="s">
        <v>18</v>
      </c>
      <c r="J1649" s="153">
        <v>1</v>
      </c>
      <c r="K1649" s="142" t="s">
        <v>730</v>
      </c>
      <c r="L1649" s="168" t="s">
        <v>2522</v>
      </c>
      <c r="M1649" s="11" t="str">
        <f>VLOOKUP(N1649,'Mã NV'!$A$3:$B$196,2,0)</f>
        <v>TE77</v>
      </c>
      <c r="N1649" s="297" t="s">
        <v>2597</v>
      </c>
      <c r="O1649" s="381">
        <v>44197</v>
      </c>
      <c r="P1649" s="371"/>
      <c r="Q1649" s="43"/>
      <c r="R1649" s="142" t="s">
        <v>272</v>
      </c>
    </row>
    <row r="1650" spans="1:18" ht="35.25" hidden="1" customHeight="1">
      <c r="A1650" s="15">
        <f t="shared" si="25"/>
        <v>1640</v>
      </c>
      <c r="B1650" s="144" t="s">
        <v>2302</v>
      </c>
      <c r="C1650" s="150" t="s">
        <v>985</v>
      </c>
      <c r="D1650" s="19"/>
      <c r="E1650" s="19"/>
      <c r="F1650" s="19"/>
      <c r="G1650" s="142"/>
      <c r="H1650" s="141"/>
      <c r="I1650" s="202" t="s">
        <v>18</v>
      </c>
      <c r="J1650" s="153">
        <v>1</v>
      </c>
      <c r="K1650" s="142" t="s">
        <v>730</v>
      </c>
      <c r="L1650" s="168" t="s">
        <v>2522</v>
      </c>
      <c r="M1650" s="11" t="str">
        <f>VLOOKUP(N1650,'Mã NV'!$A$3:$B$196,2,0)</f>
        <v>TE77</v>
      </c>
      <c r="N1650" s="297" t="s">
        <v>2597</v>
      </c>
      <c r="O1650" s="381">
        <v>44197</v>
      </c>
      <c r="P1650" s="371"/>
      <c r="Q1650" s="43"/>
      <c r="R1650" s="142" t="s">
        <v>272</v>
      </c>
    </row>
    <row r="1651" spans="1:18" ht="35.25" hidden="1" customHeight="1">
      <c r="A1651" s="15">
        <f t="shared" si="25"/>
        <v>1641</v>
      </c>
      <c r="B1651" s="144" t="s">
        <v>2303</v>
      </c>
      <c r="C1651" s="150" t="s">
        <v>985</v>
      </c>
      <c r="D1651" s="19"/>
      <c r="E1651" s="19"/>
      <c r="F1651" s="19"/>
      <c r="G1651" s="142"/>
      <c r="H1651" s="141"/>
      <c r="I1651" s="202" t="s">
        <v>18</v>
      </c>
      <c r="J1651" s="153">
        <v>1</v>
      </c>
      <c r="K1651" s="142" t="s">
        <v>730</v>
      </c>
      <c r="L1651" s="168" t="s">
        <v>2522</v>
      </c>
      <c r="M1651" s="11" t="str">
        <f>VLOOKUP(N1651,'Mã NV'!$A$3:$B$196,2,0)</f>
        <v>TE77</v>
      </c>
      <c r="N1651" s="297" t="s">
        <v>2597</v>
      </c>
      <c r="O1651" s="381">
        <v>44197</v>
      </c>
      <c r="P1651" s="371"/>
      <c r="Q1651" s="43"/>
      <c r="R1651" s="142" t="s">
        <v>272</v>
      </c>
    </row>
    <row r="1652" spans="1:18" ht="35.25" hidden="1" customHeight="1">
      <c r="A1652" s="15">
        <f t="shared" si="25"/>
        <v>1642</v>
      </c>
      <c r="B1652" s="144" t="s">
        <v>2304</v>
      </c>
      <c r="C1652" s="150" t="s">
        <v>985</v>
      </c>
      <c r="D1652" s="19"/>
      <c r="E1652" s="19"/>
      <c r="F1652" s="19"/>
      <c r="G1652" s="142"/>
      <c r="H1652" s="141"/>
      <c r="I1652" s="202" t="s">
        <v>18</v>
      </c>
      <c r="J1652" s="153">
        <v>1</v>
      </c>
      <c r="K1652" s="142" t="s">
        <v>730</v>
      </c>
      <c r="L1652" s="168" t="s">
        <v>2522</v>
      </c>
      <c r="M1652" s="11" t="str">
        <f>VLOOKUP(N1652,'Mã NV'!$A$3:$B$196,2,0)</f>
        <v>TE77</v>
      </c>
      <c r="N1652" s="297" t="s">
        <v>2597</v>
      </c>
      <c r="O1652" s="381">
        <v>44197</v>
      </c>
      <c r="P1652" s="371"/>
      <c r="Q1652" s="43"/>
      <c r="R1652" s="142" t="s">
        <v>272</v>
      </c>
    </row>
    <row r="1653" spans="1:18" ht="35.25" hidden="1" customHeight="1">
      <c r="A1653" s="15">
        <f t="shared" si="25"/>
        <v>1643</v>
      </c>
      <c r="B1653" s="144" t="s">
        <v>2305</v>
      </c>
      <c r="C1653" s="150" t="s">
        <v>985</v>
      </c>
      <c r="D1653" s="19"/>
      <c r="E1653" s="19"/>
      <c r="F1653" s="19"/>
      <c r="G1653" s="142"/>
      <c r="H1653" s="141"/>
      <c r="I1653" s="202" t="s">
        <v>18</v>
      </c>
      <c r="J1653" s="153">
        <v>1</v>
      </c>
      <c r="K1653" s="142" t="s">
        <v>730</v>
      </c>
      <c r="L1653" s="168" t="s">
        <v>2522</v>
      </c>
      <c r="M1653" s="11" t="str">
        <f>VLOOKUP(N1653,'Mã NV'!$A$3:$B$196,2,0)</f>
        <v>TE77</v>
      </c>
      <c r="N1653" s="297" t="s">
        <v>2597</v>
      </c>
      <c r="O1653" s="381">
        <v>44197</v>
      </c>
      <c r="P1653" s="371"/>
      <c r="Q1653" s="43"/>
      <c r="R1653" s="142" t="s">
        <v>272</v>
      </c>
    </row>
    <row r="1654" spans="1:18" ht="35.25" hidden="1" customHeight="1">
      <c r="A1654" s="15">
        <f t="shared" si="25"/>
        <v>1644</v>
      </c>
      <c r="B1654" s="144" t="s">
        <v>2306</v>
      </c>
      <c r="C1654" s="150" t="s">
        <v>985</v>
      </c>
      <c r="D1654" s="19"/>
      <c r="E1654" s="19"/>
      <c r="F1654" s="19"/>
      <c r="G1654" s="142"/>
      <c r="H1654" s="141"/>
      <c r="I1654" s="202" t="s">
        <v>18</v>
      </c>
      <c r="J1654" s="153">
        <v>1</v>
      </c>
      <c r="K1654" s="142" t="s">
        <v>730</v>
      </c>
      <c r="L1654" s="168" t="s">
        <v>2522</v>
      </c>
      <c r="M1654" s="11" t="str">
        <f>VLOOKUP(N1654,'Mã NV'!$A$3:$B$196,2,0)</f>
        <v>TE77</v>
      </c>
      <c r="N1654" s="297" t="s">
        <v>2597</v>
      </c>
      <c r="O1654" s="381">
        <v>44197</v>
      </c>
      <c r="P1654" s="371"/>
      <c r="Q1654" s="43"/>
      <c r="R1654" s="142" t="s">
        <v>272</v>
      </c>
    </row>
    <row r="1655" spans="1:18" ht="35.25" hidden="1" customHeight="1">
      <c r="A1655" s="15">
        <f t="shared" si="25"/>
        <v>1645</v>
      </c>
      <c r="B1655" s="144" t="s">
        <v>2307</v>
      </c>
      <c r="C1655" s="150" t="s">
        <v>985</v>
      </c>
      <c r="D1655" s="19"/>
      <c r="E1655" s="19"/>
      <c r="F1655" s="19"/>
      <c r="G1655" s="142"/>
      <c r="H1655" s="141"/>
      <c r="I1655" s="202" t="s">
        <v>18</v>
      </c>
      <c r="J1655" s="153">
        <v>1</v>
      </c>
      <c r="K1655" s="142" t="s">
        <v>730</v>
      </c>
      <c r="L1655" s="168" t="s">
        <v>2522</v>
      </c>
      <c r="M1655" s="11" t="str">
        <f>VLOOKUP(N1655,'Mã NV'!$A$3:$B$196,2,0)</f>
        <v>TE77</v>
      </c>
      <c r="N1655" s="297" t="s">
        <v>2597</v>
      </c>
      <c r="O1655" s="381">
        <v>44197</v>
      </c>
      <c r="P1655" s="371"/>
      <c r="Q1655" s="43"/>
      <c r="R1655" s="142" t="s">
        <v>272</v>
      </c>
    </row>
    <row r="1656" spans="1:18" ht="35.25" hidden="1" customHeight="1">
      <c r="A1656" s="15">
        <f t="shared" si="25"/>
        <v>1646</v>
      </c>
      <c r="B1656" s="144" t="s">
        <v>2308</v>
      </c>
      <c r="C1656" s="150" t="s">
        <v>985</v>
      </c>
      <c r="D1656" s="19"/>
      <c r="E1656" s="19"/>
      <c r="F1656" s="19"/>
      <c r="G1656" s="142"/>
      <c r="H1656" s="141"/>
      <c r="I1656" s="202" t="s">
        <v>18</v>
      </c>
      <c r="J1656" s="153">
        <v>1</v>
      </c>
      <c r="K1656" s="142" t="s">
        <v>730</v>
      </c>
      <c r="L1656" s="168" t="s">
        <v>2522</v>
      </c>
      <c r="M1656" s="11" t="str">
        <f>VLOOKUP(N1656,'Mã NV'!$A$3:$B$196,2,0)</f>
        <v>TE77</v>
      </c>
      <c r="N1656" s="297" t="s">
        <v>2597</v>
      </c>
      <c r="O1656" s="381">
        <v>44197</v>
      </c>
      <c r="P1656" s="371"/>
      <c r="Q1656" s="43"/>
      <c r="R1656" s="142" t="s">
        <v>272</v>
      </c>
    </row>
    <row r="1657" spans="1:18" ht="35.25" hidden="1" customHeight="1">
      <c r="A1657" s="15">
        <f t="shared" si="25"/>
        <v>1647</v>
      </c>
      <c r="B1657" s="144" t="s">
        <v>2309</v>
      </c>
      <c r="C1657" s="150" t="s">
        <v>985</v>
      </c>
      <c r="D1657" s="19"/>
      <c r="E1657" s="19"/>
      <c r="F1657" s="19"/>
      <c r="G1657" s="142"/>
      <c r="H1657" s="141"/>
      <c r="I1657" s="202" t="s">
        <v>18</v>
      </c>
      <c r="J1657" s="153">
        <v>1</v>
      </c>
      <c r="K1657" s="142" t="s">
        <v>730</v>
      </c>
      <c r="L1657" s="168" t="s">
        <v>2522</v>
      </c>
      <c r="M1657" s="11" t="str">
        <f>VLOOKUP(N1657,'Mã NV'!$A$3:$B$196,2,0)</f>
        <v>TE77</v>
      </c>
      <c r="N1657" s="297" t="s">
        <v>2597</v>
      </c>
      <c r="O1657" s="381">
        <v>44197</v>
      </c>
      <c r="P1657" s="371"/>
      <c r="Q1657" s="43"/>
      <c r="R1657" s="142" t="s">
        <v>272</v>
      </c>
    </row>
    <row r="1658" spans="1:18" ht="35.25" hidden="1" customHeight="1">
      <c r="A1658" s="15">
        <f t="shared" si="25"/>
        <v>1648</v>
      </c>
      <c r="B1658" s="144" t="s">
        <v>2310</v>
      </c>
      <c r="C1658" s="150" t="s">
        <v>985</v>
      </c>
      <c r="D1658" s="19"/>
      <c r="E1658" s="19"/>
      <c r="F1658" s="19"/>
      <c r="G1658" s="142"/>
      <c r="H1658" s="141"/>
      <c r="I1658" s="202" t="s">
        <v>18</v>
      </c>
      <c r="J1658" s="153">
        <v>1</v>
      </c>
      <c r="K1658" s="142" t="s">
        <v>730</v>
      </c>
      <c r="L1658" s="168" t="s">
        <v>2522</v>
      </c>
      <c r="M1658" s="11" t="str">
        <f>VLOOKUP(N1658,'Mã NV'!$A$3:$B$196,2,0)</f>
        <v>TE77</v>
      </c>
      <c r="N1658" s="297" t="s">
        <v>2597</v>
      </c>
      <c r="O1658" s="381">
        <v>44197</v>
      </c>
      <c r="P1658" s="371"/>
      <c r="Q1658" s="43"/>
      <c r="R1658" s="142" t="s">
        <v>272</v>
      </c>
    </row>
    <row r="1659" spans="1:18" ht="35.25" hidden="1" customHeight="1">
      <c r="A1659" s="15">
        <f t="shared" si="25"/>
        <v>1649</v>
      </c>
      <c r="B1659" s="144" t="s">
        <v>2311</v>
      </c>
      <c r="C1659" s="150" t="s">
        <v>985</v>
      </c>
      <c r="D1659" s="19"/>
      <c r="E1659" s="19"/>
      <c r="F1659" s="19"/>
      <c r="G1659" s="142"/>
      <c r="H1659" s="141"/>
      <c r="I1659" s="202" t="s">
        <v>18</v>
      </c>
      <c r="J1659" s="153">
        <v>1</v>
      </c>
      <c r="K1659" s="142" t="s">
        <v>730</v>
      </c>
      <c r="L1659" s="168" t="s">
        <v>2522</v>
      </c>
      <c r="M1659" s="11" t="str">
        <f>VLOOKUP(N1659,'Mã NV'!$A$3:$B$196,2,0)</f>
        <v>TE77</v>
      </c>
      <c r="N1659" s="297" t="s">
        <v>2597</v>
      </c>
      <c r="O1659" s="381">
        <v>44197</v>
      </c>
      <c r="P1659" s="371"/>
      <c r="Q1659" s="43"/>
      <c r="R1659" s="142" t="s">
        <v>272</v>
      </c>
    </row>
    <row r="1660" spans="1:18" ht="35.25" hidden="1" customHeight="1">
      <c r="A1660" s="15">
        <f t="shared" si="25"/>
        <v>1650</v>
      </c>
      <c r="B1660" s="144" t="s">
        <v>2312</v>
      </c>
      <c r="C1660" s="150" t="s">
        <v>985</v>
      </c>
      <c r="D1660" s="19"/>
      <c r="E1660" s="19"/>
      <c r="F1660" s="19"/>
      <c r="G1660" s="142"/>
      <c r="H1660" s="141"/>
      <c r="I1660" s="202" t="s">
        <v>18</v>
      </c>
      <c r="J1660" s="153">
        <v>1</v>
      </c>
      <c r="K1660" s="142" t="s">
        <v>730</v>
      </c>
      <c r="L1660" s="168" t="s">
        <v>2522</v>
      </c>
      <c r="M1660" s="11" t="str">
        <f>VLOOKUP(N1660,'Mã NV'!$A$3:$B$196,2,0)</f>
        <v>TE77</v>
      </c>
      <c r="N1660" s="297" t="s">
        <v>2597</v>
      </c>
      <c r="O1660" s="381">
        <v>44197</v>
      </c>
      <c r="P1660" s="371"/>
      <c r="Q1660" s="43"/>
      <c r="R1660" s="142" t="s">
        <v>272</v>
      </c>
    </row>
    <row r="1661" spans="1:18" ht="35.25" hidden="1" customHeight="1">
      <c r="A1661" s="15">
        <f t="shared" si="25"/>
        <v>1651</v>
      </c>
      <c r="B1661" s="144" t="s">
        <v>2313</v>
      </c>
      <c r="C1661" s="150" t="s">
        <v>985</v>
      </c>
      <c r="D1661" s="19"/>
      <c r="E1661" s="19"/>
      <c r="F1661" s="19"/>
      <c r="G1661" s="142"/>
      <c r="H1661" s="141"/>
      <c r="I1661" s="202" t="s">
        <v>18</v>
      </c>
      <c r="J1661" s="153">
        <v>1</v>
      </c>
      <c r="K1661" s="142" t="s">
        <v>730</v>
      </c>
      <c r="L1661" s="168" t="s">
        <v>2522</v>
      </c>
      <c r="M1661" s="11" t="str">
        <f>VLOOKUP(N1661,'Mã NV'!$A$3:$B$196,2,0)</f>
        <v>TE77</v>
      </c>
      <c r="N1661" s="297" t="s">
        <v>2597</v>
      </c>
      <c r="O1661" s="381">
        <v>44197</v>
      </c>
      <c r="P1661" s="371"/>
      <c r="Q1661" s="43"/>
      <c r="R1661" s="142" t="s">
        <v>272</v>
      </c>
    </row>
    <row r="1662" spans="1:18" ht="35.25" hidden="1" customHeight="1">
      <c r="A1662" s="15">
        <f t="shared" si="25"/>
        <v>1652</v>
      </c>
      <c r="B1662" s="144" t="s">
        <v>2314</v>
      </c>
      <c r="C1662" s="150" t="s">
        <v>985</v>
      </c>
      <c r="D1662" s="19"/>
      <c r="E1662" s="19"/>
      <c r="F1662" s="19"/>
      <c r="G1662" s="142"/>
      <c r="H1662" s="141"/>
      <c r="I1662" s="202" t="s">
        <v>18</v>
      </c>
      <c r="J1662" s="153">
        <v>1</v>
      </c>
      <c r="K1662" s="142" t="s">
        <v>730</v>
      </c>
      <c r="L1662" s="168" t="s">
        <v>2522</v>
      </c>
      <c r="M1662" s="11" t="str">
        <f>VLOOKUP(N1662,'Mã NV'!$A$3:$B$196,2,0)</f>
        <v>TE77</v>
      </c>
      <c r="N1662" s="297" t="s">
        <v>2597</v>
      </c>
      <c r="O1662" s="381">
        <v>44197</v>
      </c>
      <c r="P1662" s="371"/>
      <c r="Q1662" s="43"/>
      <c r="R1662" s="142" t="s">
        <v>272</v>
      </c>
    </row>
    <row r="1663" spans="1:18" ht="35.25" hidden="1" customHeight="1">
      <c r="A1663" s="15">
        <f t="shared" si="25"/>
        <v>1653</v>
      </c>
      <c r="B1663" s="144" t="s">
        <v>2315</v>
      </c>
      <c r="C1663" s="150" t="s">
        <v>985</v>
      </c>
      <c r="D1663" s="19"/>
      <c r="E1663" s="19"/>
      <c r="F1663" s="19"/>
      <c r="G1663" s="142"/>
      <c r="H1663" s="141"/>
      <c r="I1663" s="202" t="s">
        <v>18</v>
      </c>
      <c r="J1663" s="153">
        <v>1</v>
      </c>
      <c r="K1663" s="142" t="s">
        <v>730</v>
      </c>
      <c r="L1663" s="168" t="s">
        <v>2522</v>
      </c>
      <c r="M1663" s="11" t="str">
        <f>VLOOKUP(N1663,'Mã NV'!$A$3:$B$196,2,0)</f>
        <v>TE77</v>
      </c>
      <c r="N1663" s="297" t="s">
        <v>2597</v>
      </c>
      <c r="O1663" s="381">
        <v>44197</v>
      </c>
      <c r="P1663" s="371"/>
      <c r="Q1663" s="43"/>
      <c r="R1663" s="142" t="s">
        <v>272</v>
      </c>
    </row>
    <row r="1664" spans="1:18" ht="35.25" hidden="1" customHeight="1">
      <c r="A1664" s="15">
        <f t="shared" si="25"/>
        <v>1654</v>
      </c>
      <c r="B1664" s="144" t="s">
        <v>2316</v>
      </c>
      <c r="C1664" s="150" t="s">
        <v>985</v>
      </c>
      <c r="D1664" s="19"/>
      <c r="E1664" s="19"/>
      <c r="F1664" s="19"/>
      <c r="G1664" s="142"/>
      <c r="H1664" s="141"/>
      <c r="I1664" s="202" t="s">
        <v>18</v>
      </c>
      <c r="J1664" s="153">
        <v>1</v>
      </c>
      <c r="K1664" s="142" t="s">
        <v>730</v>
      </c>
      <c r="L1664" s="168" t="s">
        <v>2522</v>
      </c>
      <c r="M1664" s="11" t="str">
        <f>VLOOKUP(N1664,'Mã NV'!$A$3:$B$196,2,0)</f>
        <v>TE77</v>
      </c>
      <c r="N1664" s="297" t="s">
        <v>2597</v>
      </c>
      <c r="O1664" s="381">
        <v>44197</v>
      </c>
      <c r="P1664" s="371"/>
      <c r="Q1664" s="43"/>
      <c r="R1664" s="142" t="s">
        <v>272</v>
      </c>
    </row>
    <row r="1665" spans="1:18" ht="35.25" hidden="1" customHeight="1">
      <c r="A1665" s="15">
        <f t="shared" si="25"/>
        <v>1655</v>
      </c>
      <c r="B1665" s="144" t="s">
        <v>2317</v>
      </c>
      <c r="C1665" s="150" t="s">
        <v>985</v>
      </c>
      <c r="D1665" s="19"/>
      <c r="E1665" s="19"/>
      <c r="F1665" s="19"/>
      <c r="G1665" s="142"/>
      <c r="H1665" s="141"/>
      <c r="I1665" s="202" t="s">
        <v>18</v>
      </c>
      <c r="J1665" s="153">
        <v>1</v>
      </c>
      <c r="K1665" s="142" t="s">
        <v>730</v>
      </c>
      <c r="L1665" s="168" t="s">
        <v>2522</v>
      </c>
      <c r="M1665" s="11" t="str">
        <f>VLOOKUP(N1665,'Mã NV'!$A$3:$B$196,2,0)</f>
        <v>TE77</v>
      </c>
      <c r="N1665" s="297" t="s">
        <v>2597</v>
      </c>
      <c r="O1665" s="381">
        <v>44197</v>
      </c>
      <c r="P1665" s="371"/>
      <c r="Q1665" s="43"/>
      <c r="R1665" s="142" t="s">
        <v>272</v>
      </c>
    </row>
    <row r="1666" spans="1:18" ht="35.25" hidden="1" customHeight="1">
      <c r="A1666" s="15">
        <f t="shared" si="25"/>
        <v>1656</v>
      </c>
      <c r="B1666" s="144" t="s">
        <v>2318</v>
      </c>
      <c r="C1666" s="150" t="s">
        <v>985</v>
      </c>
      <c r="D1666" s="19"/>
      <c r="E1666" s="19"/>
      <c r="F1666" s="19"/>
      <c r="G1666" s="142"/>
      <c r="H1666" s="141"/>
      <c r="I1666" s="202" t="s">
        <v>18</v>
      </c>
      <c r="J1666" s="153">
        <v>1</v>
      </c>
      <c r="K1666" s="142" t="s">
        <v>730</v>
      </c>
      <c r="L1666" s="168" t="s">
        <v>2522</v>
      </c>
      <c r="M1666" s="11" t="str">
        <f>VLOOKUP(N1666,'Mã NV'!$A$3:$B$196,2,0)</f>
        <v>TE77</v>
      </c>
      <c r="N1666" s="297" t="s">
        <v>2597</v>
      </c>
      <c r="O1666" s="381">
        <v>44197</v>
      </c>
      <c r="P1666" s="371"/>
      <c r="Q1666" s="43"/>
      <c r="R1666" s="142" t="s">
        <v>272</v>
      </c>
    </row>
    <row r="1667" spans="1:18" ht="35.25" hidden="1" customHeight="1">
      <c r="A1667" s="15">
        <f t="shared" si="25"/>
        <v>1657</v>
      </c>
      <c r="B1667" s="144" t="s">
        <v>2319</v>
      </c>
      <c r="C1667" s="150" t="s">
        <v>985</v>
      </c>
      <c r="D1667" s="19"/>
      <c r="E1667" s="19"/>
      <c r="F1667" s="19"/>
      <c r="G1667" s="142"/>
      <c r="H1667" s="141"/>
      <c r="I1667" s="202" t="s">
        <v>18</v>
      </c>
      <c r="J1667" s="153">
        <v>1</v>
      </c>
      <c r="K1667" s="142" t="s">
        <v>730</v>
      </c>
      <c r="L1667" s="168" t="s">
        <v>2522</v>
      </c>
      <c r="M1667" s="11" t="str">
        <f>VLOOKUP(N1667,'Mã NV'!$A$3:$B$196,2,0)</f>
        <v>TE77</v>
      </c>
      <c r="N1667" s="297" t="s">
        <v>2597</v>
      </c>
      <c r="O1667" s="381">
        <v>44197</v>
      </c>
      <c r="P1667" s="371"/>
      <c r="Q1667" s="43"/>
      <c r="R1667" s="142" t="s">
        <v>272</v>
      </c>
    </row>
    <row r="1668" spans="1:18" ht="35.25" hidden="1" customHeight="1">
      <c r="A1668" s="15">
        <f t="shared" si="25"/>
        <v>1658</v>
      </c>
      <c r="B1668" s="144" t="s">
        <v>2320</v>
      </c>
      <c r="C1668" s="150" t="s">
        <v>985</v>
      </c>
      <c r="D1668" s="19"/>
      <c r="E1668" s="19"/>
      <c r="F1668" s="19"/>
      <c r="G1668" s="142"/>
      <c r="H1668" s="141"/>
      <c r="I1668" s="202" t="s">
        <v>18</v>
      </c>
      <c r="J1668" s="153">
        <v>1</v>
      </c>
      <c r="K1668" s="142" t="s">
        <v>730</v>
      </c>
      <c r="L1668" s="168" t="s">
        <v>2522</v>
      </c>
      <c r="M1668" s="11" t="str">
        <f>VLOOKUP(N1668,'Mã NV'!$A$3:$B$196,2,0)</f>
        <v>TE77</v>
      </c>
      <c r="N1668" s="297" t="s">
        <v>2597</v>
      </c>
      <c r="O1668" s="381">
        <v>44197</v>
      </c>
      <c r="P1668" s="371"/>
      <c r="Q1668" s="43"/>
      <c r="R1668" s="142" t="s">
        <v>272</v>
      </c>
    </row>
    <row r="1669" spans="1:18" ht="35.25" hidden="1" customHeight="1">
      <c r="A1669" s="15">
        <f t="shared" si="25"/>
        <v>1659</v>
      </c>
      <c r="B1669" s="168" t="s">
        <v>2321</v>
      </c>
      <c r="C1669" s="150" t="s">
        <v>985</v>
      </c>
      <c r="D1669" s="19"/>
      <c r="E1669" s="19"/>
      <c r="F1669" s="19"/>
      <c r="G1669" s="142"/>
      <c r="H1669" s="141"/>
      <c r="I1669" s="202" t="s">
        <v>18</v>
      </c>
      <c r="J1669" s="153">
        <v>1</v>
      </c>
      <c r="K1669" s="142" t="s">
        <v>730</v>
      </c>
      <c r="L1669" s="168" t="s">
        <v>2522</v>
      </c>
      <c r="M1669" s="11" t="str">
        <f>VLOOKUP(N1669,'Mã NV'!$A$3:$B$196,2,0)</f>
        <v>TE77</v>
      </c>
      <c r="N1669" s="297" t="s">
        <v>2597</v>
      </c>
      <c r="O1669" s="381">
        <v>44197</v>
      </c>
      <c r="P1669" s="371"/>
      <c r="Q1669" s="43"/>
      <c r="R1669" s="142" t="s">
        <v>272</v>
      </c>
    </row>
    <row r="1670" spans="1:18" ht="35.25" hidden="1" customHeight="1">
      <c r="A1670" s="15">
        <f t="shared" si="25"/>
        <v>1660</v>
      </c>
      <c r="B1670" s="168" t="s">
        <v>2322</v>
      </c>
      <c r="C1670" s="150" t="s">
        <v>985</v>
      </c>
      <c r="D1670" s="19"/>
      <c r="E1670" s="19"/>
      <c r="F1670" s="19"/>
      <c r="G1670" s="142"/>
      <c r="H1670" s="141"/>
      <c r="I1670" s="202" t="s">
        <v>18</v>
      </c>
      <c r="J1670" s="153">
        <v>1</v>
      </c>
      <c r="K1670" s="142" t="s">
        <v>730</v>
      </c>
      <c r="L1670" s="168" t="s">
        <v>2522</v>
      </c>
      <c r="M1670" s="11" t="str">
        <f>VLOOKUP(N1670,'Mã NV'!$A$3:$B$196,2,0)</f>
        <v>TE77</v>
      </c>
      <c r="N1670" s="297" t="s">
        <v>2597</v>
      </c>
      <c r="O1670" s="381">
        <v>44197</v>
      </c>
      <c r="P1670" s="371"/>
      <c r="Q1670" s="43"/>
      <c r="R1670" s="142" t="s">
        <v>272</v>
      </c>
    </row>
    <row r="1671" spans="1:18" ht="35.25" hidden="1" customHeight="1">
      <c r="A1671" s="15">
        <f t="shared" si="25"/>
        <v>1661</v>
      </c>
      <c r="B1671" s="168" t="s">
        <v>2323</v>
      </c>
      <c r="C1671" s="150" t="s">
        <v>985</v>
      </c>
      <c r="D1671" s="19"/>
      <c r="E1671" s="19"/>
      <c r="F1671" s="19"/>
      <c r="G1671" s="142"/>
      <c r="H1671" s="141"/>
      <c r="I1671" s="202" t="s">
        <v>18</v>
      </c>
      <c r="J1671" s="153">
        <v>1</v>
      </c>
      <c r="K1671" s="142" t="s">
        <v>730</v>
      </c>
      <c r="L1671" s="168" t="s">
        <v>2522</v>
      </c>
      <c r="M1671" s="11" t="str">
        <f>VLOOKUP(N1671,'Mã NV'!$A$3:$B$196,2,0)</f>
        <v>TE77</v>
      </c>
      <c r="N1671" s="297" t="s">
        <v>2597</v>
      </c>
      <c r="O1671" s="381">
        <v>44197</v>
      </c>
      <c r="P1671" s="371"/>
      <c r="Q1671" s="43"/>
      <c r="R1671" s="142" t="s">
        <v>272</v>
      </c>
    </row>
    <row r="1672" spans="1:18" ht="35.25" hidden="1" customHeight="1">
      <c r="A1672" s="15">
        <f t="shared" si="25"/>
        <v>1662</v>
      </c>
      <c r="B1672" s="168" t="s">
        <v>2324</v>
      </c>
      <c r="C1672" s="150" t="s">
        <v>985</v>
      </c>
      <c r="D1672" s="19"/>
      <c r="E1672" s="19"/>
      <c r="F1672" s="19"/>
      <c r="G1672" s="142"/>
      <c r="H1672" s="141"/>
      <c r="I1672" s="202" t="s">
        <v>18</v>
      </c>
      <c r="J1672" s="153">
        <v>1</v>
      </c>
      <c r="K1672" s="142" t="s">
        <v>730</v>
      </c>
      <c r="L1672" s="168" t="s">
        <v>2522</v>
      </c>
      <c r="M1672" s="11" t="str">
        <f>VLOOKUP(N1672,'Mã NV'!$A$3:$B$196,2,0)</f>
        <v>TE77</v>
      </c>
      <c r="N1672" s="297" t="s">
        <v>2597</v>
      </c>
      <c r="O1672" s="381">
        <v>44197</v>
      </c>
      <c r="P1672" s="371"/>
      <c r="Q1672" s="43"/>
      <c r="R1672" s="142" t="s">
        <v>272</v>
      </c>
    </row>
    <row r="1673" spans="1:18" ht="35.25" hidden="1" customHeight="1">
      <c r="A1673" s="15">
        <f t="shared" si="25"/>
        <v>1663</v>
      </c>
      <c r="B1673" s="168" t="s">
        <v>2325</v>
      </c>
      <c r="C1673" s="150" t="s">
        <v>985</v>
      </c>
      <c r="D1673" s="19"/>
      <c r="E1673" s="19"/>
      <c r="F1673" s="19"/>
      <c r="G1673" s="142"/>
      <c r="H1673" s="141"/>
      <c r="I1673" s="202" t="s">
        <v>18</v>
      </c>
      <c r="J1673" s="153">
        <v>1</v>
      </c>
      <c r="K1673" s="142" t="s">
        <v>730</v>
      </c>
      <c r="L1673" s="168" t="s">
        <v>2522</v>
      </c>
      <c r="M1673" s="11" t="str">
        <f>VLOOKUP(N1673,'Mã NV'!$A$3:$B$196,2,0)</f>
        <v>TE77</v>
      </c>
      <c r="N1673" s="297" t="s">
        <v>2597</v>
      </c>
      <c r="O1673" s="381">
        <v>44197</v>
      </c>
      <c r="P1673" s="371"/>
      <c r="Q1673" s="43"/>
      <c r="R1673" s="142" t="s">
        <v>272</v>
      </c>
    </row>
    <row r="1674" spans="1:18" ht="35.25" hidden="1" customHeight="1">
      <c r="A1674" s="15">
        <f t="shared" si="25"/>
        <v>1664</v>
      </c>
      <c r="B1674" s="168" t="s">
        <v>2326</v>
      </c>
      <c r="C1674" s="150" t="s">
        <v>985</v>
      </c>
      <c r="D1674" s="19"/>
      <c r="E1674" s="19"/>
      <c r="F1674" s="19"/>
      <c r="G1674" s="142"/>
      <c r="H1674" s="141"/>
      <c r="I1674" s="202" t="s">
        <v>18</v>
      </c>
      <c r="J1674" s="153">
        <v>1</v>
      </c>
      <c r="K1674" s="142" t="s">
        <v>730</v>
      </c>
      <c r="L1674" s="168" t="s">
        <v>2522</v>
      </c>
      <c r="M1674" s="11" t="str">
        <f>VLOOKUP(N1674,'Mã NV'!$A$3:$B$196,2,0)</f>
        <v>TE77</v>
      </c>
      <c r="N1674" s="297" t="s">
        <v>2597</v>
      </c>
      <c r="O1674" s="381">
        <v>44197</v>
      </c>
      <c r="P1674" s="371"/>
      <c r="Q1674" s="43"/>
      <c r="R1674" s="142" t="s">
        <v>272</v>
      </c>
    </row>
    <row r="1675" spans="1:18" ht="35.25" hidden="1" customHeight="1">
      <c r="A1675" s="15">
        <f t="shared" si="25"/>
        <v>1665</v>
      </c>
      <c r="B1675" s="144" t="s">
        <v>2327</v>
      </c>
      <c r="C1675" s="150" t="s">
        <v>985</v>
      </c>
      <c r="D1675" s="19"/>
      <c r="E1675" s="19"/>
      <c r="F1675" s="19"/>
      <c r="G1675" s="142"/>
      <c r="H1675" s="141"/>
      <c r="I1675" s="202" t="s">
        <v>18</v>
      </c>
      <c r="J1675" s="153">
        <v>1</v>
      </c>
      <c r="K1675" s="142" t="s">
        <v>730</v>
      </c>
      <c r="L1675" s="168" t="s">
        <v>2522</v>
      </c>
      <c r="M1675" s="11" t="str">
        <f>VLOOKUP(N1675,'Mã NV'!$A$3:$B$196,2,0)</f>
        <v>TE77</v>
      </c>
      <c r="N1675" s="297" t="s">
        <v>2597</v>
      </c>
      <c r="O1675" s="381">
        <v>44197</v>
      </c>
      <c r="P1675" s="371"/>
      <c r="Q1675" s="43"/>
      <c r="R1675" s="142" t="s">
        <v>272</v>
      </c>
    </row>
    <row r="1676" spans="1:18" ht="35.25" hidden="1" customHeight="1">
      <c r="A1676" s="15">
        <f t="shared" si="25"/>
        <v>1666</v>
      </c>
      <c r="B1676" s="144" t="s">
        <v>2328</v>
      </c>
      <c r="C1676" s="150" t="s">
        <v>985</v>
      </c>
      <c r="D1676" s="19"/>
      <c r="E1676" s="19"/>
      <c r="F1676" s="19"/>
      <c r="G1676" s="142"/>
      <c r="H1676" s="141"/>
      <c r="I1676" s="202" t="s">
        <v>18</v>
      </c>
      <c r="J1676" s="153">
        <v>1</v>
      </c>
      <c r="K1676" s="142" t="s">
        <v>730</v>
      </c>
      <c r="L1676" s="168" t="s">
        <v>2522</v>
      </c>
      <c r="M1676" s="11" t="str">
        <f>VLOOKUP(N1676,'Mã NV'!$A$3:$B$196,2,0)</f>
        <v>TE77</v>
      </c>
      <c r="N1676" s="297" t="s">
        <v>2597</v>
      </c>
      <c r="O1676" s="381">
        <v>44197</v>
      </c>
      <c r="P1676" s="371"/>
      <c r="Q1676" s="43"/>
      <c r="R1676" s="142" t="s">
        <v>272</v>
      </c>
    </row>
    <row r="1677" spans="1:18" ht="35.25" hidden="1" customHeight="1">
      <c r="A1677" s="15">
        <f t="shared" si="25"/>
        <v>1667</v>
      </c>
      <c r="B1677" s="11" t="s">
        <v>2329</v>
      </c>
      <c r="C1677" s="64" t="s">
        <v>445</v>
      </c>
      <c r="D1677" s="19"/>
      <c r="E1677" s="19"/>
      <c r="F1677" s="19"/>
      <c r="G1677" s="142"/>
      <c r="H1677" s="141"/>
      <c r="I1677" s="202" t="s">
        <v>18</v>
      </c>
      <c r="J1677" s="192">
        <v>1</v>
      </c>
      <c r="K1677" s="142" t="s">
        <v>730</v>
      </c>
      <c r="L1677" s="168" t="s">
        <v>2522</v>
      </c>
      <c r="M1677" s="11" t="str">
        <f>VLOOKUP(N1677,'Mã NV'!$A$3:$B$196,2,0)</f>
        <v>TE77</v>
      </c>
      <c r="N1677" s="297" t="s">
        <v>2597</v>
      </c>
      <c r="O1677" s="380">
        <f>VLOOKUP(B1677,'Tổng hợp (3)'!$C$4:$E$985,3,0)</f>
        <v>44755</v>
      </c>
      <c r="P1677" s="378"/>
      <c r="Q1677" s="43"/>
      <c r="R1677" s="172" t="s">
        <v>272</v>
      </c>
    </row>
    <row r="1678" spans="1:18" ht="35.25" customHeight="1">
      <c r="A1678" s="15">
        <f t="shared" si="25"/>
        <v>1668</v>
      </c>
      <c r="B1678" s="11" t="s">
        <v>2330</v>
      </c>
      <c r="C1678" s="64" t="s">
        <v>2331</v>
      </c>
      <c r="D1678" s="19"/>
      <c r="E1678" s="19"/>
      <c r="F1678" s="19"/>
      <c r="G1678" s="142"/>
      <c r="H1678" s="141"/>
      <c r="I1678" s="202" t="s">
        <v>18</v>
      </c>
      <c r="J1678" s="192">
        <v>1</v>
      </c>
      <c r="K1678" s="142" t="s">
        <v>730</v>
      </c>
      <c r="L1678" s="168" t="s">
        <v>17</v>
      </c>
      <c r="M1678" s="11" t="str">
        <f>VLOOKUP(N1678,'Mã NV'!$A$3:$B$196,2,0)</f>
        <v>HR01</v>
      </c>
      <c r="N1678" s="320" t="s">
        <v>119</v>
      </c>
      <c r="O1678" s="381">
        <v>45006</v>
      </c>
      <c r="P1678" s="371"/>
      <c r="Q1678" s="43"/>
      <c r="R1678" s="143" t="s">
        <v>4256</v>
      </c>
    </row>
    <row r="1679" spans="1:18" ht="35.25" hidden="1" customHeight="1">
      <c r="A1679" s="15">
        <f t="shared" si="25"/>
        <v>1669</v>
      </c>
      <c r="B1679" s="11" t="s">
        <v>4257</v>
      </c>
      <c r="C1679" s="11" t="s">
        <v>4258</v>
      </c>
      <c r="D1679" s="19"/>
      <c r="E1679" s="19"/>
      <c r="F1679" s="19"/>
      <c r="G1679" s="142"/>
      <c r="H1679" s="141"/>
      <c r="I1679" s="202" t="s">
        <v>18</v>
      </c>
      <c r="J1679" s="192">
        <v>1</v>
      </c>
      <c r="K1679" s="142" t="s">
        <v>730</v>
      </c>
      <c r="L1679" s="168" t="s">
        <v>2522</v>
      </c>
      <c r="M1679" s="11" t="str">
        <f>VLOOKUP(N1679,'Mã NV'!$A$3:$B$196,2,0)</f>
        <v>TE58</v>
      </c>
      <c r="N1679" s="320" t="s">
        <v>2625</v>
      </c>
      <c r="O1679" s="381">
        <v>45006</v>
      </c>
      <c r="P1679" s="371"/>
      <c r="Q1679" s="43"/>
      <c r="R1679" s="143"/>
    </row>
    <row r="1680" spans="1:18" ht="35.25" hidden="1" customHeight="1">
      <c r="A1680" s="15">
        <f t="shared" si="25"/>
        <v>1670</v>
      </c>
      <c r="B1680" s="146" t="s">
        <v>2674</v>
      </c>
      <c r="C1680" s="64" t="s">
        <v>2675</v>
      </c>
      <c r="D1680" s="19"/>
      <c r="E1680" s="19"/>
      <c r="F1680" s="19"/>
      <c r="G1680" s="64"/>
      <c r="H1680" s="141"/>
      <c r="I1680" s="158" t="s">
        <v>181</v>
      </c>
      <c r="J1680" s="158">
        <v>1</v>
      </c>
      <c r="K1680" s="142" t="s">
        <v>730</v>
      </c>
      <c r="L1680" s="43" t="s">
        <v>2982</v>
      </c>
      <c r="M1680" s="11" t="str">
        <f>VLOOKUP(N1680,'Mã NV'!$A$3:$B$196,2,0)</f>
        <v>BU37</v>
      </c>
      <c r="N1680" s="304" t="s">
        <v>2983</v>
      </c>
      <c r="O1680" s="380">
        <f>VLOOKUP(B1680,'Tổng hợp (3)'!$C$4:$E$985,3,0)</f>
        <v>44905</v>
      </c>
      <c r="P1680" s="378"/>
      <c r="Q1680" s="43"/>
      <c r="R1680" s="193"/>
    </row>
    <row r="1681" spans="1:18" ht="35.25" hidden="1" customHeight="1">
      <c r="A1681" s="15">
        <f t="shared" si="25"/>
        <v>1671</v>
      </c>
      <c r="B1681" s="146" t="s">
        <v>2676</v>
      </c>
      <c r="C1681" s="64" t="s">
        <v>2677</v>
      </c>
      <c r="D1681" s="19"/>
      <c r="E1681" s="19"/>
      <c r="F1681" s="19"/>
      <c r="G1681" s="64"/>
      <c r="H1681" s="141"/>
      <c r="I1681" s="158" t="s">
        <v>18</v>
      </c>
      <c r="J1681" s="158">
        <v>1</v>
      </c>
      <c r="K1681" s="142" t="s">
        <v>730</v>
      </c>
      <c r="L1681" s="43" t="s">
        <v>2982</v>
      </c>
      <c r="M1681" s="11" t="str">
        <f>VLOOKUP(N1681,'Mã NV'!$A$3:$B$196,2,0)</f>
        <v>BU37</v>
      </c>
      <c r="N1681" s="304" t="s">
        <v>2983</v>
      </c>
      <c r="O1681" s="380">
        <f>VLOOKUP(B1681,'Tổng hợp (3)'!$C$4:$E$985,3,0)</f>
        <v>44905</v>
      </c>
      <c r="P1681" s="378"/>
      <c r="Q1681" s="43"/>
      <c r="R1681" s="193"/>
    </row>
    <row r="1682" spans="1:18" ht="35.25" hidden="1" customHeight="1">
      <c r="A1682" s="15">
        <f t="shared" si="25"/>
        <v>1672</v>
      </c>
      <c r="B1682" s="146" t="s">
        <v>2678</v>
      </c>
      <c r="C1682" s="64" t="s">
        <v>2679</v>
      </c>
      <c r="D1682" s="19"/>
      <c r="E1682" s="19"/>
      <c r="F1682" s="19"/>
      <c r="G1682" s="64"/>
      <c r="H1682" s="141"/>
      <c r="I1682" s="158" t="s">
        <v>18</v>
      </c>
      <c r="J1682" s="158">
        <v>1</v>
      </c>
      <c r="K1682" s="142" t="s">
        <v>730</v>
      </c>
      <c r="L1682" s="43" t="s">
        <v>2982</v>
      </c>
      <c r="M1682" s="11" t="str">
        <f>VLOOKUP(N1682,'Mã NV'!$A$3:$B$196,2,0)</f>
        <v>BU37</v>
      </c>
      <c r="N1682" s="304" t="s">
        <v>2983</v>
      </c>
      <c r="O1682" s="382" t="s">
        <v>4267</v>
      </c>
      <c r="P1682" s="371"/>
      <c r="Q1682" s="43"/>
      <c r="R1682" s="169" t="s">
        <v>2984</v>
      </c>
    </row>
    <row r="1683" spans="1:18" ht="35.25" hidden="1" customHeight="1">
      <c r="A1683" s="15">
        <f t="shared" ref="A1683:A1746" si="26">A1682+1</f>
        <v>1673</v>
      </c>
      <c r="B1683" s="146" t="s">
        <v>2680</v>
      </c>
      <c r="C1683" s="64" t="s">
        <v>2681</v>
      </c>
      <c r="D1683" s="19"/>
      <c r="E1683" s="19"/>
      <c r="F1683" s="19"/>
      <c r="G1683" s="64"/>
      <c r="H1683" s="141"/>
      <c r="I1683" s="158" t="s">
        <v>18</v>
      </c>
      <c r="J1683" s="158">
        <v>1</v>
      </c>
      <c r="K1683" s="142" t="s">
        <v>730</v>
      </c>
      <c r="L1683" s="43" t="s">
        <v>2982</v>
      </c>
      <c r="M1683" s="11" t="str">
        <f>VLOOKUP(N1683,'Mã NV'!$A$3:$B$196,2,0)</f>
        <v>BU37</v>
      </c>
      <c r="N1683" s="304" t="s">
        <v>2983</v>
      </c>
      <c r="O1683" s="380">
        <f>VLOOKUP(B1683,'Tổng hợp (3)'!$C$4:$E$985,3,0)</f>
        <v>44905</v>
      </c>
      <c r="P1683" s="378"/>
      <c r="Q1683" s="43"/>
      <c r="R1683" s="193"/>
    </row>
    <row r="1684" spans="1:18" ht="35.25" hidden="1" customHeight="1">
      <c r="A1684" s="15">
        <f t="shared" si="26"/>
        <v>1674</v>
      </c>
      <c r="B1684" s="146" t="s">
        <v>2682</v>
      </c>
      <c r="C1684" s="64" t="s">
        <v>2683</v>
      </c>
      <c r="D1684" s="19"/>
      <c r="E1684" s="19"/>
      <c r="F1684" s="19"/>
      <c r="G1684" s="64"/>
      <c r="H1684" s="141"/>
      <c r="I1684" s="158" t="s">
        <v>18</v>
      </c>
      <c r="J1684" s="158">
        <v>1</v>
      </c>
      <c r="K1684" s="142" t="s">
        <v>730</v>
      </c>
      <c r="L1684" s="43" t="s">
        <v>2982</v>
      </c>
      <c r="M1684" s="11" t="str">
        <f>VLOOKUP(N1684,'Mã NV'!$A$3:$B$196,2,0)</f>
        <v>BU37</v>
      </c>
      <c r="N1684" s="304" t="s">
        <v>2983</v>
      </c>
      <c r="O1684" s="380">
        <f>VLOOKUP(B1684,'Tổng hợp (3)'!$C$4:$E$985,3,0)</f>
        <v>44905</v>
      </c>
      <c r="P1684" s="378"/>
      <c r="Q1684" s="43"/>
      <c r="R1684" s="193"/>
    </row>
    <row r="1685" spans="1:18" ht="35.25" hidden="1" customHeight="1">
      <c r="A1685" s="15">
        <f t="shared" si="26"/>
        <v>1675</v>
      </c>
      <c r="B1685" s="146" t="s">
        <v>2684</v>
      </c>
      <c r="C1685" s="64" t="s">
        <v>2685</v>
      </c>
      <c r="D1685" s="19"/>
      <c r="E1685" s="19"/>
      <c r="F1685" s="19"/>
      <c r="G1685" s="64"/>
      <c r="H1685" s="141"/>
      <c r="I1685" s="158" t="s">
        <v>18</v>
      </c>
      <c r="J1685" s="158">
        <v>1</v>
      </c>
      <c r="K1685" s="142" t="s">
        <v>730</v>
      </c>
      <c r="L1685" s="43" t="s">
        <v>2982</v>
      </c>
      <c r="M1685" s="11" t="str">
        <f>VLOOKUP(N1685,'Mã NV'!$A$3:$B$196,2,0)</f>
        <v>BU37</v>
      </c>
      <c r="N1685" s="304" t="s">
        <v>2983</v>
      </c>
      <c r="O1685" s="389" t="s">
        <v>4017</v>
      </c>
      <c r="P1685" s="378"/>
      <c r="Q1685" s="43"/>
      <c r="R1685" s="193"/>
    </row>
    <row r="1686" spans="1:18" ht="35.25" hidden="1" customHeight="1">
      <c r="A1686" s="15">
        <f t="shared" si="26"/>
        <v>1676</v>
      </c>
      <c r="B1686" s="146" t="s">
        <v>2686</v>
      </c>
      <c r="C1686" s="64" t="s">
        <v>2685</v>
      </c>
      <c r="D1686" s="19"/>
      <c r="E1686" s="19"/>
      <c r="F1686" s="19"/>
      <c r="G1686" s="64"/>
      <c r="H1686" s="141"/>
      <c r="I1686" s="158" t="s">
        <v>18</v>
      </c>
      <c r="J1686" s="158">
        <v>1</v>
      </c>
      <c r="K1686" s="142" t="s">
        <v>730</v>
      </c>
      <c r="L1686" s="43" t="s">
        <v>2982</v>
      </c>
      <c r="M1686" s="11" t="str">
        <f>VLOOKUP(N1686,'Mã NV'!$A$3:$B$196,2,0)</f>
        <v>BU37</v>
      </c>
      <c r="N1686" s="304" t="s">
        <v>2983</v>
      </c>
      <c r="O1686" s="389" t="s">
        <v>4017</v>
      </c>
      <c r="P1686" s="378"/>
      <c r="Q1686" s="43"/>
      <c r="R1686" s="193"/>
    </row>
    <row r="1687" spans="1:18" ht="35.25" hidden="1" customHeight="1">
      <c r="A1687" s="15">
        <f t="shared" si="26"/>
        <v>1677</v>
      </c>
      <c r="B1687" s="146" t="s">
        <v>2687</v>
      </c>
      <c r="C1687" s="64" t="s">
        <v>2685</v>
      </c>
      <c r="D1687" s="19"/>
      <c r="E1687" s="19"/>
      <c r="F1687" s="19"/>
      <c r="G1687" s="64"/>
      <c r="H1687" s="141"/>
      <c r="I1687" s="158" t="s">
        <v>18</v>
      </c>
      <c r="J1687" s="158">
        <v>1</v>
      </c>
      <c r="K1687" s="142" t="s">
        <v>730</v>
      </c>
      <c r="L1687" s="43" t="s">
        <v>2982</v>
      </c>
      <c r="M1687" s="11" t="str">
        <f>VLOOKUP(N1687,'Mã NV'!$A$3:$B$196,2,0)</f>
        <v>BU37</v>
      </c>
      <c r="N1687" s="304" t="s">
        <v>2983</v>
      </c>
      <c r="O1687" s="389" t="s">
        <v>4017</v>
      </c>
      <c r="P1687" s="378"/>
      <c r="Q1687" s="43"/>
      <c r="R1687" s="193"/>
    </row>
    <row r="1688" spans="1:18" ht="35.25" hidden="1" customHeight="1">
      <c r="A1688" s="15">
        <f t="shared" si="26"/>
        <v>1678</v>
      </c>
      <c r="B1688" s="146" t="s">
        <v>2688</v>
      </c>
      <c r="C1688" s="64" t="s">
        <v>2685</v>
      </c>
      <c r="D1688" s="19"/>
      <c r="E1688" s="19"/>
      <c r="F1688" s="19"/>
      <c r="G1688" s="64"/>
      <c r="H1688" s="141"/>
      <c r="I1688" s="158" t="s">
        <v>18</v>
      </c>
      <c r="J1688" s="158">
        <v>1</v>
      </c>
      <c r="K1688" s="142" t="s">
        <v>730</v>
      </c>
      <c r="L1688" s="43" t="s">
        <v>2982</v>
      </c>
      <c r="M1688" s="11" t="str">
        <f>VLOOKUP(N1688,'Mã NV'!$A$3:$B$196,2,0)</f>
        <v>BU37</v>
      </c>
      <c r="N1688" s="304" t="s">
        <v>2983</v>
      </c>
      <c r="O1688" s="389" t="s">
        <v>4017</v>
      </c>
      <c r="P1688" s="378"/>
      <c r="Q1688" s="43"/>
      <c r="R1688" s="193"/>
    </row>
    <row r="1689" spans="1:18" ht="35.25" hidden="1" customHeight="1">
      <c r="A1689" s="15">
        <f t="shared" si="26"/>
        <v>1679</v>
      </c>
      <c r="B1689" s="146" t="s">
        <v>2689</v>
      </c>
      <c r="C1689" s="64" t="s">
        <v>2690</v>
      </c>
      <c r="D1689" s="19"/>
      <c r="E1689" s="19"/>
      <c r="F1689" s="19"/>
      <c r="G1689" s="64"/>
      <c r="H1689" s="141"/>
      <c r="I1689" s="158" t="s">
        <v>18</v>
      </c>
      <c r="J1689" s="158">
        <v>1</v>
      </c>
      <c r="K1689" s="142" t="s">
        <v>730</v>
      </c>
      <c r="L1689" s="43" t="s">
        <v>2982</v>
      </c>
      <c r="M1689" s="11" t="str">
        <f>VLOOKUP(N1689,'Mã NV'!$A$3:$B$196,2,0)</f>
        <v>BU37</v>
      </c>
      <c r="N1689" s="304" t="s">
        <v>2983</v>
      </c>
      <c r="O1689" s="380" t="str">
        <f>VLOOKUP(B1689,'Tổng hợp (3)'!$C$4:$E$985,3,0)</f>
        <v>13/10/2022</v>
      </c>
      <c r="P1689" s="378"/>
      <c r="Q1689" s="43"/>
      <c r="R1689" s="193"/>
    </row>
    <row r="1690" spans="1:18" ht="35.25" hidden="1" customHeight="1">
      <c r="A1690" s="15">
        <f t="shared" si="26"/>
        <v>1680</v>
      </c>
      <c r="B1690" s="146" t="s">
        <v>2691</v>
      </c>
      <c r="C1690" s="64" t="s">
        <v>2692</v>
      </c>
      <c r="D1690" s="19"/>
      <c r="E1690" s="19"/>
      <c r="F1690" s="19"/>
      <c r="G1690" s="64"/>
      <c r="H1690" s="141"/>
      <c r="I1690" s="158" t="s">
        <v>18</v>
      </c>
      <c r="J1690" s="158">
        <v>1</v>
      </c>
      <c r="K1690" s="160" t="s">
        <v>3219</v>
      </c>
      <c r="L1690" s="43" t="s">
        <v>2982</v>
      </c>
      <c r="M1690" s="11" t="str">
        <f>VLOOKUP(N1690,'Mã NV'!$A$3:$B$196,2,0)</f>
        <v>BU37</v>
      </c>
      <c r="N1690" s="304" t="s">
        <v>2983</v>
      </c>
      <c r="O1690" s="390">
        <v>44848</v>
      </c>
      <c r="P1690" s="371"/>
      <c r="Q1690" s="43"/>
      <c r="R1690" s="169" t="s">
        <v>2985</v>
      </c>
    </row>
    <row r="1691" spans="1:18" ht="35.25" hidden="1" customHeight="1">
      <c r="A1691" s="15">
        <f t="shared" si="26"/>
        <v>1681</v>
      </c>
      <c r="B1691" s="146" t="s">
        <v>2693</v>
      </c>
      <c r="C1691" s="64" t="s">
        <v>2694</v>
      </c>
      <c r="D1691" s="19"/>
      <c r="E1691" s="19"/>
      <c r="F1691" s="19"/>
      <c r="G1691" s="64"/>
      <c r="H1691" s="141"/>
      <c r="I1691" s="158" t="s">
        <v>18</v>
      </c>
      <c r="J1691" s="158">
        <v>1</v>
      </c>
      <c r="K1691" s="142" t="s">
        <v>730</v>
      </c>
      <c r="L1691" s="43" t="s">
        <v>2982</v>
      </c>
      <c r="M1691" s="11" t="str">
        <f>VLOOKUP(N1691,'Mã NV'!$A$3:$B$196,2,0)</f>
        <v>BU37</v>
      </c>
      <c r="N1691" s="304" t="s">
        <v>2983</v>
      </c>
      <c r="O1691" s="390">
        <v>44848</v>
      </c>
      <c r="P1691" s="371"/>
      <c r="Q1691" s="43"/>
      <c r="R1691" s="193"/>
    </row>
    <row r="1692" spans="1:18" ht="35.25" hidden="1" customHeight="1">
      <c r="A1692" s="15">
        <f t="shared" si="26"/>
        <v>1682</v>
      </c>
      <c r="B1692" s="146" t="s">
        <v>2695</v>
      </c>
      <c r="C1692" s="64" t="s">
        <v>2694</v>
      </c>
      <c r="D1692" s="19"/>
      <c r="E1692" s="19"/>
      <c r="F1692" s="19"/>
      <c r="G1692" s="64"/>
      <c r="H1692" s="141"/>
      <c r="I1692" s="158" t="s">
        <v>18</v>
      </c>
      <c r="J1692" s="158">
        <v>1</v>
      </c>
      <c r="K1692" s="142" t="s">
        <v>730</v>
      </c>
      <c r="L1692" s="43" t="s">
        <v>2982</v>
      </c>
      <c r="M1692" s="11" t="str">
        <f>VLOOKUP(N1692,'Mã NV'!$A$3:$B$196,2,0)</f>
        <v>BU37</v>
      </c>
      <c r="N1692" s="304" t="s">
        <v>2983</v>
      </c>
      <c r="O1692" s="390">
        <v>44848</v>
      </c>
      <c r="P1692" s="371"/>
      <c r="Q1692" s="43"/>
      <c r="R1692" s="193"/>
    </row>
    <row r="1693" spans="1:18" ht="35.25" hidden="1" customHeight="1">
      <c r="A1693" s="15">
        <f t="shared" si="26"/>
        <v>1683</v>
      </c>
      <c r="B1693" s="146" t="s">
        <v>2696</v>
      </c>
      <c r="C1693" s="64" t="s">
        <v>2694</v>
      </c>
      <c r="D1693" s="19"/>
      <c r="E1693" s="19"/>
      <c r="F1693" s="19"/>
      <c r="G1693" s="64"/>
      <c r="H1693" s="141"/>
      <c r="I1693" s="158" t="s">
        <v>18</v>
      </c>
      <c r="J1693" s="158">
        <v>1</v>
      </c>
      <c r="K1693" s="142" t="s">
        <v>730</v>
      </c>
      <c r="L1693" s="43" t="s">
        <v>2982</v>
      </c>
      <c r="M1693" s="11" t="str">
        <f>VLOOKUP(N1693,'Mã NV'!$A$3:$B$196,2,0)</f>
        <v>BU37</v>
      </c>
      <c r="N1693" s="304" t="s">
        <v>2983</v>
      </c>
      <c r="O1693" s="390">
        <v>44848</v>
      </c>
      <c r="P1693" s="371"/>
      <c r="Q1693" s="43"/>
      <c r="R1693" s="193"/>
    </row>
    <row r="1694" spans="1:18" ht="35.25" hidden="1" customHeight="1">
      <c r="A1694" s="15">
        <f t="shared" si="26"/>
        <v>1684</v>
      </c>
      <c r="B1694" s="146" t="s">
        <v>2697</v>
      </c>
      <c r="C1694" s="64" t="s">
        <v>2698</v>
      </c>
      <c r="D1694" s="19"/>
      <c r="E1694" s="19"/>
      <c r="F1694" s="19"/>
      <c r="G1694" s="64"/>
      <c r="H1694" s="141"/>
      <c r="I1694" s="158" t="s">
        <v>18</v>
      </c>
      <c r="J1694" s="158">
        <v>1</v>
      </c>
      <c r="K1694" s="142" t="s">
        <v>730</v>
      </c>
      <c r="L1694" s="43" t="s">
        <v>2982</v>
      </c>
      <c r="M1694" s="11" t="str">
        <f>VLOOKUP(N1694,'Mã NV'!$A$3:$B$196,2,0)</f>
        <v>BU37</v>
      </c>
      <c r="N1694" s="304" t="s">
        <v>2983</v>
      </c>
      <c r="O1694" s="390">
        <v>44848</v>
      </c>
      <c r="P1694" s="371"/>
      <c r="Q1694" s="43"/>
      <c r="R1694" s="193"/>
    </row>
    <row r="1695" spans="1:18" ht="35.25" hidden="1" customHeight="1">
      <c r="A1695" s="15">
        <f t="shared" si="26"/>
        <v>1685</v>
      </c>
      <c r="B1695" s="146" t="s">
        <v>2699</v>
      </c>
      <c r="C1695" s="64" t="s">
        <v>2698</v>
      </c>
      <c r="D1695" s="19"/>
      <c r="E1695" s="19"/>
      <c r="F1695" s="19"/>
      <c r="G1695" s="64"/>
      <c r="H1695" s="141"/>
      <c r="I1695" s="158" t="s">
        <v>18</v>
      </c>
      <c r="J1695" s="158">
        <v>1</v>
      </c>
      <c r="K1695" s="142" t="s">
        <v>730</v>
      </c>
      <c r="L1695" s="43" t="s">
        <v>2982</v>
      </c>
      <c r="M1695" s="11" t="str">
        <f>VLOOKUP(N1695,'Mã NV'!$A$3:$B$196,2,0)</f>
        <v>BU37</v>
      </c>
      <c r="N1695" s="304" t="s">
        <v>2983</v>
      </c>
      <c r="O1695" s="390">
        <v>44848</v>
      </c>
      <c r="P1695" s="371"/>
      <c r="Q1695" s="43"/>
      <c r="R1695" s="193"/>
    </row>
    <row r="1696" spans="1:18" ht="35.25" hidden="1" customHeight="1">
      <c r="A1696" s="15">
        <f t="shared" si="26"/>
        <v>1686</v>
      </c>
      <c r="B1696" s="146" t="s">
        <v>2700</v>
      </c>
      <c r="C1696" s="64" t="s">
        <v>2698</v>
      </c>
      <c r="D1696" s="19"/>
      <c r="E1696" s="19"/>
      <c r="F1696" s="19"/>
      <c r="G1696" s="64"/>
      <c r="H1696" s="141"/>
      <c r="I1696" s="158" t="s">
        <v>18</v>
      </c>
      <c r="J1696" s="158">
        <v>1</v>
      </c>
      <c r="K1696" s="142" t="s">
        <v>730</v>
      </c>
      <c r="L1696" s="43" t="s">
        <v>2982</v>
      </c>
      <c r="M1696" s="11" t="str">
        <f>VLOOKUP(N1696,'Mã NV'!$A$3:$B$196,2,0)</f>
        <v>BU37</v>
      </c>
      <c r="N1696" s="304" t="s">
        <v>2983</v>
      </c>
      <c r="O1696" s="390">
        <v>44848</v>
      </c>
      <c r="P1696" s="371"/>
      <c r="Q1696" s="43"/>
      <c r="R1696" s="193"/>
    </row>
    <row r="1697" spans="1:18" ht="35.25" hidden="1" customHeight="1">
      <c r="A1697" s="15">
        <f t="shared" si="26"/>
        <v>1687</v>
      </c>
      <c r="B1697" s="146" t="s">
        <v>2701</v>
      </c>
      <c r="C1697" s="64" t="s">
        <v>2698</v>
      </c>
      <c r="D1697" s="19"/>
      <c r="E1697" s="19"/>
      <c r="F1697" s="19"/>
      <c r="G1697" s="64"/>
      <c r="H1697" s="141"/>
      <c r="I1697" s="158" t="s">
        <v>18</v>
      </c>
      <c r="J1697" s="158">
        <v>1</v>
      </c>
      <c r="K1697" s="142" t="s">
        <v>730</v>
      </c>
      <c r="L1697" s="43" t="s">
        <v>2982</v>
      </c>
      <c r="M1697" s="11" t="str">
        <f>VLOOKUP(N1697,'Mã NV'!$A$3:$B$196,2,0)</f>
        <v>BU37</v>
      </c>
      <c r="N1697" s="304" t="s">
        <v>2983</v>
      </c>
      <c r="O1697" s="390">
        <v>44848</v>
      </c>
      <c r="P1697" s="371"/>
      <c r="Q1697" s="43"/>
      <c r="R1697" s="193"/>
    </row>
    <row r="1698" spans="1:18" ht="35.25" hidden="1" customHeight="1">
      <c r="A1698" s="15">
        <f t="shared" si="26"/>
        <v>1688</v>
      </c>
      <c r="B1698" s="146" t="s">
        <v>2702</v>
      </c>
      <c r="C1698" s="64" t="s">
        <v>2698</v>
      </c>
      <c r="D1698" s="19"/>
      <c r="E1698" s="19"/>
      <c r="F1698" s="19"/>
      <c r="G1698" s="64"/>
      <c r="H1698" s="141"/>
      <c r="I1698" s="158" t="s">
        <v>18</v>
      </c>
      <c r="J1698" s="158">
        <v>1</v>
      </c>
      <c r="K1698" s="142" t="s">
        <v>730</v>
      </c>
      <c r="L1698" s="43" t="s">
        <v>2982</v>
      </c>
      <c r="M1698" s="11" t="str">
        <f>VLOOKUP(N1698,'Mã NV'!$A$3:$B$196,2,0)</f>
        <v>BU37</v>
      </c>
      <c r="N1698" s="304" t="s">
        <v>2983</v>
      </c>
      <c r="O1698" s="390">
        <v>44848</v>
      </c>
      <c r="P1698" s="371"/>
      <c r="Q1698" s="43"/>
      <c r="R1698" s="193"/>
    </row>
    <row r="1699" spans="1:18" ht="35.25" hidden="1" customHeight="1">
      <c r="A1699" s="15">
        <f t="shared" si="26"/>
        <v>1689</v>
      </c>
      <c r="B1699" s="146" t="s">
        <v>2703</v>
      </c>
      <c r="C1699" s="64" t="s">
        <v>2698</v>
      </c>
      <c r="D1699" s="19"/>
      <c r="E1699" s="19"/>
      <c r="F1699" s="19"/>
      <c r="G1699" s="64"/>
      <c r="H1699" s="141"/>
      <c r="I1699" s="158" t="s">
        <v>18</v>
      </c>
      <c r="J1699" s="158">
        <v>1</v>
      </c>
      <c r="K1699" s="142" t="s">
        <v>730</v>
      </c>
      <c r="L1699" s="43" t="s">
        <v>2982</v>
      </c>
      <c r="M1699" s="11" t="str">
        <f>VLOOKUP(N1699,'Mã NV'!$A$3:$B$196,2,0)</f>
        <v>BU37</v>
      </c>
      <c r="N1699" s="304" t="s">
        <v>2983</v>
      </c>
      <c r="O1699" s="390">
        <v>44848</v>
      </c>
      <c r="P1699" s="371"/>
      <c r="Q1699" s="43"/>
      <c r="R1699" s="193"/>
    </row>
    <row r="1700" spans="1:18" ht="35.25" hidden="1" customHeight="1">
      <c r="A1700" s="15">
        <f t="shared" si="26"/>
        <v>1690</v>
      </c>
      <c r="B1700" s="146" t="s">
        <v>2704</v>
      </c>
      <c r="C1700" s="64" t="s">
        <v>2698</v>
      </c>
      <c r="D1700" s="19"/>
      <c r="E1700" s="19"/>
      <c r="F1700" s="19"/>
      <c r="G1700" s="64"/>
      <c r="H1700" s="141"/>
      <c r="I1700" s="158" t="s">
        <v>18</v>
      </c>
      <c r="J1700" s="158">
        <v>1</v>
      </c>
      <c r="K1700" s="142" t="s">
        <v>730</v>
      </c>
      <c r="L1700" s="43" t="s">
        <v>2982</v>
      </c>
      <c r="M1700" s="11" t="str">
        <f>VLOOKUP(N1700,'Mã NV'!$A$3:$B$196,2,0)</f>
        <v>BU37</v>
      </c>
      <c r="N1700" s="304" t="s">
        <v>2983</v>
      </c>
      <c r="O1700" s="390">
        <v>44848</v>
      </c>
      <c r="P1700" s="371"/>
      <c r="Q1700" s="43"/>
      <c r="R1700" s="193"/>
    </row>
    <row r="1701" spans="1:18" ht="35.25" hidden="1" customHeight="1">
      <c r="A1701" s="15">
        <f t="shared" si="26"/>
        <v>1691</v>
      </c>
      <c r="B1701" s="146" t="s">
        <v>2705</v>
      </c>
      <c r="C1701" s="64" t="s">
        <v>2698</v>
      </c>
      <c r="D1701" s="19"/>
      <c r="E1701" s="19"/>
      <c r="F1701" s="19"/>
      <c r="G1701" s="64"/>
      <c r="H1701" s="141"/>
      <c r="I1701" s="158" t="s">
        <v>18</v>
      </c>
      <c r="J1701" s="158">
        <v>1</v>
      </c>
      <c r="K1701" s="142" t="s">
        <v>730</v>
      </c>
      <c r="L1701" s="43" t="s">
        <v>2982</v>
      </c>
      <c r="M1701" s="11" t="str">
        <f>VLOOKUP(N1701,'Mã NV'!$A$3:$B$196,2,0)</f>
        <v>BU37</v>
      </c>
      <c r="N1701" s="304" t="s">
        <v>2983</v>
      </c>
      <c r="O1701" s="390">
        <v>44848</v>
      </c>
      <c r="P1701" s="371"/>
      <c r="Q1701" s="43"/>
      <c r="R1701" s="193"/>
    </row>
    <row r="1702" spans="1:18" ht="35.25" hidden="1" customHeight="1">
      <c r="A1702" s="15">
        <f t="shared" si="26"/>
        <v>1692</v>
      </c>
      <c r="B1702" s="146" t="s">
        <v>2706</v>
      </c>
      <c r="C1702" s="64" t="s">
        <v>2698</v>
      </c>
      <c r="D1702" s="19"/>
      <c r="E1702" s="19"/>
      <c r="F1702" s="19"/>
      <c r="G1702" s="64"/>
      <c r="H1702" s="141"/>
      <c r="I1702" s="158" t="s">
        <v>18</v>
      </c>
      <c r="J1702" s="158">
        <v>1</v>
      </c>
      <c r="K1702" s="142" t="s">
        <v>730</v>
      </c>
      <c r="L1702" s="43" t="s">
        <v>2982</v>
      </c>
      <c r="M1702" s="11" t="str">
        <f>VLOOKUP(N1702,'Mã NV'!$A$3:$B$196,2,0)</f>
        <v>BU37</v>
      </c>
      <c r="N1702" s="304" t="s">
        <v>2983</v>
      </c>
      <c r="O1702" s="390">
        <v>44848</v>
      </c>
      <c r="P1702" s="371"/>
      <c r="Q1702" s="43"/>
      <c r="R1702" s="193"/>
    </row>
    <row r="1703" spans="1:18" ht="35.25" hidden="1" customHeight="1">
      <c r="A1703" s="15">
        <f t="shared" si="26"/>
        <v>1693</v>
      </c>
      <c r="B1703" s="146" t="s">
        <v>2707</v>
      </c>
      <c r="C1703" s="64" t="s">
        <v>2698</v>
      </c>
      <c r="D1703" s="19"/>
      <c r="E1703" s="19"/>
      <c r="F1703" s="19"/>
      <c r="G1703" s="64"/>
      <c r="H1703" s="141"/>
      <c r="I1703" s="158" t="s">
        <v>18</v>
      </c>
      <c r="J1703" s="158">
        <v>1</v>
      </c>
      <c r="K1703" s="142" t="s">
        <v>730</v>
      </c>
      <c r="L1703" s="43" t="s">
        <v>2982</v>
      </c>
      <c r="M1703" s="11" t="str">
        <f>VLOOKUP(N1703,'Mã NV'!$A$3:$B$196,2,0)</f>
        <v>BU37</v>
      </c>
      <c r="N1703" s="304" t="s">
        <v>2983</v>
      </c>
      <c r="O1703" s="390">
        <v>44848</v>
      </c>
      <c r="P1703" s="371"/>
      <c r="Q1703" s="43"/>
      <c r="R1703" s="193"/>
    </row>
    <row r="1704" spans="1:18" ht="35.25" hidden="1" customHeight="1">
      <c r="A1704" s="15">
        <f t="shared" si="26"/>
        <v>1694</v>
      </c>
      <c r="B1704" s="146" t="s">
        <v>2708</v>
      </c>
      <c r="C1704" s="64" t="s">
        <v>2698</v>
      </c>
      <c r="D1704" s="19"/>
      <c r="E1704" s="19"/>
      <c r="F1704" s="19"/>
      <c r="G1704" s="64"/>
      <c r="H1704" s="141"/>
      <c r="I1704" s="158" t="s">
        <v>18</v>
      </c>
      <c r="J1704" s="158">
        <v>1</v>
      </c>
      <c r="K1704" s="142" t="s">
        <v>730</v>
      </c>
      <c r="L1704" s="43" t="s">
        <v>2982</v>
      </c>
      <c r="M1704" s="11" t="str">
        <f>VLOOKUP(N1704,'Mã NV'!$A$3:$B$196,2,0)</f>
        <v>BU37</v>
      </c>
      <c r="N1704" s="304" t="s">
        <v>2983</v>
      </c>
      <c r="O1704" s="390">
        <v>44848</v>
      </c>
      <c r="P1704" s="371"/>
      <c r="Q1704" s="43"/>
      <c r="R1704" s="193"/>
    </row>
    <row r="1705" spans="1:18" ht="35.25" hidden="1" customHeight="1">
      <c r="A1705" s="15">
        <f t="shared" si="26"/>
        <v>1695</v>
      </c>
      <c r="B1705" s="146" t="s">
        <v>2709</v>
      </c>
      <c r="C1705" s="64" t="s">
        <v>2698</v>
      </c>
      <c r="D1705" s="19"/>
      <c r="E1705" s="19"/>
      <c r="F1705" s="19"/>
      <c r="G1705" s="64"/>
      <c r="H1705" s="141"/>
      <c r="I1705" s="158" t="s">
        <v>18</v>
      </c>
      <c r="J1705" s="158">
        <v>1</v>
      </c>
      <c r="K1705" s="142" t="s">
        <v>730</v>
      </c>
      <c r="L1705" s="43" t="s">
        <v>2982</v>
      </c>
      <c r="M1705" s="11" t="str">
        <f>VLOOKUP(N1705,'Mã NV'!$A$3:$B$196,2,0)</f>
        <v>BU37</v>
      </c>
      <c r="N1705" s="304" t="s">
        <v>2983</v>
      </c>
      <c r="O1705" s="390">
        <v>44848</v>
      </c>
      <c r="P1705" s="371"/>
      <c r="Q1705" s="43"/>
      <c r="R1705" s="193"/>
    </row>
    <row r="1706" spans="1:18" ht="35.25" hidden="1" customHeight="1">
      <c r="A1706" s="15">
        <f t="shared" si="26"/>
        <v>1696</v>
      </c>
      <c r="B1706" s="146" t="s">
        <v>2710</v>
      </c>
      <c r="C1706" s="64" t="s">
        <v>2698</v>
      </c>
      <c r="D1706" s="19"/>
      <c r="E1706" s="19"/>
      <c r="F1706" s="19"/>
      <c r="G1706" s="64"/>
      <c r="H1706" s="141"/>
      <c r="I1706" s="158" t="s">
        <v>18</v>
      </c>
      <c r="J1706" s="158">
        <v>1</v>
      </c>
      <c r="K1706" s="142" t="s">
        <v>730</v>
      </c>
      <c r="L1706" s="43" t="s">
        <v>2982</v>
      </c>
      <c r="M1706" s="11" t="str">
        <f>VLOOKUP(N1706,'Mã NV'!$A$3:$B$196,2,0)</f>
        <v>BU37</v>
      </c>
      <c r="N1706" s="304" t="s">
        <v>2983</v>
      </c>
      <c r="O1706" s="390">
        <v>44848</v>
      </c>
      <c r="P1706" s="371"/>
      <c r="Q1706" s="43"/>
      <c r="R1706" s="193"/>
    </row>
    <row r="1707" spans="1:18" ht="35.25" hidden="1" customHeight="1">
      <c r="A1707" s="15">
        <f t="shared" si="26"/>
        <v>1697</v>
      </c>
      <c r="B1707" s="146" t="s">
        <v>2711</v>
      </c>
      <c r="C1707" s="64" t="s">
        <v>2698</v>
      </c>
      <c r="D1707" s="19"/>
      <c r="E1707" s="19"/>
      <c r="F1707" s="19"/>
      <c r="G1707" s="64"/>
      <c r="H1707" s="141"/>
      <c r="I1707" s="158" t="s">
        <v>18</v>
      </c>
      <c r="J1707" s="158">
        <v>1</v>
      </c>
      <c r="K1707" s="142" t="s">
        <v>730</v>
      </c>
      <c r="L1707" s="43" t="s">
        <v>2982</v>
      </c>
      <c r="M1707" s="11" t="str">
        <f>VLOOKUP(N1707,'Mã NV'!$A$3:$B$196,2,0)</f>
        <v>BU37</v>
      </c>
      <c r="N1707" s="304" t="s">
        <v>2983</v>
      </c>
      <c r="O1707" s="390">
        <v>44848</v>
      </c>
      <c r="P1707" s="371"/>
      <c r="Q1707" s="43"/>
      <c r="R1707" s="193"/>
    </row>
    <row r="1708" spans="1:18" ht="35.25" hidden="1" customHeight="1">
      <c r="A1708" s="15">
        <f t="shared" si="26"/>
        <v>1698</v>
      </c>
      <c r="B1708" s="146" t="s">
        <v>2712</v>
      </c>
      <c r="C1708" s="64" t="s">
        <v>2698</v>
      </c>
      <c r="D1708" s="19"/>
      <c r="E1708" s="19"/>
      <c r="F1708" s="19"/>
      <c r="G1708" s="64"/>
      <c r="H1708" s="141"/>
      <c r="I1708" s="158" t="s">
        <v>18</v>
      </c>
      <c r="J1708" s="158">
        <v>1</v>
      </c>
      <c r="K1708" s="142" t="s">
        <v>730</v>
      </c>
      <c r="L1708" s="43" t="s">
        <v>2982</v>
      </c>
      <c r="M1708" s="11" t="str">
        <f>VLOOKUP(N1708,'Mã NV'!$A$3:$B$196,2,0)</f>
        <v>BU37</v>
      </c>
      <c r="N1708" s="304" t="s">
        <v>2983</v>
      </c>
      <c r="O1708" s="390">
        <v>44848</v>
      </c>
      <c r="P1708" s="371"/>
      <c r="Q1708" s="43"/>
      <c r="R1708" s="193"/>
    </row>
    <row r="1709" spans="1:18" ht="35.25" hidden="1" customHeight="1">
      <c r="A1709" s="15">
        <f t="shared" si="26"/>
        <v>1699</v>
      </c>
      <c r="B1709" s="146" t="s">
        <v>2713</v>
      </c>
      <c r="C1709" s="64" t="s">
        <v>2698</v>
      </c>
      <c r="D1709" s="19"/>
      <c r="E1709" s="19"/>
      <c r="F1709" s="19"/>
      <c r="G1709" s="64"/>
      <c r="H1709" s="141"/>
      <c r="I1709" s="158" t="s">
        <v>18</v>
      </c>
      <c r="J1709" s="158">
        <v>1</v>
      </c>
      <c r="K1709" s="142" t="s">
        <v>730</v>
      </c>
      <c r="L1709" s="43" t="s">
        <v>2982</v>
      </c>
      <c r="M1709" s="11" t="str">
        <f>VLOOKUP(N1709,'Mã NV'!$A$3:$B$196,2,0)</f>
        <v>BU37</v>
      </c>
      <c r="N1709" s="304" t="s">
        <v>2983</v>
      </c>
      <c r="O1709" s="390">
        <v>44848</v>
      </c>
      <c r="P1709" s="371"/>
      <c r="Q1709" s="43"/>
      <c r="R1709" s="193"/>
    </row>
    <row r="1710" spans="1:18" ht="35.25" hidden="1" customHeight="1">
      <c r="A1710" s="15">
        <f t="shared" si="26"/>
        <v>1700</v>
      </c>
      <c r="B1710" s="146" t="s">
        <v>2714</v>
      </c>
      <c r="C1710" s="64" t="s">
        <v>2698</v>
      </c>
      <c r="D1710" s="19"/>
      <c r="E1710" s="19"/>
      <c r="F1710" s="19"/>
      <c r="G1710" s="64"/>
      <c r="H1710" s="141"/>
      <c r="I1710" s="158" t="s">
        <v>18</v>
      </c>
      <c r="J1710" s="158">
        <v>1</v>
      </c>
      <c r="K1710" s="142" t="s">
        <v>730</v>
      </c>
      <c r="L1710" s="43" t="s">
        <v>2982</v>
      </c>
      <c r="M1710" s="11" t="str">
        <f>VLOOKUP(N1710,'Mã NV'!$A$3:$B$196,2,0)</f>
        <v>BU37</v>
      </c>
      <c r="N1710" s="304" t="s">
        <v>2983</v>
      </c>
      <c r="O1710" s="390">
        <v>44848</v>
      </c>
      <c r="P1710" s="371"/>
      <c r="Q1710" s="43"/>
      <c r="R1710" s="193"/>
    </row>
    <row r="1711" spans="1:18" ht="35.25" hidden="1" customHeight="1">
      <c r="A1711" s="15">
        <f t="shared" si="26"/>
        <v>1701</v>
      </c>
      <c r="B1711" s="146" t="s">
        <v>2715</v>
      </c>
      <c r="C1711" s="64" t="s">
        <v>2698</v>
      </c>
      <c r="D1711" s="19"/>
      <c r="E1711" s="19"/>
      <c r="F1711" s="19"/>
      <c r="G1711" s="64"/>
      <c r="H1711" s="141"/>
      <c r="I1711" s="158" t="s">
        <v>18</v>
      </c>
      <c r="J1711" s="158">
        <v>1</v>
      </c>
      <c r="K1711" s="142" t="s">
        <v>730</v>
      </c>
      <c r="L1711" s="43" t="s">
        <v>2982</v>
      </c>
      <c r="M1711" s="11" t="str">
        <f>VLOOKUP(N1711,'Mã NV'!$A$3:$B$196,2,0)</f>
        <v>BU37</v>
      </c>
      <c r="N1711" s="304" t="s">
        <v>2983</v>
      </c>
      <c r="O1711" s="390">
        <v>44848</v>
      </c>
      <c r="P1711" s="371"/>
      <c r="Q1711" s="43"/>
      <c r="R1711" s="193"/>
    </row>
    <row r="1712" spans="1:18" ht="35.25" hidden="1" customHeight="1">
      <c r="A1712" s="15">
        <f t="shared" si="26"/>
        <v>1702</v>
      </c>
      <c r="B1712" s="146" t="s">
        <v>2716</v>
      </c>
      <c r="C1712" s="64" t="s">
        <v>2698</v>
      </c>
      <c r="D1712" s="19"/>
      <c r="E1712" s="19"/>
      <c r="F1712" s="19"/>
      <c r="G1712" s="64"/>
      <c r="H1712" s="141"/>
      <c r="I1712" s="158" t="s">
        <v>18</v>
      </c>
      <c r="J1712" s="158">
        <v>1</v>
      </c>
      <c r="K1712" s="142" t="s">
        <v>730</v>
      </c>
      <c r="L1712" s="43" t="s">
        <v>2982</v>
      </c>
      <c r="M1712" s="11" t="str">
        <f>VLOOKUP(N1712,'Mã NV'!$A$3:$B$196,2,0)</f>
        <v>BU37</v>
      </c>
      <c r="N1712" s="304" t="s">
        <v>2983</v>
      </c>
      <c r="O1712" s="390">
        <v>44848</v>
      </c>
      <c r="P1712" s="371"/>
      <c r="Q1712" s="43"/>
      <c r="R1712" s="193"/>
    </row>
    <row r="1713" spans="1:18" ht="35.25" hidden="1" customHeight="1">
      <c r="A1713" s="15">
        <f t="shared" si="26"/>
        <v>1703</v>
      </c>
      <c r="B1713" s="146" t="s">
        <v>2717</v>
      </c>
      <c r="C1713" s="64" t="s">
        <v>2698</v>
      </c>
      <c r="D1713" s="19"/>
      <c r="E1713" s="19"/>
      <c r="F1713" s="19"/>
      <c r="G1713" s="64"/>
      <c r="H1713" s="141"/>
      <c r="I1713" s="158" t="s">
        <v>18</v>
      </c>
      <c r="J1713" s="158">
        <v>1</v>
      </c>
      <c r="K1713" s="142" t="s">
        <v>730</v>
      </c>
      <c r="L1713" s="43" t="s">
        <v>2982</v>
      </c>
      <c r="M1713" s="11" t="str">
        <f>VLOOKUP(N1713,'Mã NV'!$A$3:$B$196,2,0)</f>
        <v>BU37</v>
      </c>
      <c r="N1713" s="304" t="s">
        <v>2983</v>
      </c>
      <c r="O1713" s="390">
        <v>44848</v>
      </c>
      <c r="P1713" s="371"/>
      <c r="Q1713" s="43"/>
      <c r="R1713" s="193"/>
    </row>
    <row r="1714" spans="1:18" ht="35.25" hidden="1" customHeight="1">
      <c r="A1714" s="15">
        <f t="shared" si="26"/>
        <v>1704</v>
      </c>
      <c r="B1714" s="146" t="s">
        <v>2718</v>
      </c>
      <c r="C1714" s="64" t="s">
        <v>2719</v>
      </c>
      <c r="D1714" s="19"/>
      <c r="E1714" s="19"/>
      <c r="F1714" s="19"/>
      <c r="G1714" s="64"/>
      <c r="H1714" s="141"/>
      <c r="I1714" s="158" t="s">
        <v>18</v>
      </c>
      <c r="J1714" s="158">
        <v>1</v>
      </c>
      <c r="K1714" s="142" t="s">
        <v>730</v>
      </c>
      <c r="L1714" s="43" t="s">
        <v>2982</v>
      </c>
      <c r="M1714" s="11" t="str">
        <f>VLOOKUP(N1714,'Mã NV'!$A$3:$B$196,2,0)</f>
        <v>BU37</v>
      </c>
      <c r="N1714" s="304" t="s">
        <v>2983</v>
      </c>
      <c r="O1714" s="390">
        <v>44848</v>
      </c>
      <c r="P1714" s="371"/>
      <c r="Q1714" s="43"/>
      <c r="R1714" s="193"/>
    </row>
    <row r="1715" spans="1:18" ht="35.25" hidden="1" customHeight="1">
      <c r="A1715" s="15">
        <f t="shared" si="26"/>
        <v>1705</v>
      </c>
      <c r="B1715" s="146" t="s">
        <v>2720</v>
      </c>
      <c r="C1715" s="64" t="s">
        <v>2719</v>
      </c>
      <c r="D1715" s="19"/>
      <c r="E1715" s="19"/>
      <c r="F1715" s="19"/>
      <c r="G1715" s="64"/>
      <c r="H1715" s="141"/>
      <c r="I1715" s="158" t="s">
        <v>18</v>
      </c>
      <c r="J1715" s="158">
        <v>1</v>
      </c>
      <c r="K1715" s="142" t="s">
        <v>730</v>
      </c>
      <c r="L1715" s="43" t="s">
        <v>2982</v>
      </c>
      <c r="M1715" s="11" t="str">
        <f>VLOOKUP(N1715,'Mã NV'!$A$3:$B$196,2,0)</f>
        <v>BU37</v>
      </c>
      <c r="N1715" s="304" t="s">
        <v>2983</v>
      </c>
      <c r="O1715" s="390">
        <v>44848</v>
      </c>
      <c r="P1715" s="371"/>
      <c r="Q1715" s="43"/>
      <c r="R1715" s="193"/>
    </row>
    <row r="1716" spans="1:18" ht="35.25" hidden="1" customHeight="1">
      <c r="A1716" s="15">
        <f t="shared" si="26"/>
        <v>1706</v>
      </c>
      <c r="B1716" s="146" t="s">
        <v>2721</v>
      </c>
      <c r="C1716" s="64" t="s">
        <v>2719</v>
      </c>
      <c r="D1716" s="19"/>
      <c r="E1716" s="19"/>
      <c r="F1716" s="19"/>
      <c r="G1716" s="64"/>
      <c r="H1716" s="141"/>
      <c r="I1716" s="158" t="s">
        <v>18</v>
      </c>
      <c r="J1716" s="158">
        <v>1</v>
      </c>
      <c r="K1716" s="142" t="s">
        <v>730</v>
      </c>
      <c r="L1716" s="43" t="s">
        <v>2982</v>
      </c>
      <c r="M1716" s="11" t="str">
        <f>VLOOKUP(N1716,'Mã NV'!$A$3:$B$196,2,0)</f>
        <v>BU37</v>
      </c>
      <c r="N1716" s="304" t="s">
        <v>2983</v>
      </c>
      <c r="O1716" s="390">
        <v>44848</v>
      </c>
      <c r="P1716" s="371"/>
      <c r="Q1716" s="43"/>
      <c r="R1716" s="193"/>
    </row>
    <row r="1717" spans="1:18" ht="35.25" hidden="1" customHeight="1">
      <c r="A1717" s="15">
        <f t="shared" si="26"/>
        <v>1707</v>
      </c>
      <c r="B1717" s="146" t="s">
        <v>2722</v>
      </c>
      <c r="C1717" s="64" t="s">
        <v>2719</v>
      </c>
      <c r="D1717" s="19"/>
      <c r="E1717" s="19"/>
      <c r="F1717" s="19"/>
      <c r="G1717" s="64"/>
      <c r="H1717" s="141"/>
      <c r="I1717" s="158" t="s">
        <v>18</v>
      </c>
      <c r="J1717" s="158">
        <v>1</v>
      </c>
      <c r="K1717" s="142" t="s">
        <v>730</v>
      </c>
      <c r="L1717" s="43" t="s">
        <v>2982</v>
      </c>
      <c r="M1717" s="11" t="str">
        <f>VLOOKUP(N1717,'Mã NV'!$A$3:$B$196,2,0)</f>
        <v>BU37</v>
      </c>
      <c r="N1717" s="304" t="s">
        <v>2983</v>
      </c>
      <c r="O1717" s="390">
        <v>44848</v>
      </c>
      <c r="P1717" s="371"/>
      <c r="Q1717" s="43"/>
      <c r="R1717" s="193"/>
    </row>
    <row r="1718" spans="1:18" ht="35.25" hidden="1" customHeight="1">
      <c r="A1718" s="15">
        <f t="shared" si="26"/>
        <v>1708</v>
      </c>
      <c r="B1718" s="146" t="s">
        <v>2723</v>
      </c>
      <c r="C1718" s="64" t="s">
        <v>2719</v>
      </c>
      <c r="D1718" s="19"/>
      <c r="E1718" s="19"/>
      <c r="F1718" s="19"/>
      <c r="G1718" s="64"/>
      <c r="H1718" s="141"/>
      <c r="I1718" s="158" t="s">
        <v>18</v>
      </c>
      <c r="J1718" s="158">
        <v>1</v>
      </c>
      <c r="K1718" s="142" t="s">
        <v>730</v>
      </c>
      <c r="L1718" s="43" t="s">
        <v>2982</v>
      </c>
      <c r="M1718" s="11" t="str">
        <f>VLOOKUP(N1718,'Mã NV'!$A$3:$B$196,2,0)</f>
        <v>BU37</v>
      </c>
      <c r="N1718" s="304" t="s">
        <v>2983</v>
      </c>
      <c r="O1718" s="390">
        <v>44848</v>
      </c>
      <c r="P1718" s="371"/>
      <c r="Q1718" s="43"/>
      <c r="R1718" s="193"/>
    </row>
    <row r="1719" spans="1:18" ht="35.25" hidden="1" customHeight="1">
      <c r="A1719" s="15">
        <f t="shared" si="26"/>
        <v>1709</v>
      </c>
      <c r="B1719" s="146" t="s">
        <v>2724</v>
      </c>
      <c r="C1719" s="64" t="s">
        <v>2719</v>
      </c>
      <c r="D1719" s="19"/>
      <c r="E1719" s="19"/>
      <c r="F1719" s="19"/>
      <c r="G1719" s="64"/>
      <c r="H1719" s="141"/>
      <c r="I1719" s="158" t="s">
        <v>18</v>
      </c>
      <c r="J1719" s="158">
        <v>1</v>
      </c>
      <c r="K1719" s="142" t="s">
        <v>730</v>
      </c>
      <c r="L1719" s="43" t="s">
        <v>2982</v>
      </c>
      <c r="M1719" s="11" t="str">
        <f>VLOOKUP(N1719,'Mã NV'!$A$3:$B$196,2,0)</f>
        <v>BU37</v>
      </c>
      <c r="N1719" s="304" t="s">
        <v>2983</v>
      </c>
      <c r="O1719" s="390">
        <v>44848</v>
      </c>
      <c r="P1719" s="371"/>
      <c r="Q1719" s="43"/>
      <c r="R1719" s="193"/>
    </row>
    <row r="1720" spans="1:18" ht="35.25" hidden="1" customHeight="1">
      <c r="A1720" s="15">
        <f t="shared" si="26"/>
        <v>1710</v>
      </c>
      <c r="B1720" s="146" t="s">
        <v>2725</v>
      </c>
      <c r="C1720" s="64" t="s">
        <v>2719</v>
      </c>
      <c r="D1720" s="19"/>
      <c r="E1720" s="19"/>
      <c r="F1720" s="19"/>
      <c r="G1720" s="64"/>
      <c r="H1720" s="141"/>
      <c r="I1720" s="158" t="s">
        <v>18</v>
      </c>
      <c r="J1720" s="158">
        <v>1</v>
      </c>
      <c r="K1720" s="142" t="s">
        <v>730</v>
      </c>
      <c r="L1720" s="43" t="s">
        <v>2982</v>
      </c>
      <c r="M1720" s="11" t="str">
        <f>VLOOKUP(N1720,'Mã NV'!$A$3:$B$196,2,0)</f>
        <v>BU37</v>
      </c>
      <c r="N1720" s="304" t="s">
        <v>2983</v>
      </c>
      <c r="O1720" s="390">
        <v>44848</v>
      </c>
      <c r="P1720" s="371"/>
      <c r="Q1720" s="43"/>
      <c r="R1720" s="193"/>
    </row>
    <row r="1721" spans="1:18" ht="35.25" hidden="1" customHeight="1">
      <c r="A1721" s="15">
        <f t="shared" si="26"/>
        <v>1711</v>
      </c>
      <c r="B1721" s="146" t="s">
        <v>2726</v>
      </c>
      <c r="C1721" s="64" t="s">
        <v>2719</v>
      </c>
      <c r="D1721" s="19"/>
      <c r="E1721" s="19"/>
      <c r="F1721" s="19"/>
      <c r="G1721" s="64"/>
      <c r="H1721" s="141"/>
      <c r="I1721" s="158" t="s">
        <v>18</v>
      </c>
      <c r="J1721" s="158">
        <v>1</v>
      </c>
      <c r="K1721" s="142" t="s">
        <v>730</v>
      </c>
      <c r="L1721" s="43" t="s">
        <v>2982</v>
      </c>
      <c r="M1721" s="11" t="str">
        <f>VLOOKUP(N1721,'Mã NV'!$A$3:$B$196,2,0)</f>
        <v>BU37</v>
      </c>
      <c r="N1721" s="304" t="s">
        <v>2983</v>
      </c>
      <c r="O1721" s="390">
        <v>44848</v>
      </c>
      <c r="P1721" s="371"/>
      <c r="Q1721" s="43"/>
      <c r="R1721" s="193"/>
    </row>
    <row r="1722" spans="1:18" ht="35.25" hidden="1" customHeight="1">
      <c r="A1722" s="15">
        <f t="shared" si="26"/>
        <v>1712</v>
      </c>
      <c r="B1722" s="146" t="s">
        <v>2727</v>
      </c>
      <c r="C1722" s="64" t="s">
        <v>2719</v>
      </c>
      <c r="D1722" s="19"/>
      <c r="E1722" s="19"/>
      <c r="F1722" s="19"/>
      <c r="G1722" s="64"/>
      <c r="H1722" s="141"/>
      <c r="I1722" s="158" t="s">
        <v>18</v>
      </c>
      <c r="J1722" s="158">
        <v>1</v>
      </c>
      <c r="K1722" s="142" t="s">
        <v>730</v>
      </c>
      <c r="L1722" s="43" t="s">
        <v>2982</v>
      </c>
      <c r="M1722" s="11" t="str">
        <f>VLOOKUP(N1722,'Mã NV'!$A$3:$B$196,2,0)</f>
        <v>BU37</v>
      </c>
      <c r="N1722" s="304" t="s">
        <v>2983</v>
      </c>
      <c r="O1722" s="390">
        <v>44848</v>
      </c>
      <c r="P1722" s="371"/>
      <c r="Q1722" s="43"/>
      <c r="R1722" s="193"/>
    </row>
    <row r="1723" spans="1:18" ht="35.25" hidden="1" customHeight="1">
      <c r="A1723" s="15">
        <f t="shared" si="26"/>
        <v>1713</v>
      </c>
      <c r="B1723" s="146" t="s">
        <v>2728</v>
      </c>
      <c r="C1723" s="64" t="s">
        <v>2719</v>
      </c>
      <c r="D1723" s="19"/>
      <c r="E1723" s="19"/>
      <c r="F1723" s="19"/>
      <c r="G1723" s="64"/>
      <c r="H1723" s="141"/>
      <c r="I1723" s="158" t="s">
        <v>18</v>
      </c>
      <c r="J1723" s="158">
        <v>1</v>
      </c>
      <c r="K1723" s="142" t="s">
        <v>730</v>
      </c>
      <c r="L1723" s="43" t="s">
        <v>2982</v>
      </c>
      <c r="M1723" s="11" t="str">
        <f>VLOOKUP(N1723,'Mã NV'!$A$3:$B$196,2,0)</f>
        <v>BU37</v>
      </c>
      <c r="N1723" s="304" t="s">
        <v>2983</v>
      </c>
      <c r="O1723" s="390">
        <v>44848</v>
      </c>
      <c r="P1723" s="371"/>
      <c r="Q1723" s="43"/>
      <c r="R1723" s="193"/>
    </row>
    <row r="1724" spans="1:18" ht="35.25" hidden="1" customHeight="1">
      <c r="A1724" s="15">
        <f t="shared" si="26"/>
        <v>1714</v>
      </c>
      <c r="B1724" s="146" t="s">
        <v>2729</v>
      </c>
      <c r="C1724" s="64" t="s">
        <v>2730</v>
      </c>
      <c r="D1724" s="19"/>
      <c r="E1724" s="19"/>
      <c r="F1724" s="19"/>
      <c r="G1724" s="64"/>
      <c r="H1724" s="141"/>
      <c r="I1724" s="158" t="s">
        <v>18</v>
      </c>
      <c r="J1724" s="158">
        <v>1</v>
      </c>
      <c r="K1724" s="142" t="s">
        <v>730</v>
      </c>
      <c r="L1724" s="43" t="s">
        <v>2982</v>
      </c>
      <c r="M1724" s="11" t="str">
        <f>VLOOKUP(N1724,'Mã NV'!$A$3:$B$196,2,0)</f>
        <v>BU37</v>
      </c>
      <c r="N1724" s="304" t="s">
        <v>2983</v>
      </c>
      <c r="O1724" s="380" t="str">
        <f>VLOOKUP(B1724,'Tổng hợp (3)'!$C$4:$E$985,3,0)</f>
        <v>14/10/2022</v>
      </c>
      <c r="P1724" s="378"/>
      <c r="Q1724" s="43"/>
      <c r="R1724" s="193"/>
    </row>
    <row r="1725" spans="1:18" ht="35.25" hidden="1" customHeight="1">
      <c r="A1725" s="15">
        <f t="shared" si="26"/>
        <v>1715</v>
      </c>
      <c r="B1725" s="146" t="s">
        <v>2731</v>
      </c>
      <c r="C1725" s="64" t="s">
        <v>2732</v>
      </c>
      <c r="D1725" s="19"/>
      <c r="E1725" s="19"/>
      <c r="F1725" s="19"/>
      <c r="G1725" s="64"/>
      <c r="H1725" s="141"/>
      <c r="I1725" s="158" t="s">
        <v>18</v>
      </c>
      <c r="J1725" s="158">
        <v>1</v>
      </c>
      <c r="K1725" s="142" t="s">
        <v>730</v>
      </c>
      <c r="L1725" s="43" t="s">
        <v>2982</v>
      </c>
      <c r="M1725" s="11" t="str">
        <f>VLOOKUP(N1725,'Mã NV'!$A$3:$B$196,2,0)</f>
        <v>BU37</v>
      </c>
      <c r="N1725" s="304" t="s">
        <v>2983</v>
      </c>
      <c r="O1725" s="380" t="str">
        <f>VLOOKUP(B1725,'Tổng hợp (3)'!$C$4:$E$985,3,0)</f>
        <v>15/10/2022</v>
      </c>
      <c r="P1725" s="378"/>
      <c r="Q1725" s="43"/>
      <c r="R1725" s="193"/>
    </row>
    <row r="1726" spans="1:18" ht="35.25" hidden="1" customHeight="1">
      <c r="A1726" s="15">
        <f t="shared" si="26"/>
        <v>1716</v>
      </c>
      <c r="B1726" s="146" t="s">
        <v>2733</v>
      </c>
      <c r="C1726" s="64" t="s">
        <v>2734</v>
      </c>
      <c r="D1726" s="19"/>
      <c r="E1726" s="19"/>
      <c r="F1726" s="19"/>
      <c r="G1726" s="64"/>
      <c r="H1726" s="141"/>
      <c r="I1726" s="158" t="s">
        <v>18</v>
      </c>
      <c r="J1726" s="158">
        <v>1</v>
      </c>
      <c r="K1726" s="142" t="s">
        <v>730</v>
      </c>
      <c r="L1726" s="43" t="s">
        <v>2982</v>
      </c>
      <c r="M1726" s="11" t="str">
        <f>VLOOKUP(N1726,'Mã NV'!$A$3:$B$196,2,0)</f>
        <v>BU37</v>
      </c>
      <c r="N1726" s="304" t="s">
        <v>2983</v>
      </c>
      <c r="O1726" s="390">
        <v>44846</v>
      </c>
      <c r="P1726" s="371"/>
      <c r="Q1726" s="43"/>
      <c r="R1726" s="193"/>
    </row>
    <row r="1727" spans="1:18" ht="35.25" hidden="1" customHeight="1">
      <c r="A1727" s="15">
        <f t="shared" si="26"/>
        <v>1717</v>
      </c>
      <c r="B1727" s="146" t="s">
        <v>2735</v>
      </c>
      <c r="C1727" s="64" t="s">
        <v>2734</v>
      </c>
      <c r="D1727" s="19"/>
      <c r="E1727" s="19"/>
      <c r="F1727" s="19"/>
      <c r="G1727" s="64"/>
      <c r="H1727" s="141"/>
      <c r="I1727" s="158" t="s">
        <v>18</v>
      </c>
      <c r="J1727" s="158">
        <v>1</v>
      </c>
      <c r="K1727" s="142" t="s">
        <v>730</v>
      </c>
      <c r="L1727" s="43" t="s">
        <v>2982</v>
      </c>
      <c r="M1727" s="11" t="str">
        <f>VLOOKUP(N1727,'Mã NV'!$A$3:$B$196,2,0)</f>
        <v>BU37</v>
      </c>
      <c r="N1727" s="304" t="s">
        <v>2983</v>
      </c>
      <c r="O1727" s="390">
        <v>44846</v>
      </c>
      <c r="P1727" s="371"/>
      <c r="Q1727" s="43"/>
      <c r="R1727" s="193"/>
    </row>
    <row r="1728" spans="1:18" ht="35.25" hidden="1" customHeight="1">
      <c r="A1728" s="15">
        <f t="shared" si="26"/>
        <v>1718</v>
      </c>
      <c r="B1728" s="146" t="s">
        <v>2736</v>
      </c>
      <c r="C1728" s="64" t="s">
        <v>2734</v>
      </c>
      <c r="D1728" s="19"/>
      <c r="E1728" s="19"/>
      <c r="F1728" s="19"/>
      <c r="G1728" s="64"/>
      <c r="H1728" s="141"/>
      <c r="I1728" s="158" t="s">
        <v>18</v>
      </c>
      <c r="J1728" s="158">
        <v>1</v>
      </c>
      <c r="K1728" s="142" t="s">
        <v>730</v>
      </c>
      <c r="L1728" s="43" t="s">
        <v>2982</v>
      </c>
      <c r="M1728" s="11" t="str">
        <f>VLOOKUP(N1728,'Mã NV'!$A$3:$B$196,2,0)</f>
        <v>BU37</v>
      </c>
      <c r="N1728" s="304" t="s">
        <v>2983</v>
      </c>
      <c r="O1728" s="390">
        <v>44846</v>
      </c>
      <c r="P1728" s="371"/>
      <c r="Q1728" s="43"/>
      <c r="R1728" s="193"/>
    </row>
    <row r="1729" spans="1:18" ht="35.25" hidden="1" customHeight="1">
      <c r="A1729" s="15">
        <f t="shared" si="26"/>
        <v>1719</v>
      </c>
      <c r="B1729" s="146" t="s">
        <v>2737</v>
      </c>
      <c r="C1729" s="64" t="s">
        <v>2734</v>
      </c>
      <c r="D1729" s="19"/>
      <c r="E1729" s="19"/>
      <c r="F1729" s="19"/>
      <c r="G1729" s="64"/>
      <c r="H1729" s="141"/>
      <c r="I1729" s="158" t="s">
        <v>18</v>
      </c>
      <c r="J1729" s="158">
        <v>1</v>
      </c>
      <c r="K1729" s="142" t="s">
        <v>730</v>
      </c>
      <c r="L1729" s="43" t="s">
        <v>2982</v>
      </c>
      <c r="M1729" s="11" t="str">
        <f>VLOOKUP(N1729,'Mã NV'!$A$3:$B$196,2,0)</f>
        <v>BU37</v>
      </c>
      <c r="N1729" s="304" t="s">
        <v>2983</v>
      </c>
      <c r="O1729" s="390">
        <v>44846</v>
      </c>
      <c r="P1729" s="371"/>
      <c r="Q1729" s="43"/>
      <c r="R1729" s="193"/>
    </row>
    <row r="1730" spans="1:18" ht="35.25" hidden="1" customHeight="1">
      <c r="A1730" s="15">
        <f t="shared" si="26"/>
        <v>1720</v>
      </c>
      <c r="B1730" s="146" t="s">
        <v>2738</v>
      </c>
      <c r="C1730" s="64" t="s">
        <v>2739</v>
      </c>
      <c r="D1730" s="19"/>
      <c r="E1730" s="19"/>
      <c r="F1730" s="19"/>
      <c r="G1730" s="64"/>
      <c r="H1730" s="141"/>
      <c r="I1730" s="158" t="s">
        <v>18</v>
      </c>
      <c r="J1730" s="158">
        <v>3</v>
      </c>
      <c r="K1730" s="142" t="s">
        <v>730</v>
      </c>
      <c r="L1730" s="43" t="s">
        <v>2982</v>
      </c>
      <c r="M1730" s="11" t="str">
        <f>VLOOKUP(N1730,'Mã NV'!$A$3:$B$196,2,0)</f>
        <v>BU37</v>
      </c>
      <c r="N1730" s="304" t="s">
        <v>2983</v>
      </c>
      <c r="O1730" s="380" t="str">
        <f>VLOOKUP(B1730,'Tổng hợp (3)'!$C$4:$E$985,3,0)</f>
        <v>18/10/2022</v>
      </c>
      <c r="P1730" s="378"/>
      <c r="Q1730" s="43"/>
      <c r="R1730" s="193"/>
    </row>
    <row r="1731" spans="1:18" ht="35.25" hidden="1" customHeight="1">
      <c r="A1731" s="15">
        <f t="shared" si="26"/>
        <v>1721</v>
      </c>
      <c r="B1731" s="146" t="s">
        <v>2740</v>
      </c>
      <c r="C1731" s="64" t="s">
        <v>2741</v>
      </c>
      <c r="D1731" s="19"/>
      <c r="E1731" s="19"/>
      <c r="F1731" s="19"/>
      <c r="G1731" s="64"/>
      <c r="H1731" s="141"/>
      <c r="I1731" s="158" t="s">
        <v>18</v>
      </c>
      <c r="J1731" s="158">
        <v>1</v>
      </c>
      <c r="K1731" s="142" t="s">
        <v>730</v>
      </c>
      <c r="L1731" s="43" t="s">
        <v>2982</v>
      </c>
      <c r="M1731" s="11" t="str">
        <f>VLOOKUP(N1731,'Mã NV'!$A$3:$B$196,2,0)</f>
        <v>BU37</v>
      </c>
      <c r="N1731" s="304" t="s">
        <v>2983</v>
      </c>
      <c r="O1731" s="380" t="str">
        <f>VLOOKUP(B1731,'Tổng hợp (3)'!$C$4:$E$985,3,0)</f>
        <v>18/10/2022</v>
      </c>
      <c r="P1731" s="378"/>
      <c r="Q1731" s="43"/>
      <c r="R1731" s="193"/>
    </row>
    <row r="1732" spans="1:18" ht="35.25" hidden="1" customHeight="1">
      <c r="A1732" s="15">
        <f t="shared" si="26"/>
        <v>1722</v>
      </c>
      <c r="B1732" s="146" t="s">
        <v>2742</v>
      </c>
      <c r="C1732" s="64" t="s">
        <v>2743</v>
      </c>
      <c r="D1732" s="19"/>
      <c r="E1732" s="19"/>
      <c r="F1732" s="19"/>
      <c r="G1732" s="64"/>
      <c r="H1732" s="141"/>
      <c r="I1732" s="158" t="s">
        <v>18</v>
      </c>
      <c r="J1732" s="158">
        <v>2</v>
      </c>
      <c r="K1732" s="142" t="s">
        <v>730</v>
      </c>
      <c r="L1732" s="43" t="s">
        <v>2982</v>
      </c>
      <c r="M1732" s="11" t="str">
        <f>VLOOKUP(N1732,'Mã NV'!$A$3:$B$196,2,0)</f>
        <v>BU37</v>
      </c>
      <c r="N1732" s="304" t="s">
        <v>2983</v>
      </c>
      <c r="O1732" s="380" t="str">
        <f>VLOOKUP(B1732,'Tổng hợp (3)'!$C$4:$E$985,3,0)</f>
        <v>18/10/2022</v>
      </c>
      <c r="P1732" s="378"/>
      <c r="Q1732" s="43"/>
      <c r="R1732" s="193"/>
    </row>
    <row r="1733" spans="1:18" ht="35.25" hidden="1" customHeight="1">
      <c r="A1733" s="15">
        <f t="shared" si="26"/>
        <v>1723</v>
      </c>
      <c r="B1733" s="146" t="s">
        <v>2744</v>
      </c>
      <c r="C1733" s="64" t="s">
        <v>562</v>
      </c>
      <c r="D1733" s="19"/>
      <c r="E1733" s="19"/>
      <c r="F1733" s="19"/>
      <c r="G1733" s="64"/>
      <c r="H1733" s="141"/>
      <c r="I1733" s="158" t="s">
        <v>18</v>
      </c>
      <c r="J1733" s="158">
        <v>1</v>
      </c>
      <c r="K1733" s="142" t="s">
        <v>730</v>
      </c>
      <c r="L1733" s="43" t="s">
        <v>2982</v>
      </c>
      <c r="M1733" s="11" t="str">
        <f>VLOOKUP(N1733,'Mã NV'!$A$3:$B$196,2,0)</f>
        <v>BU37</v>
      </c>
      <c r="N1733" s="304" t="s">
        <v>2983</v>
      </c>
      <c r="O1733" s="389" t="s">
        <v>4005</v>
      </c>
      <c r="P1733" s="371"/>
      <c r="Q1733" s="43"/>
      <c r="R1733" s="169"/>
    </row>
    <row r="1734" spans="1:18" ht="35.25" hidden="1" customHeight="1">
      <c r="A1734" s="15">
        <f t="shared" si="26"/>
        <v>1724</v>
      </c>
      <c r="B1734" s="146" t="s">
        <v>2745</v>
      </c>
      <c r="C1734" s="64" t="s">
        <v>562</v>
      </c>
      <c r="D1734" s="19"/>
      <c r="E1734" s="19"/>
      <c r="F1734" s="19"/>
      <c r="G1734" s="64"/>
      <c r="H1734" s="141"/>
      <c r="I1734" s="158" t="s">
        <v>18</v>
      </c>
      <c r="J1734" s="158">
        <v>1</v>
      </c>
      <c r="K1734" s="142" t="s">
        <v>730</v>
      </c>
      <c r="L1734" s="43" t="s">
        <v>2982</v>
      </c>
      <c r="M1734" s="11" t="str">
        <f>VLOOKUP(N1734,'Mã NV'!$A$3:$B$196,2,0)</f>
        <v>BU37</v>
      </c>
      <c r="N1734" s="304" t="s">
        <v>2983</v>
      </c>
      <c r="O1734" s="389" t="s">
        <v>4005</v>
      </c>
      <c r="P1734" s="371"/>
      <c r="Q1734" s="43"/>
      <c r="R1734" s="169"/>
    </row>
    <row r="1735" spans="1:18" ht="35.25" hidden="1" customHeight="1">
      <c r="A1735" s="15">
        <f t="shared" si="26"/>
        <v>1725</v>
      </c>
      <c r="B1735" s="146" t="s">
        <v>2746</v>
      </c>
      <c r="C1735" s="64" t="s">
        <v>562</v>
      </c>
      <c r="D1735" s="19"/>
      <c r="E1735" s="19"/>
      <c r="F1735" s="19"/>
      <c r="G1735" s="64"/>
      <c r="H1735" s="141"/>
      <c r="I1735" s="158" t="s">
        <v>18</v>
      </c>
      <c r="J1735" s="158">
        <v>1</v>
      </c>
      <c r="K1735" s="142" t="s">
        <v>730</v>
      </c>
      <c r="L1735" s="43" t="s">
        <v>2982</v>
      </c>
      <c r="M1735" s="11" t="str">
        <f>VLOOKUP(N1735,'Mã NV'!$A$3:$B$196,2,0)</f>
        <v>BU37</v>
      </c>
      <c r="N1735" s="304" t="s">
        <v>2983</v>
      </c>
      <c r="O1735" s="389" t="s">
        <v>4005</v>
      </c>
      <c r="P1735" s="371"/>
      <c r="Q1735" s="43"/>
      <c r="R1735" s="169"/>
    </row>
    <row r="1736" spans="1:18" ht="35.25" hidden="1" customHeight="1">
      <c r="A1736" s="15">
        <f t="shared" si="26"/>
        <v>1726</v>
      </c>
      <c r="B1736" s="146" t="s">
        <v>2747</v>
      </c>
      <c r="C1736" s="64" t="s">
        <v>562</v>
      </c>
      <c r="D1736" s="19"/>
      <c r="E1736" s="19"/>
      <c r="F1736" s="19"/>
      <c r="G1736" s="64"/>
      <c r="H1736" s="141"/>
      <c r="I1736" s="158" t="s">
        <v>18</v>
      </c>
      <c r="J1736" s="158">
        <v>1</v>
      </c>
      <c r="K1736" s="142" t="s">
        <v>730</v>
      </c>
      <c r="L1736" s="43" t="s">
        <v>2982</v>
      </c>
      <c r="M1736" s="11" t="str">
        <f>VLOOKUP(N1736,'Mã NV'!$A$3:$B$196,2,0)</f>
        <v>BU37</v>
      </c>
      <c r="N1736" s="304" t="s">
        <v>2983</v>
      </c>
      <c r="O1736" s="389" t="s">
        <v>4005</v>
      </c>
      <c r="P1736" s="371"/>
      <c r="Q1736" s="43"/>
      <c r="R1736" s="169"/>
    </row>
    <row r="1737" spans="1:18" ht="35.25" hidden="1" customHeight="1">
      <c r="A1737" s="15">
        <f t="shared" si="26"/>
        <v>1727</v>
      </c>
      <c r="B1737" s="146" t="s">
        <v>2748</v>
      </c>
      <c r="C1737" s="64" t="s">
        <v>562</v>
      </c>
      <c r="D1737" s="19"/>
      <c r="E1737" s="19"/>
      <c r="F1737" s="19"/>
      <c r="G1737" s="64"/>
      <c r="H1737" s="141"/>
      <c r="I1737" s="158" t="s">
        <v>18</v>
      </c>
      <c r="J1737" s="158">
        <v>1</v>
      </c>
      <c r="K1737" s="142" t="s">
        <v>730</v>
      </c>
      <c r="L1737" s="43" t="s">
        <v>2982</v>
      </c>
      <c r="M1737" s="11" t="str">
        <f>VLOOKUP(N1737,'Mã NV'!$A$3:$B$196,2,0)</f>
        <v>BU37</v>
      </c>
      <c r="N1737" s="304" t="s">
        <v>2983</v>
      </c>
      <c r="O1737" s="389" t="s">
        <v>4005</v>
      </c>
      <c r="P1737" s="371"/>
      <c r="Q1737" s="43"/>
      <c r="R1737" s="169"/>
    </row>
    <row r="1738" spans="1:18" ht="35.25" hidden="1" customHeight="1">
      <c r="A1738" s="15">
        <f t="shared" si="26"/>
        <v>1728</v>
      </c>
      <c r="B1738" s="146" t="s">
        <v>2749</v>
      </c>
      <c r="C1738" s="64" t="s">
        <v>562</v>
      </c>
      <c r="D1738" s="19"/>
      <c r="E1738" s="19"/>
      <c r="F1738" s="19"/>
      <c r="G1738" s="64"/>
      <c r="H1738" s="141"/>
      <c r="I1738" s="158" t="s">
        <v>18</v>
      </c>
      <c r="J1738" s="158">
        <v>1</v>
      </c>
      <c r="K1738" s="142" t="s">
        <v>730</v>
      </c>
      <c r="L1738" s="43" t="s">
        <v>2982</v>
      </c>
      <c r="M1738" s="11" t="str">
        <f>VLOOKUP(N1738,'Mã NV'!$A$3:$B$196,2,0)</f>
        <v>BU37</v>
      </c>
      <c r="N1738" s="304" t="s">
        <v>2983</v>
      </c>
      <c r="O1738" s="389" t="s">
        <v>4005</v>
      </c>
      <c r="P1738" s="371"/>
      <c r="Q1738" s="43"/>
      <c r="R1738" s="169"/>
    </row>
    <row r="1739" spans="1:18" ht="35.25" hidden="1" customHeight="1">
      <c r="A1739" s="15">
        <f t="shared" si="26"/>
        <v>1729</v>
      </c>
      <c r="B1739" s="146" t="s">
        <v>2750</v>
      </c>
      <c r="C1739" s="64" t="s">
        <v>562</v>
      </c>
      <c r="D1739" s="19"/>
      <c r="E1739" s="19"/>
      <c r="F1739" s="19"/>
      <c r="G1739" s="64"/>
      <c r="H1739" s="141"/>
      <c r="I1739" s="158" t="s">
        <v>18</v>
      </c>
      <c r="J1739" s="158">
        <v>1</v>
      </c>
      <c r="K1739" s="142" t="s">
        <v>730</v>
      </c>
      <c r="L1739" s="43" t="s">
        <v>2982</v>
      </c>
      <c r="M1739" s="11" t="str">
        <f>VLOOKUP(N1739,'Mã NV'!$A$3:$B$196,2,0)</f>
        <v>BU37</v>
      </c>
      <c r="N1739" s="304" t="s">
        <v>2983</v>
      </c>
      <c r="O1739" s="389" t="s">
        <v>4005</v>
      </c>
      <c r="P1739" s="371"/>
      <c r="Q1739" s="43"/>
      <c r="R1739" s="169"/>
    </row>
    <row r="1740" spans="1:18" ht="35.25" hidden="1" customHeight="1">
      <c r="A1740" s="15">
        <f t="shared" si="26"/>
        <v>1730</v>
      </c>
      <c r="B1740" s="146" t="s">
        <v>2751</v>
      </c>
      <c r="C1740" s="64" t="s">
        <v>562</v>
      </c>
      <c r="D1740" s="19"/>
      <c r="E1740" s="19"/>
      <c r="F1740" s="19"/>
      <c r="G1740" s="64"/>
      <c r="H1740" s="141"/>
      <c r="I1740" s="158" t="s">
        <v>18</v>
      </c>
      <c r="J1740" s="158">
        <v>1</v>
      </c>
      <c r="K1740" s="142" t="s">
        <v>730</v>
      </c>
      <c r="L1740" s="43" t="s">
        <v>2982</v>
      </c>
      <c r="M1740" s="11" t="str">
        <f>VLOOKUP(N1740,'Mã NV'!$A$3:$B$196,2,0)</f>
        <v>BU37</v>
      </c>
      <c r="N1740" s="304" t="s">
        <v>2983</v>
      </c>
      <c r="O1740" s="389" t="s">
        <v>4005</v>
      </c>
      <c r="P1740" s="371"/>
      <c r="Q1740" s="43"/>
      <c r="R1740" s="169"/>
    </row>
    <row r="1741" spans="1:18" ht="35.25" hidden="1" customHeight="1">
      <c r="A1741" s="15">
        <f t="shared" si="26"/>
        <v>1731</v>
      </c>
      <c r="B1741" s="146" t="s">
        <v>2752</v>
      </c>
      <c r="C1741" s="64" t="s">
        <v>562</v>
      </c>
      <c r="D1741" s="19"/>
      <c r="E1741" s="19"/>
      <c r="F1741" s="19"/>
      <c r="G1741" s="64"/>
      <c r="H1741" s="141"/>
      <c r="I1741" s="158" t="s">
        <v>18</v>
      </c>
      <c r="J1741" s="158">
        <v>1</v>
      </c>
      <c r="K1741" s="142" t="s">
        <v>730</v>
      </c>
      <c r="L1741" s="43" t="s">
        <v>2982</v>
      </c>
      <c r="M1741" s="11" t="str">
        <f>VLOOKUP(N1741,'Mã NV'!$A$3:$B$196,2,0)</f>
        <v>BU37</v>
      </c>
      <c r="N1741" s="304" t="s">
        <v>2983</v>
      </c>
      <c r="O1741" s="389" t="s">
        <v>4005</v>
      </c>
      <c r="P1741" s="371"/>
      <c r="Q1741" s="43"/>
      <c r="R1741" s="169"/>
    </row>
    <row r="1742" spans="1:18" ht="35.25" hidden="1" customHeight="1">
      <c r="A1742" s="15">
        <f t="shared" si="26"/>
        <v>1732</v>
      </c>
      <c r="B1742" s="146" t="s">
        <v>2753</v>
      </c>
      <c r="C1742" s="64" t="s">
        <v>562</v>
      </c>
      <c r="D1742" s="19"/>
      <c r="E1742" s="19"/>
      <c r="F1742" s="19"/>
      <c r="G1742" s="64"/>
      <c r="H1742" s="141"/>
      <c r="I1742" s="158" t="s">
        <v>18</v>
      </c>
      <c r="J1742" s="158">
        <v>1</v>
      </c>
      <c r="K1742" s="142" t="s">
        <v>730</v>
      </c>
      <c r="L1742" s="43" t="s">
        <v>2982</v>
      </c>
      <c r="M1742" s="11" t="str">
        <f>VLOOKUP(N1742,'Mã NV'!$A$3:$B$196,2,0)</f>
        <v>BU37</v>
      </c>
      <c r="N1742" s="304" t="s">
        <v>2983</v>
      </c>
      <c r="O1742" s="389" t="s">
        <v>4005</v>
      </c>
      <c r="P1742" s="371"/>
      <c r="Q1742" s="43"/>
      <c r="R1742" s="169"/>
    </row>
    <row r="1743" spans="1:18" ht="35.25" hidden="1" customHeight="1">
      <c r="A1743" s="15">
        <f t="shared" si="26"/>
        <v>1733</v>
      </c>
      <c r="B1743" s="146" t="s">
        <v>2754</v>
      </c>
      <c r="C1743" s="64" t="s">
        <v>562</v>
      </c>
      <c r="D1743" s="19"/>
      <c r="E1743" s="19"/>
      <c r="F1743" s="19"/>
      <c r="G1743" s="64"/>
      <c r="H1743" s="141"/>
      <c r="I1743" s="158" t="s">
        <v>18</v>
      </c>
      <c r="J1743" s="158">
        <v>1</v>
      </c>
      <c r="K1743" s="142" t="s">
        <v>730</v>
      </c>
      <c r="L1743" s="43" t="s">
        <v>2982</v>
      </c>
      <c r="M1743" s="11" t="str">
        <f>VLOOKUP(N1743,'Mã NV'!$A$3:$B$196,2,0)</f>
        <v>BU37</v>
      </c>
      <c r="N1743" s="304" t="s">
        <v>2983</v>
      </c>
      <c r="O1743" s="389" t="s">
        <v>4005</v>
      </c>
      <c r="P1743" s="371"/>
      <c r="Q1743" s="43"/>
      <c r="R1743" s="169"/>
    </row>
    <row r="1744" spans="1:18" ht="35.25" hidden="1" customHeight="1">
      <c r="A1744" s="15">
        <f t="shared" si="26"/>
        <v>1734</v>
      </c>
      <c r="B1744" s="146" t="s">
        <v>2755</v>
      </c>
      <c r="C1744" s="64" t="s">
        <v>562</v>
      </c>
      <c r="D1744" s="19"/>
      <c r="E1744" s="19"/>
      <c r="F1744" s="19"/>
      <c r="G1744" s="64"/>
      <c r="H1744" s="141"/>
      <c r="I1744" s="158" t="s">
        <v>18</v>
      </c>
      <c r="J1744" s="158">
        <v>1</v>
      </c>
      <c r="K1744" s="142" t="s">
        <v>730</v>
      </c>
      <c r="L1744" s="43" t="s">
        <v>2982</v>
      </c>
      <c r="M1744" s="11" t="str">
        <f>VLOOKUP(N1744,'Mã NV'!$A$3:$B$196,2,0)</f>
        <v>BU37</v>
      </c>
      <c r="N1744" s="304" t="s">
        <v>2983</v>
      </c>
      <c r="O1744" s="389" t="s">
        <v>4005</v>
      </c>
      <c r="P1744" s="371"/>
      <c r="Q1744" s="43"/>
      <c r="R1744" s="169"/>
    </row>
    <row r="1745" spans="1:18" ht="35.25" hidden="1" customHeight="1">
      <c r="A1745" s="15">
        <f t="shared" si="26"/>
        <v>1735</v>
      </c>
      <c r="B1745" s="146" t="s">
        <v>2756</v>
      </c>
      <c r="C1745" s="64" t="s">
        <v>562</v>
      </c>
      <c r="D1745" s="19"/>
      <c r="E1745" s="19"/>
      <c r="F1745" s="19"/>
      <c r="G1745" s="64"/>
      <c r="H1745" s="141"/>
      <c r="I1745" s="158" t="s">
        <v>18</v>
      </c>
      <c r="J1745" s="158">
        <v>1</v>
      </c>
      <c r="K1745" s="142" t="s">
        <v>730</v>
      </c>
      <c r="L1745" s="43" t="s">
        <v>2982</v>
      </c>
      <c r="M1745" s="11" t="str">
        <f>VLOOKUP(N1745,'Mã NV'!$A$3:$B$196,2,0)</f>
        <v>BU37</v>
      </c>
      <c r="N1745" s="304" t="s">
        <v>2983</v>
      </c>
      <c r="O1745" s="389" t="s">
        <v>4005</v>
      </c>
      <c r="P1745" s="371"/>
      <c r="Q1745" s="43"/>
      <c r="R1745" s="169"/>
    </row>
    <row r="1746" spans="1:18" ht="35.25" hidden="1" customHeight="1">
      <c r="A1746" s="15">
        <f t="shared" si="26"/>
        <v>1736</v>
      </c>
      <c r="B1746" s="146" t="s">
        <v>2757</v>
      </c>
      <c r="C1746" s="64" t="s">
        <v>562</v>
      </c>
      <c r="D1746" s="19"/>
      <c r="E1746" s="19"/>
      <c r="F1746" s="19"/>
      <c r="G1746" s="64"/>
      <c r="H1746" s="141"/>
      <c r="I1746" s="158" t="s">
        <v>18</v>
      </c>
      <c r="J1746" s="158">
        <v>1</v>
      </c>
      <c r="K1746" s="142" t="s">
        <v>730</v>
      </c>
      <c r="L1746" s="43" t="s">
        <v>2982</v>
      </c>
      <c r="M1746" s="11" t="str">
        <f>VLOOKUP(N1746,'Mã NV'!$A$3:$B$196,2,0)</f>
        <v>BU37</v>
      </c>
      <c r="N1746" s="304" t="s">
        <v>2983</v>
      </c>
      <c r="O1746" s="389" t="s">
        <v>4005</v>
      </c>
      <c r="P1746" s="371"/>
      <c r="Q1746" s="43"/>
      <c r="R1746" s="169"/>
    </row>
    <row r="1747" spans="1:18" ht="35.25" hidden="1" customHeight="1">
      <c r="A1747" s="15">
        <f t="shared" ref="A1747:A1810" si="27">A1746+1</f>
        <v>1737</v>
      </c>
      <c r="B1747" s="146" t="s">
        <v>2758</v>
      </c>
      <c r="C1747" s="64" t="s">
        <v>562</v>
      </c>
      <c r="D1747" s="19"/>
      <c r="E1747" s="19"/>
      <c r="F1747" s="19"/>
      <c r="G1747" s="64"/>
      <c r="H1747" s="141"/>
      <c r="I1747" s="158" t="s">
        <v>18</v>
      </c>
      <c r="J1747" s="158">
        <v>1</v>
      </c>
      <c r="K1747" s="142" t="s">
        <v>730</v>
      </c>
      <c r="L1747" s="43" t="s">
        <v>2982</v>
      </c>
      <c r="M1747" s="11" t="str">
        <f>VLOOKUP(N1747,'Mã NV'!$A$3:$B$196,2,0)</f>
        <v>BU37</v>
      </c>
      <c r="N1747" s="304" t="s">
        <v>2983</v>
      </c>
      <c r="O1747" s="389" t="s">
        <v>4005</v>
      </c>
      <c r="P1747" s="371"/>
      <c r="Q1747" s="43"/>
      <c r="R1747" s="169"/>
    </row>
    <row r="1748" spans="1:18" ht="35.25" hidden="1" customHeight="1">
      <c r="A1748" s="15">
        <f t="shared" si="27"/>
        <v>1738</v>
      </c>
      <c r="B1748" s="146" t="s">
        <v>2759</v>
      </c>
      <c r="C1748" s="64" t="s">
        <v>562</v>
      </c>
      <c r="D1748" s="19"/>
      <c r="E1748" s="19"/>
      <c r="F1748" s="19"/>
      <c r="G1748" s="64"/>
      <c r="H1748" s="141"/>
      <c r="I1748" s="158" t="s">
        <v>18</v>
      </c>
      <c r="J1748" s="158">
        <v>1</v>
      </c>
      <c r="K1748" s="142" t="s">
        <v>730</v>
      </c>
      <c r="L1748" s="43" t="s">
        <v>2982</v>
      </c>
      <c r="M1748" s="11" t="str">
        <f>VLOOKUP(N1748,'Mã NV'!$A$3:$B$196,2,0)</f>
        <v>BU37</v>
      </c>
      <c r="N1748" s="304" t="s">
        <v>2983</v>
      </c>
      <c r="O1748" s="389" t="s">
        <v>4005</v>
      </c>
      <c r="P1748" s="371"/>
      <c r="Q1748" s="43"/>
      <c r="R1748" s="169"/>
    </row>
    <row r="1749" spans="1:18" ht="35.25" hidden="1" customHeight="1">
      <c r="A1749" s="15">
        <f t="shared" si="27"/>
        <v>1739</v>
      </c>
      <c r="B1749" s="146" t="s">
        <v>2760</v>
      </c>
      <c r="C1749" s="64" t="s">
        <v>562</v>
      </c>
      <c r="D1749" s="19"/>
      <c r="E1749" s="19"/>
      <c r="F1749" s="19"/>
      <c r="G1749" s="64"/>
      <c r="H1749" s="141"/>
      <c r="I1749" s="158" t="s">
        <v>18</v>
      </c>
      <c r="J1749" s="158">
        <v>1</v>
      </c>
      <c r="K1749" s="142" t="s">
        <v>730</v>
      </c>
      <c r="L1749" s="43" t="s">
        <v>2982</v>
      </c>
      <c r="M1749" s="11" t="str">
        <f>VLOOKUP(N1749,'Mã NV'!$A$3:$B$196,2,0)</f>
        <v>BU37</v>
      </c>
      <c r="N1749" s="304" t="s">
        <v>2983</v>
      </c>
      <c r="O1749" s="389" t="s">
        <v>4005</v>
      </c>
      <c r="P1749" s="371"/>
      <c r="Q1749" s="43"/>
      <c r="R1749" s="169"/>
    </row>
    <row r="1750" spans="1:18" ht="35.25" hidden="1" customHeight="1">
      <c r="A1750" s="15">
        <f t="shared" si="27"/>
        <v>1740</v>
      </c>
      <c r="B1750" s="146" t="s">
        <v>2761</v>
      </c>
      <c r="C1750" s="64" t="s">
        <v>562</v>
      </c>
      <c r="D1750" s="19"/>
      <c r="E1750" s="19"/>
      <c r="F1750" s="19"/>
      <c r="G1750" s="64"/>
      <c r="H1750" s="141"/>
      <c r="I1750" s="158" t="s">
        <v>18</v>
      </c>
      <c r="J1750" s="158">
        <v>1</v>
      </c>
      <c r="K1750" s="142" t="s">
        <v>730</v>
      </c>
      <c r="L1750" s="43" t="s">
        <v>2982</v>
      </c>
      <c r="M1750" s="11" t="str">
        <f>VLOOKUP(N1750,'Mã NV'!$A$3:$B$196,2,0)</f>
        <v>BU37</v>
      </c>
      <c r="N1750" s="304" t="s">
        <v>2983</v>
      </c>
      <c r="O1750" s="389" t="s">
        <v>4005</v>
      </c>
      <c r="P1750" s="371"/>
      <c r="Q1750" s="43"/>
      <c r="R1750" s="169"/>
    </row>
    <row r="1751" spans="1:18" ht="35.25" hidden="1" customHeight="1">
      <c r="A1751" s="15">
        <f t="shared" si="27"/>
        <v>1741</v>
      </c>
      <c r="B1751" s="146" t="s">
        <v>2762</v>
      </c>
      <c r="C1751" s="64" t="s">
        <v>562</v>
      </c>
      <c r="D1751" s="19"/>
      <c r="E1751" s="19"/>
      <c r="F1751" s="19"/>
      <c r="G1751" s="64"/>
      <c r="H1751" s="141"/>
      <c r="I1751" s="158" t="s">
        <v>18</v>
      </c>
      <c r="J1751" s="158">
        <v>1</v>
      </c>
      <c r="K1751" s="142" t="s">
        <v>730</v>
      </c>
      <c r="L1751" s="43" t="s">
        <v>2982</v>
      </c>
      <c r="M1751" s="11" t="str">
        <f>VLOOKUP(N1751,'Mã NV'!$A$3:$B$196,2,0)</f>
        <v>BU37</v>
      </c>
      <c r="N1751" s="304" t="s">
        <v>2983</v>
      </c>
      <c r="O1751" s="389" t="s">
        <v>4005</v>
      </c>
      <c r="P1751" s="371"/>
      <c r="Q1751" s="43"/>
      <c r="R1751" s="169"/>
    </row>
    <row r="1752" spans="1:18" ht="35.25" hidden="1" customHeight="1">
      <c r="A1752" s="15">
        <f t="shared" si="27"/>
        <v>1742</v>
      </c>
      <c r="B1752" s="146" t="s">
        <v>2763</v>
      </c>
      <c r="C1752" s="64" t="s">
        <v>562</v>
      </c>
      <c r="D1752" s="19"/>
      <c r="E1752" s="19"/>
      <c r="F1752" s="19"/>
      <c r="G1752" s="64"/>
      <c r="H1752" s="141"/>
      <c r="I1752" s="158" t="s">
        <v>18</v>
      </c>
      <c r="J1752" s="158">
        <v>1</v>
      </c>
      <c r="K1752" s="142" t="s">
        <v>730</v>
      </c>
      <c r="L1752" s="43" t="s">
        <v>2982</v>
      </c>
      <c r="M1752" s="11" t="str">
        <f>VLOOKUP(N1752,'Mã NV'!$A$3:$B$196,2,0)</f>
        <v>BU37</v>
      </c>
      <c r="N1752" s="304" t="s">
        <v>2983</v>
      </c>
      <c r="O1752" s="389" t="s">
        <v>4005</v>
      </c>
      <c r="P1752" s="371"/>
      <c r="Q1752" s="43"/>
      <c r="R1752" s="169"/>
    </row>
    <row r="1753" spans="1:18" ht="35.25" hidden="1" customHeight="1">
      <c r="A1753" s="15">
        <f t="shared" si="27"/>
        <v>1743</v>
      </c>
      <c r="B1753" s="146" t="s">
        <v>2764</v>
      </c>
      <c r="C1753" s="64" t="s">
        <v>562</v>
      </c>
      <c r="D1753" s="19"/>
      <c r="E1753" s="19"/>
      <c r="F1753" s="19"/>
      <c r="G1753" s="64"/>
      <c r="H1753" s="141"/>
      <c r="I1753" s="158" t="s">
        <v>18</v>
      </c>
      <c r="J1753" s="158">
        <v>1</v>
      </c>
      <c r="K1753" s="142" t="s">
        <v>730</v>
      </c>
      <c r="L1753" s="43" t="s">
        <v>2982</v>
      </c>
      <c r="M1753" s="11" t="str">
        <f>VLOOKUP(N1753,'Mã NV'!$A$3:$B$196,2,0)</f>
        <v>BU37</v>
      </c>
      <c r="N1753" s="304" t="s">
        <v>2983</v>
      </c>
      <c r="O1753" s="389" t="s">
        <v>4005</v>
      </c>
      <c r="P1753" s="371"/>
      <c r="Q1753" s="43"/>
      <c r="R1753" s="169"/>
    </row>
    <row r="1754" spans="1:18" ht="35.25" hidden="1" customHeight="1">
      <c r="A1754" s="15">
        <f t="shared" si="27"/>
        <v>1744</v>
      </c>
      <c r="B1754" s="146" t="s">
        <v>2765</v>
      </c>
      <c r="C1754" s="64" t="s">
        <v>562</v>
      </c>
      <c r="D1754" s="19"/>
      <c r="E1754" s="19"/>
      <c r="F1754" s="19"/>
      <c r="G1754" s="64"/>
      <c r="H1754" s="141"/>
      <c r="I1754" s="158" t="s">
        <v>18</v>
      </c>
      <c r="J1754" s="158">
        <v>1</v>
      </c>
      <c r="K1754" s="142" t="s">
        <v>730</v>
      </c>
      <c r="L1754" s="43" t="s">
        <v>2982</v>
      </c>
      <c r="M1754" s="11" t="str">
        <f>VLOOKUP(N1754,'Mã NV'!$A$3:$B$196,2,0)</f>
        <v>BU37</v>
      </c>
      <c r="N1754" s="304" t="s">
        <v>2983</v>
      </c>
      <c r="O1754" s="389" t="s">
        <v>4005</v>
      </c>
      <c r="P1754" s="371"/>
      <c r="Q1754" s="43"/>
      <c r="R1754" s="169"/>
    </row>
    <row r="1755" spans="1:18" ht="35.25" hidden="1" customHeight="1">
      <c r="A1755" s="15">
        <f t="shared" si="27"/>
        <v>1745</v>
      </c>
      <c r="B1755" s="146" t="s">
        <v>2766</v>
      </c>
      <c r="C1755" s="64" t="s">
        <v>562</v>
      </c>
      <c r="D1755" s="19"/>
      <c r="E1755" s="19"/>
      <c r="F1755" s="19"/>
      <c r="G1755" s="64"/>
      <c r="H1755" s="141"/>
      <c r="I1755" s="158" t="s">
        <v>18</v>
      </c>
      <c r="J1755" s="158">
        <v>1</v>
      </c>
      <c r="K1755" s="142" t="s">
        <v>730</v>
      </c>
      <c r="L1755" s="43" t="s">
        <v>2982</v>
      </c>
      <c r="M1755" s="11" t="str">
        <f>VLOOKUP(N1755,'Mã NV'!$A$3:$B$196,2,0)</f>
        <v>BU37</v>
      </c>
      <c r="N1755" s="304" t="s">
        <v>2983</v>
      </c>
      <c r="O1755" s="389" t="s">
        <v>4005</v>
      </c>
      <c r="P1755" s="371"/>
      <c r="Q1755" s="43"/>
      <c r="R1755" s="169"/>
    </row>
    <row r="1756" spans="1:18" ht="35.25" hidden="1" customHeight="1">
      <c r="A1756" s="15">
        <f t="shared" si="27"/>
        <v>1746</v>
      </c>
      <c r="B1756" s="146" t="s">
        <v>2767</v>
      </c>
      <c r="C1756" s="64" t="s">
        <v>562</v>
      </c>
      <c r="D1756" s="19"/>
      <c r="E1756" s="19"/>
      <c r="F1756" s="19"/>
      <c r="G1756" s="64"/>
      <c r="H1756" s="141"/>
      <c r="I1756" s="158" t="s">
        <v>18</v>
      </c>
      <c r="J1756" s="158">
        <v>1</v>
      </c>
      <c r="K1756" s="142" t="s">
        <v>730</v>
      </c>
      <c r="L1756" s="43" t="s">
        <v>2982</v>
      </c>
      <c r="M1756" s="11" t="str">
        <f>VLOOKUP(N1756,'Mã NV'!$A$3:$B$196,2,0)</f>
        <v>BU37</v>
      </c>
      <c r="N1756" s="304" t="s">
        <v>2983</v>
      </c>
      <c r="O1756" s="389" t="s">
        <v>4005</v>
      </c>
      <c r="P1756" s="371"/>
      <c r="Q1756" s="43"/>
      <c r="R1756" s="169"/>
    </row>
    <row r="1757" spans="1:18" ht="35.25" hidden="1" customHeight="1">
      <c r="A1757" s="15">
        <f t="shared" si="27"/>
        <v>1747</v>
      </c>
      <c r="B1757" s="146" t="s">
        <v>2768</v>
      </c>
      <c r="C1757" s="64" t="s">
        <v>562</v>
      </c>
      <c r="D1757" s="19"/>
      <c r="E1757" s="19"/>
      <c r="F1757" s="19"/>
      <c r="G1757" s="64"/>
      <c r="H1757" s="141"/>
      <c r="I1757" s="158" t="s">
        <v>18</v>
      </c>
      <c r="J1757" s="158">
        <v>1</v>
      </c>
      <c r="K1757" s="142" t="s">
        <v>730</v>
      </c>
      <c r="L1757" s="43" t="s">
        <v>2982</v>
      </c>
      <c r="M1757" s="11" t="str">
        <f>VLOOKUP(N1757,'Mã NV'!$A$3:$B$196,2,0)</f>
        <v>BU37</v>
      </c>
      <c r="N1757" s="304" t="s">
        <v>2983</v>
      </c>
      <c r="O1757" s="389" t="s">
        <v>4005</v>
      </c>
      <c r="P1757" s="371"/>
      <c r="Q1757" s="43"/>
      <c r="R1757" s="169"/>
    </row>
    <row r="1758" spans="1:18" ht="35.25" hidden="1" customHeight="1">
      <c r="A1758" s="15">
        <f t="shared" si="27"/>
        <v>1748</v>
      </c>
      <c r="B1758" s="146" t="s">
        <v>2769</v>
      </c>
      <c r="C1758" s="64" t="s">
        <v>562</v>
      </c>
      <c r="D1758" s="19"/>
      <c r="E1758" s="19"/>
      <c r="F1758" s="19"/>
      <c r="G1758" s="64"/>
      <c r="H1758" s="141"/>
      <c r="I1758" s="158" t="s">
        <v>18</v>
      </c>
      <c r="J1758" s="158">
        <v>1</v>
      </c>
      <c r="K1758" s="142" t="s">
        <v>730</v>
      </c>
      <c r="L1758" s="43" t="s">
        <v>2982</v>
      </c>
      <c r="M1758" s="11" t="str">
        <f>VLOOKUP(N1758,'Mã NV'!$A$3:$B$196,2,0)</f>
        <v>BU37</v>
      </c>
      <c r="N1758" s="304" t="s">
        <v>2983</v>
      </c>
      <c r="O1758" s="389" t="s">
        <v>4005</v>
      </c>
      <c r="P1758" s="371"/>
      <c r="Q1758" s="43"/>
      <c r="R1758" s="169"/>
    </row>
    <row r="1759" spans="1:18" ht="35.25" hidden="1" customHeight="1">
      <c r="A1759" s="15">
        <f t="shared" si="27"/>
        <v>1749</v>
      </c>
      <c r="B1759" s="146" t="s">
        <v>2770</v>
      </c>
      <c r="C1759" s="64" t="s">
        <v>562</v>
      </c>
      <c r="D1759" s="19"/>
      <c r="E1759" s="19"/>
      <c r="F1759" s="19"/>
      <c r="G1759" s="64"/>
      <c r="H1759" s="141"/>
      <c r="I1759" s="158" t="s">
        <v>18</v>
      </c>
      <c r="J1759" s="158">
        <v>1</v>
      </c>
      <c r="K1759" s="142" t="s">
        <v>730</v>
      </c>
      <c r="L1759" s="43" t="s">
        <v>2982</v>
      </c>
      <c r="M1759" s="11" t="str">
        <f>VLOOKUP(N1759,'Mã NV'!$A$3:$B$196,2,0)</f>
        <v>BU37</v>
      </c>
      <c r="N1759" s="304" t="s">
        <v>2983</v>
      </c>
      <c r="O1759" s="389" t="s">
        <v>4005</v>
      </c>
      <c r="P1759" s="371"/>
      <c r="Q1759" s="43"/>
      <c r="R1759" s="169"/>
    </row>
    <row r="1760" spans="1:18" ht="35.25" hidden="1" customHeight="1">
      <c r="A1760" s="15">
        <f t="shared" si="27"/>
        <v>1750</v>
      </c>
      <c r="B1760" s="146" t="s">
        <v>2771</v>
      </c>
      <c r="C1760" s="64" t="s">
        <v>562</v>
      </c>
      <c r="D1760" s="19"/>
      <c r="E1760" s="19"/>
      <c r="F1760" s="19"/>
      <c r="G1760" s="64"/>
      <c r="H1760" s="141"/>
      <c r="I1760" s="158" t="s">
        <v>18</v>
      </c>
      <c r="J1760" s="158">
        <v>1</v>
      </c>
      <c r="K1760" s="142" t="s">
        <v>730</v>
      </c>
      <c r="L1760" s="43" t="s">
        <v>2982</v>
      </c>
      <c r="M1760" s="11" t="str">
        <f>VLOOKUP(N1760,'Mã NV'!$A$3:$B$196,2,0)</f>
        <v>BU37</v>
      </c>
      <c r="N1760" s="304" t="s">
        <v>2983</v>
      </c>
      <c r="O1760" s="389" t="s">
        <v>4005</v>
      </c>
      <c r="P1760" s="371"/>
      <c r="Q1760" s="43"/>
      <c r="R1760" s="169"/>
    </row>
    <row r="1761" spans="1:18" ht="35.25" hidden="1" customHeight="1">
      <c r="A1761" s="15">
        <f t="shared" si="27"/>
        <v>1751</v>
      </c>
      <c r="B1761" s="146" t="s">
        <v>2772</v>
      </c>
      <c r="C1761" s="64" t="s">
        <v>562</v>
      </c>
      <c r="D1761" s="19"/>
      <c r="E1761" s="19"/>
      <c r="F1761" s="19"/>
      <c r="G1761" s="64"/>
      <c r="H1761" s="141"/>
      <c r="I1761" s="158" t="s">
        <v>18</v>
      </c>
      <c r="J1761" s="158">
        <v>1</v>
      </c>
      <c r="K1761" s="142" t="s">
        <v>730</v>
      </c>
      <c r="L1761" s="43" t="s">
        <v>2982</v>
      </c>
      <c r="M1761" s="11" t="str">
        <f>VLOOKUP(N1761,'Mã NV'!$A$3:$B$196,2,0)</f>
        <v>BU37</v>
      </c>
      <c r="N1761" s="304" t="s">
        <v>2983</v>
      </c>
      <c r="O1761" s="389" t="s">
        <v>4005</v>
      </c>
      <c r="P1761" s="371"/>
      <c r="Q1761" s="43"/>
      <c r="R1761" s="169"/>
    </row>
    <row r="1762" spans="1:18" ht="35.25" hidden="1" customHeight="1">
      <c r="A1762" s="15">
        <f t="shared" si="27"/>
        <v>1752</v>
      </c>
      <c r="B1762" s="146" t="s">
        <v>2773</v>
      </c>
      <c r="C1762" s="64" t="s">
        <v>562</v>
      </c>
      <c r="D1762" s="19"/>
      <c r="E1762" s="19"/>
      <c r="F1762" s="19"/>
      <c r="G1762" s="64"/>
      <c r="H1762" s="141"/>
      <c r="I1762" s="158" t="s">
        <v>18</v>
      </c>
      <c r="J1762" s="158">
        <v>1</v>
      </c>
      <c r="K1762" s="142" t="s">
        <v>730</v>
      </c>
      <c r="L1762" s="43" t="s">
        <v>2982</v>
      </c>
      <c r="M1762" s="11" t="str">
        <f>VLOOKUP(N1762,'Mã NV'!$A$3:$B$196,2,0)</f>
        <v>BU37</v>
      </c>
      <c r="N1762" s="304" t="s">
        <v>2983</v>
      </c>
      <c r="O1762" s="389" t="s">
        <v>4005</v>
      </c>
      <c r="P1762" s="371"/>
      <c r="Q1762" s="43"/>
      <c r="R1762" s="169"/>
    </row>
    <row r="1763" spans="1:18" ht="35.25" hidden="1" customHeight="1">
      <c r="A1763" s="15">
        <f t="shared" si="27"/>
        <v>1753</v>
      </c>
      <c r="B1763" s="146" t="s">
        <v>2774</v>
      </c>
      <c r="C1763" s="64" t="s">
        <v>562</v>
      </c>
      <c r="D1763" s="19"/>
      <c r="E1763" s="19"/>
      <c r="F1763" s="19"/>
      <c r="G1763" s="64"/>
      <c r="H1763" s="141"/>
      <c r="I1763" s="158" t="s">
        <v>18</v>
      </c>
      <c r="J1763" s="158">
        <v>1</v>
      </c>
      <c r="K1763" s="142" t="s">
        <v>730</v>
      </c>
      <c r="L1763" s="43" t="s">
        <v>2982</v>
      </c>
      <c r="M1763" s="11" t="str">
        <f>VLOOKUP(N1763,'Mã NV'!$A$3:$B$196,2,0)</f>
        <v>BU37</v>
      </c>
      <c r="N1763" s="304" t="s">
        <v>2983</v>
      </c>
      <c r="O1763" s="389" t="s">
        <v>4005</v>
      </c>
      <c r="P1763" s="371"/>
      <c r="Q1763" s="43"/>
      <c r="R1763" s="169"/>
    </row>
    <row r="1764" spans="1:18" ht="35.25" hidden="1" customHeight="1">
      <c r="A1764" s="15">
        <f t="shared" si="27"/>
        <v>1754</v>
      </c>
      <c r="B1764" s="146" t="s">
        <v>2775</v>
      </c>
      <c r="C1764" s="64" t="s">
        <v>562</v>
      </c>
      <c r="D1764" s="19"/>
      <c r="E1764" s="19"/>
      <c r="F1764" s="19"/>
      <c r="G1764" s="64"/>
      <c r="H1764" s="141"/>
      <c r="I1764" s="158" t="s">
        <v>18</v>
      </c>
      <c r="J1764" s="158">
        <v>1</v>
      </c>
      <c r="K1764" s="142" t="s">
        <v>730</v>
      </c>
      <c r="L1764" s="43" t="s">
        <v>2982</v>
      </c>
      <c r="M1764" s="11" t="str">
        <f>VLOOKUP(N1764,'Mã NV'!$A$3:$B$196,2,0)</f>
        <v>BU37</v>
      </c>
      <c r="N1764" s="304" t="s">
        <v>2983</v>
      </c>
      <c r="O1764" s="389" t="s">
        <v>4005</v>
      </c>
      <c r="P1764" s="371"/>
      <c r="Q1764" s="43"/>
      <c r="R1764" s="169"/>
    </row>
    <row r="1765" spans="1:18" ht="35.25" hidden="1" customHeight="1">
      <c r="A1765" s="15">
        <f t="shared" si="27"/>
        <v>1755</v>
      </c>
      <c r="B1765" s="146" t="s">
        <v>2776</v>
      </c>
      <c r="C1765" s="64" t="s">
        <v>562</v>
      </c>
      <c r="D1765" s="19"/>
      <c r="E1765" s="19"/>
      <c r="F1765" s="19"/>
      <c r="G1765" s="64"/>
      <c r="H1765" s="141"/>
      <c r="I1765" s="158" t="s">
        <v>18</v>
      </c>
      <c r="J1765" s="158">
        <v>1</v>
      </c>
      <c r="K1765" s="142" t="s">
        <v>730</v>
      </c>
      <c r="L1765" s="43" t="s">
        <v>2982</v>
      </c>
      <c r="M1765" s="11" t="str">
        <f>VLOOKUP(N1765,'Mã NV'!$A$3:$B$196,2,0)</f>
        <v>BU37</v>
      </c>
      <c r="N1765" s="304" t="s">
        <v>2983</v>
      </c>
      <c r="O1765" s="389" t="s">
        <v>4005</v>
      </c>
      <c r="P1765" s="371"/>
      <c r="Q1765" s="43"/>
      <c r="R1765" s="169"/>
    </row>
    <row r="1766" spans="1:18" ht="35.25" hidden="1" customHeight="1">
      <c r="A1766" s="15">
        <f t="shared" si="27"/>
        <v>1756</v>
      </c>
      <c r="B1766" s="146" t="s">
        <v>2777</v>
      </c>
      <c r="C1766" s="64" t="s">
        <v>562</v>
      </c>
      <c r="D1766" s="19"/>
      <c r="E1766" s="19"/>
      <c r="F1766" s="19"/>
      <c r="G1766" s="64"/>
      <c r="H1766" s="141"/>
      <c r="I1766" s="158" t="s">
        <v>18</v>
      </c>
      <c r="J1766" s="158">
        <v>1</v>
      </c>
      <c r="K1766" s="142" t="s">
        <v>730</v>
      </c>
      <c r="L1766" s="43" t="s">
        <v>2982</v>
      </c>
      <c r="M1766" s="11" t="str">
        <f>VLOOKUP(N1766,'Mã NV'!$A$3:$B$196,2,0)</f>
        <v>BU37</v>
      </c>
      <c r="N1766" s="304" t="s">
        <v>2983</v>
      </c>
      <c r="O1766" s="389" t="s">
        <v>4005</v>
      </c>
      <c r="P1766" s="371"/>
      <c r="Q1766" s="43"/>
      <c r="R1766" s="169"/>
    </row>
    <row r="1767" spans="1:18" ht="35.25" hidden="1" customHeight="1">
      <c r="A1767" s="15">
        <f t="shared" si="27"/>
        <v>1757</v>
      </c>
      <c r="B1767" s="146" t="s">
        <v>2778</v>
      </c>
      <c r="C1767" s="64" t="s">
        <v>562</v>
      </c>
      <c r="D1767" s="19"/>
      <c r="E1767" s="19"/>
      <c r="F1767" s="19"/>
      <c r="G1767" s="64"/>
      <c r="H1767" s="141"/>
      <c r="I1767" s="158" t="s">
        <v>18</v>
      </c>
      <c r="J1767" s="158">
        <v>1</v>
      </c>
      <c r="K1767" s="142" t="s">
        <v>730</v>
      </c>
      <c r="L1767" s="43" t="s">
        <v>2982</v>
      </c>
      <c r="M1767" s="11" t="str">
        <f>VLOOKUP(N1767,'Mã NV'!$A$3:$B$196,2,0)</f>
        <v>BU37</v>
      </c>
      <c r="N1767" s="304" t="s">
        <v>2983</v>
      </c>
      <c r="O1767" s="389" t="s">
        <v>4005</v>
      </c>
      <c r="P1767" s="371"/>
      <c r="Q1767" s="43"/>
      <c r="R1767" s="169"/>
    </row>
    <row r="1768" spans="1:18" ht="35.25" hidden="1" customHeight="1">
      <c r="A1768" s="15">
        <f t="shared" si="27"/>
        <v>1758</v>
      </c>
      <c r="B1768" s="146" t="s">
        <v>2779</v>
      </c>
      <c r="C1768" s="64" t="s">
        <v>562</v>
      </c>
      <c r="D1768" s="19"/>
      <c r="E1768" s="19"/>
      <c r="F1768" s="19"/>
      <c r="G1768" s="64"/>
      <c r="H1768" s="141"/>
      <c r="I1768" s="158" t="s">
        <v>18</v>
      </c>
      <c r="J1768" s="158">
        <v>1</v>
      </c>
      <c r="K1768" s="142" t="s">
        <v>730</v>
      </c>
      <c r="L1768" s="43" t="s">
        <v>2982</v>
      </c>
      <c r="M1768" s="11" t="str">
        <f>VLOOKUP(N1768,'Mã NV'!$A$3:$B$196,2,0)</f>
        <v>BU37</v>
      </c>
      <c r="N1768" s="304" t="s">
        <v>2983</v>
      </c>
      <c r="O1768" s="389" t="s">
        <v>4005</v>
      </c>
      <c r="P1768" s="371"/>
      <c r="Q1768" s="43"/>
      <c r="R1768" s="169"/>
    </row>
    <row r="1769" spans="1:18" ht="35.25" hidden="1" customHeight="1">
      <c r="A1769" s="15">
        <f t="shared" si="27"/>
        <v>1759</v>
      </c>
      <c r="B1769" s="146" t="s">
        <v>2780</v>
      </c>
      <c r="C1769" s="64" t="s">
        <v>562</v>
      </c>
      <c r="D1769" s="19"/>
      <c r="E1769" s="19"/>
      <c r="F1769" s="19"/>
      <c r="G1769" s="64"/>
      <c r="H1769" s="141"/>
      <c r="I1769" s="158" t="s">
        <v>18</v>
      </c>
      <c r="J1769" s="158">
        <v>1</v>
      </c>
      <c r="K1769" s="142" t="s">
        <v>730</v>
      </c>
      <c r="L1769" s="43" t="s">
        <v>2982</v>
      </c>
      <c r="M1769" s="11" t="str">
        <f>VLOOKUP(N1769,'Mã NV'!$A$3:$B$196,2,0)</f>
        <v>BU37</v>
      </c>
      <c r="N1769" s="304" t="s">
        <v>2983</v>
      </c>
      <c r="O1769" s="389" t="s">
        <v>4005</v>
      </c>
      <c r="P1769" s="371"/>
      <c r="Q1769" s="43"/>
      <c r="R1769" s="169"/>
    </row>
    <row r="1770" spans="1:18" ht="35.25" hidden="1" customHeight="1">
      <c r="A1770" s="15">
        <f t="shared" si="27"/>
        <v>1760</v>
      </c>
      <c r="B1770" s="146" t="s">
        <v>2781</v>
      </c>
      <c r="C1770" s="64" t="s">
        <v>562</v>
      </c>
      <c r="D1770" s="19"/>
      <c r="E1770" s="19"/>
      <c r="F1770" s="19"/>
      <c r="G1770" s="64"/>
      <c r="H1770" s="141"/>
      <c r="I1770" s="158" t="s">
        <v>18</v>
      </c>
      <c r="J1770" s="158">
        <v>1</v>
      </c>
      <c r="K1770" s="142" t="s">
        <v>730</v>
      </c>
      <c r="L1770" s="43" t="s">
        <v>2982</v>
      </c>
      <c r="M1770" s="11" t="str">
        <f>VLOOKUP(N1770,'Mã NV'!$A$3:$B$196,2,0)</f>
        <v>BU37</v>
      </c>
      <c r="N1770" s="304" t="s">
        <v>2983</v>
      </c>
      <c r="O1770" s="389" t="s">
        <v>4005</v>
      </c>
      <c r="P1770" s="371"/>
      <c r="Q1770" s="43"/>
      <c r="R1770" s="169"/>
    </row>
    <row r="1771" spans="1:18" ht="35.25" hidden="1" customHeight="1">
      <c r="A1771" s="15">
        <f t="shared" si="27"/>
        <v>1761</v>
      </c>
      <c r="B1771" s="146" t="s">
        <v>2782</v>
      </c>
      <c r="C1771" s="64" t="s">
        <v>562</v>
      </c>
      <c r="D1771" s="19"/>
      <c r="E1771" s="19"/>
      <c r="F1771" s="19"/>
      <c r="G1771" s="64"/>
      <c r="H1771" s="141"/>
      <c r="I1771" s="158" t="s">
        <v>18</v>
      </c>
      <c r="J1771" s="158">
        <v>1</v>
      </c>
      <c r="K1771" s="142" t="s">
        <v>730</v>
      </c>
      <c r="L1771" s="43" t="s">
        <v>2982</v>
      </c>
      <c r="M1771" s="11" t="str">
        <f>VLOOKUP(N1771,'Mã NV'!$A$3:$B$196,2,0)</f>
        <v>BU37</v>
      </c>
      <c r="N1771" s="304" t="s">
        <v>2983</v>
      </c>
      <c r="O1771" s="389" t="s">
        <v>4005</v>
      </c>
      <c r="P1771" s="371"/>
      <c r="Q1771" s="43"/>
      <c r="R1771" s="169"/>
    </row>
    <row r="1772" spans="1:18" ht="35.25" hidden="1" customHeight="1">
      <c r="A1772" s="15">
        <f t="shared" si="27"/>
        <v>1762</v>
      </c>
      <c r="B1772" s="146" t="s">
        <v>2783</v>
      </c>
      <c r="C1772" s="64" t="s">
        <v>562</v>
      </c>
      <c r="D1772" s="19"/>
      <c r="E1772" s="19"/>
      <c r="F1772" s="19"/>
      <c r="G1772" s="64"/>
      <c r="H1772" s="141"/>
      <c r="I1772" s="158" t="s">
        <v>18</v>
      </c>
      <c r="J1772" s="158">
        <v>1</v>
      </c>
      <c r="K1772" s="142" t="s">
        <v>730</v>
      </c>
      <c r="L1772" s="43" t="s">
        <v>2982</v>
      </c>
      <c r="M1772" s="11" t="str">
        <f>VLOOKUP(N1772,'Mã NV'!$A$3:$B$196,2,0)</f>
        <v>BU37</v>
      </c>
      <c r="N1772" s="304" t="s">
        <v>2983</v>
      </c>
      <c r="O1772" s="389" t="s">
        <v>4005</v>
      </c>
      <c r="P1772" s="371"/>
      <c r="Q1772" s="43"/>
      <c r="R1772" s="169"/>
    </row>
    <row r="1773" spans="1:18" ht="35.25" hidden="1" customHeight="1">
      <c r="A1773" s="15">
        <f t="shared" si="27"/>
        <v>1763</v>
      </c>
      <c r="B1773" s="146" t="s">
        <v>2784</v>
      </c>
      <c r="C1773" s="64" t="s">
        <v>562</v>
      </c>
      <c r="D1773" s="19"/>
      <c r="E1773" s="19"/>
      <c r="F1773" s="19"/>
      <c r="G1773" s="64"/>
      <c r="H1773" s="141"/>
      <c r="I1773" s="158" t="s">
        <v>18</v>
      </c>
      <c r="J1773" s="158">
        <v>1</v>
      </c>
      <c r="K1773" s="142" t="s">
        <v>730</v>
      </c>
      <c r="L1773" s="43" t="s">
        <v>2982</v>
      </c>
      <c r="M1773" s="11" t="str">
        <f>VLOOKUP(N1773,'Mã NV'!$A$3:$B$196,2,0)</f>
        <v>BU37</v>
      </c>
      <c r="N1773" s="304" t="s">
        <v>2983</v>
      </c>
      <c r="O1773" s="389" t="s">
        <v>4005</v>
      </c>
      <c r="P1773" s="371"/>
      <c r="Q1773" s="43"/>
      <c r="R1773" s="169"/>
    </row>
    <row r="1774" spans="1:18" ht="35.25" hidden="1" customHeight="1">
      <c r="A1774" s="15">
        <f t="shared" si="27"/>
        <v>1764</v>
      </c>
      <c r="B1774" s="146" t="s">
        <v>2785</v>
      </c>
      <c r="C1774" s="64" t="s">
        <v>562</v>
      </c>
      <c r="D1774" s="19"/>
      <c r="E1774" s="19"/>
      <c r="F1774" s="19"/>
      <c r="G1774" s="64"/>
      <c r="H1774" s="141"/>
      <c r="I1774" s="158" t="s">
        <v>18</v>
      </c>
      <c r="J1774" s="158">
        <v>1</v>
      </c>
      <c r="K1774" s="142" t="s">
        <v>730</v>
      </c>
      <c r="L1774" s="43" t="s">
        <v>2982</v>
      </c>
      <c r="M1774" s="11" t="str">
        <f>VLOOKUP(N1774,'Mã NV'!$A$3:$B$196,2,0)</f>
        <v>BU37</v>
      </c>
      <c r="N1774" s="304" t="s">
        <v>2983</v>
      </c>
      <c r="O1774" s="389" t="s">
        <v>4005</v>
      </c>
      <c r="P1774" s="371"/>
      <c r="Q1774" s="43"/>
      <c r="R1774" s="169"/>
    </row>
    <row r="1775" spans="1:18" ht="35.25" hidden="1" customHeight="1">
      <c r="A1775" s="15">
        <f t="shared" si="27"/>
        <v>1765</v>
      </c>
      <c r="B1775" s="146" t="s">
        <v>2786</v>
      </c>
      <c r="C1775" s="64" t="s">
        <v>562</v>
      </c>
      <c r="D1775" s="19"/>
      <c r="E1775" s="19"/>
      <c r="F1775" s="19"/>
      <c r="G1775" s="64"/>
      <c r="H1775" s="141"/>
      <c r="I1775" s="158" t="s">
        <v>18</v>
      </c>
      <c r="J1775" s="158">
        <v>1</v>
      </c>
      <c r="K1775" s="142" t="s">
        <v>730</v>
      </c>
      <c r="L1775" s="43" t="s">
        <v>2982</v>
      </c>
      <c r="M1775" s="11" t="str">
        <f>VLOOKUP(N1775,'Mã NV'!$A$3:$B$196,2,0)</f>
        <v>BU37</v>
      </c>
      <c r="N1775" s="304" t="s">
        <v>2983</v>
      </c>
      <c r="O1775" s="389" t="s">
        <v>4005</v>
      </c>
      <c r="P1775" s="371"/>
      <c r="Q1775" s="43"/>
      <c r="R1775" s="169"/>
    </row>
    <row r="1776" spans="1:18" ht="35.25" hidden="1" customHeight="1">
      <c r="A1776" s="15">
        <f t="shared" si="27"/>
        <v>1766</v>
      </c>
      <c r="B1776" s="146" t="s">
        <v>2787</v>
      </c>
      <c r="C1776" s="64" t="s">
        <v>562</v>
      </c>
      <c r="D1776" s="19"/>
      <c r="E1776" s="19"/>
      <c r="F1776" s="19"/>
      <c r="G1776" s="64"/>
      <c r="H1776" s="141"/>
      <c r="I1776" s="158" t="s">
        <v>18</v>
      </c>
      <c r="J1776" s="158">
        <v>1</v>
      </c>
      <c r="K1776" s="142" t="s">
        <v>730</v>
      </c>
      <c r="L1776" s="43" t="s">
        <v>2982</v>
      </c>
      <c r="M1776" s="11" t="str">
        <f>VLOOKUP(N1776,'Mã NV'!$A$3:$B$196,2,0)</f>
        <v>BU37</v>
      </c>
      <c r="N1776" s="304" t="s">
        <v>2983</v>
      </c>
      <c r="O1776" s="389" t="s">
        <v>4005</v>
      </c>
      <c r="P1776" s="371"/>
      <c r="Q1776" s="43"/>
      <c r="R1776" s="169"/>
    </row>
    <row r="1777" spans="1:18" ht="35.25" hidden="1" customHeight="1">
      <c r="A1777" s="15">
        <f t="shared" si="27"/>
        <v>1767</v>
      </c>
      <c r="B1777" s="146" t="s">
        <v>2788</v>
      </c>
      <c r="C1777" s="64" t="s">
        <v>562</v>
      </c>
      <c r="D1777" s="19"/>
      <c r="E1777" s="19"/>
      <c r="F1777" s="19"/>
      <c r="G1777" s="64"/>
      <c r="H1777" s="141"/>
      <c r="I1777" s="158" t="s">
        <v>18</v>
      </c>
      <c r="J1777" s="158">
        <v>1</v>
      </c>
      <c r="K1777" s="142" t="s">
        <v>730</v>
      </c>
      <c r="L1777" s="43" t="s">
        <v>2982</v>
      </c>
      <c r="M1777" s="11" t="str">
        <f>VLOOKUP(N1777,'Mã NV'!$A$3:$B$196,2,0)</f>
        <v>BU37</v>
      </c>
      <c r="N1777" s="304" t="s">
        <v>2983</v>
      </c>
      <c r="O1777" s="389" t="s">
        <v>4005</v>
      </c>
      <c r="P1777" s="371"/>
      <c r="Q1777" s="43"/>
      <c r="R1777" s="169"/>
    </row>
    <row r="1778" spans="1:18" ht="35.25" hidden="1" customHeight="1">
      <c r="A1778" s="15">
        <f t="shared" si="27"/>
        <v>1768</v>
      </c>
      <c r="B1778" s="146" t="s">
        <v>2789</v>
      </c>
      <c r="C1778" s="64" t="s">
        <v>562</v>
      </c>
      <c r="D1778" s="19"/>
      <c r="E1778" s="19"/>
      <c r="F1778" s="19"/>
      <c r="G1778" s="64"/>
      <c r="H1778" s="141"/>
      <c r="I1778" s="158" t="s">
        <v>18</v>
      </c>
      <c r="J1778" s="158">
        <v>1</v>
      </c>
      <c r="K1778" s="142" t="s">
        <v>730</v>
      </c>
      <c r="L1778" s="43" t="s">
        <v>2982</v>
      </c>
      <c r="M1778" s="11" t="str">
        <f>VLOOKUP(N1778,'Mã NV'!$A$3:$B$196,2,0)</f>
        <v>BU37</v>
      </c>
      <c r="N1778" s="304" t="s">
        <v>2983</v>
      </c>
      <c r="O1778" s="389" t="s">
        <v>4005</v>
      </c>
      <c r="P1778" s="371"/>
      <c r="Q1778" s="43"/>
      <c r="R1778" s="169"/>
    </row>
    <row r="1779" spans="1:18" ht="35.25" hidden="1" customHeight="1">
      <c r="A1779" s="15">
        <f t="shared" si="27"/>
        <v>1769</v>
      </c>
      <c r="B1779" s="146" t="s">
        <v>2790</v>
      </c>
      <c r="C1779" s="64" t="s">
        <v>562</v>
      </c>
      <c r="D1779" s="19"/>
      <c r="E1779" s="19"/>
      <c r="F1779" s="19"/>
      <c r="G1779" s="64"/>
      <c r="H1779" s="141"/>
      <c r="I1779" s="158" t="s">
        <v>18</v>
      </c>
      <c r="J1779" s="158">
        <v>1</v>
      </c>
      <c r="K1779" s="142" t="s">
        <v>730</v>
      </c>
      <c r="L1779" s="43" t="s">
        <v>2982</v>
      </c>
      <c r="M1779" s="11" t="str">
        <f>VLOOKUP(N1779,'Mã NV'!$A$3:$B$196,2,0)</f>
        <v>BU37</v>
      </c>
      <c r="N1779" s="304" t="s">
        <v>2983</v>
      </c>
      <c r="O1779" s="389" t="s">
        <v>4005</v>
      </c>
      <c r="P1779" s="371"/>
      <c r="Q1779" s="43"/>
      <c r="R1779" s="169"/>
    </row>
    <row r="1780" spans="1:18" ht="35.25" hidden="1" customHeight="1">
      <c r="A1780" s="15">
        <f t="shared" si="27"/>
        <v>1770</v>
      </c>
      <c r="B1780" s="146" t="s">
        <v>2791</v>
      </c>
      <c r="C1780" s="64" t="s">
        <v>562</v>
      </c>
      <c r="D1780" s="19"/>
      <c r="E1780" s="19"/>
      <c r="F1780" s="19"/>
      <c r="G1780" s="64"/>
      <c r="H1780" s="141"/>
      <c r="I1780" s="158" t="s">
        <v>18</v>
      </c>
      <c r="J1780" s="158">
        <v>1</v>
      </c>
      <c r="K1780" s="142" t="s">
        <v>730</v>
      </c>
      <c r="L1780" s="43" t="s">
        <v>2982</v>
      </c>
      <c r="M1780" s="11" t="str">
        <f>VLOOKUP(N1780,'Mã NV'!$A$3:$B$196,2,0)</f>
        <v>BU37</v>
      </c>
      <c r="N1780" s="304" t="s">
        <v>2983</v>
      </c>
      <c r="O1780" s="389" t="s">
        <v>4005</v>
      </c>
      <c r="P1780" s="371"/>
      <c r="Q1780" s="43"/>
      <c r="R1780" s="169"/>
    </row>
    <row r="1781" spans="1:18" ht="35.25" hidden="1" customHeight="1">
      <c r="A1781" s="15">
        <f t="shared" si="27"/>
        <v>1771</v>
      </c>
      <c r="B1781" s="146" t="s">
        <v>2792</v>
      </c>
      <c r="C1781" s="64" t="s">
        <v>562</v>
      </c>
      <c r="D1781" s="19"/>
      <c r="E1781" s="19"/>
      <c r="F1781" s="19"/>
      <c r="G1781" s="64"/>
      <c r="H1781" s="141"/>
      <c r="I1781" s="158" t="s">
        <v>18</v>
      </c>
      <c r="J1781" s="158">
        <v>1</v>
      </c>
      <c r="K1781" s="142" t="s">
        <v>730</v>
      </c>
      <c r="L1781" s="43" t="s">
        <v>2982</v>
      </c>
      <c r="M1781" s="11" t="str">
        <f>VLOOKUP(N1781,'Mã NV'!$A$3:$B$196,2,0)</f>
        <v>BU37</v>
      </c>
      <c r="N1781" s="304" t="s">
        <v>2983</v>
      </c>
      <c r="O1781" s="389" t="s">
        <v>4005</v>
      </c>
      <c r="P1781" s="371"/>
      <c r="Q1781" s="43"/>
      <c r="R1781" s="169"/>
    </row>
    <row r="1782" spans="1:18" ht="35.25" hidden="1" customHeight="1">
      <c r="A1782" s="15">
        <f t="shared" si="27"/>
        <v>1772</v>
      </c>
      <c r="B1782" s="146" t="s">
        <v>2793</v>
      </c>
      <c r="C1782" s="64" t="s">
        <v>562</v>
      </c>
      <c r="D1782" s="19"/>
      <c r="E1782" s="19"/>
      <c r="F1782" s="19"/>
      <c r="G1782" s="64"/>
      <c r="H1782" s="141"/>
      <c r="I1782" s="158" t="s">
        <v>18</v>
      </c>
      <c r="J1782" s="158">
        <v>1</v>
      </c>
      <c r="K1782" s="142" t="s">
        <v>730</v>
      </c>
      <c r="L1782" s="43" t="s">
        <v>2982</v>
      </c>
      <c r="M1782" s="11" t="str">
        <f>VLOOKUP(N1782,'Mã NV'!$A$3:$B$196,2,0)</f>
        <v>BU37</v>
      </c>
      <c r="N1782" s="304" t="s">
        <v>2983</v>
      </c>
      <c r="O1782" s="389" t="s">
        <v>4005</v>
      </c>
      <c r="P1782" s="371"/>
      <c r="Q1782" s="43"/>
      <c r="R1782" s="169"/>
    </row>
    <row r="1783" spans="1:18" ht="35.25" hidden="1" customHeight="1">
      <c r="A1783" s="15">
        <f t="shared" si="27"/>
        <v>1773</v>
      </c>
      <c r="B1783" s="146" t="s">
        <v>2794</v>
      </c>
      <c r="C1783" s="64" t="s">
        <v>562</v>
      </c>
      <c r="D1783" s="19"/>
      <c r="E1783" s="19"/>
      <c r="F1783" s="19"/>
      <c r="G1783" s="64"/>
      <c r="H1783" s="141"/>
      <c r="I1783" s="158" t="s">
        <v>18</v>
      </c>
      <c r="J1783" s="158">
        <v>1</v>
      </c>
      <c r="K1783" s="142" t="s">
        <v>730</v>
      </c>
      <c r="L1783" s="43" t="s">
        <v>2982</v>
      </c>
      <c r="M1783" s="11" t="str">
        <f>VLOOKUP(N1783,'Mã NV'!$A$3:$B$196,2,0)</f>
        <v>BU37</v>
      </c>
      <c r="N1783" s="304" t="s">
        <v>2983</v>
      </c>
      <c r="O1783" s="389" t="s">
        <v>4005</v>
      </c>
      <c r="P1783" s="371"/>
      <c r="Q1783" s="43"/>
      <c r="R1783" s="169"/>
    </row>
    <row r="1784" spans="1:18" ht="35.25" hidden="1" customHeight="1">
      <c r="A1784" s="15">
        <f t="shared" si="27"/>
        <v>1774</v>
      </c>
      <c r="B1784" s="146" t="s">
        <v>2795</v>
      </c>
      <c r="C1784" s="64" t="s">
        <v>562</v>
      </c>
      <c r="D1784" s="19"/>
      <c r="E1784" s="19"/>
      <c r="F1784" s="19"/>
      <c r="G1784" s="64"/>
      <c r="H1784" s="141"/>
      <c r="I1784" s="158" t="s">
        <v>18</v>
      </c>
      <c r="J1784" s="158">
        <v>1</v>
      </c>
      <c r="K1784" s="142" t="s">
        <v>730</v>
      </c>
      <c r="L1784" s="43" t="s">
        <v>2982</v>
      </c>
      <c r="M1784" s="11" t="str">
        <f>VLOOKUP(N1784,'Mã NV'!$A$3:$B$196,2,0)</f>
        <v>BU37</v>
      </c>
      <c r="N1784" s="304" t="s">
        <v>2983</v>
      </c>
      <c r="O1784" s="389" t="s">
        <v>4005</v>
      </c>
      <c r="P1784" s="371"/>
      <c r="Q1784" s="43"/>
      <c r="R1784" s="169"/>
    </row>
    <row r="1785" spans="1:18" ht="35.25" hidden="1" customHeight="1">
      <c r="A1785" s="15">
        <f t="shared" si="27"/>
        <v>1775</v>
      </c>
      <c r="B1785" s="146" t="s">
        <v>2796</v>
      </c>
      <c r="C1785" s="64" t="s">
        <v>562</v>
      </c>
      <c r="D1785" s="19"/>
      <c r="E1785" s="19"/>
      <c r="F1785" s="19"/>
      <c r="G1785" s="64"/>
      <c r="H1785" s="141"/>
      <c r="I1785" s="158" t="s">
        <v>18</v>
      </c>
      <c r="J1785" s="158">
        <v>1</v>
      </c>
      <c r="K1785" s="142" t="s">
        <v>730</v>
      </c>
      <c r="L1785" s="43" t="s">
        <v>2982</v>
      </c>
      <c r="M1785" s="11" t="str">
        <f>VLOOKUP(N1785,'Mã NV'!$A$3:$B$196,2,0)</f>
        <v>BU37</v>
      </c>
      <c r="N1785" s="304" t="s">
        <v>2983</v>
      </c>
      <c r="O1785" s="389" t="s">
        <v>4005</v>
      </c>
      <c r="P1785" s="371"/>
      <c r="Q1785" s="43"/>
      <c r="R1785" s="169"/>
    </row>
    <row r="1786" spans="1:18" ht="35.25" hidden="1" customHeight="1">
      <c r="A1786" s="15">
        <f t="shared" si="27"/>
        <v>1776</v>
      </c>
      <c r="B1786" s="146" t="s">
        <v>2797</v>
      </c>
      <c r="C1786" s="64" t="s">
        <v>562</v>
      </c>
      <c r="D1786" s="19"/>
      <c r="E1786" s="19"/>
      <c r="F1786" s="19"/>
      <c r="G1786" s="64"/>
      <c r="H1786" s="141"/>
      <c r="I1786" s="158" t="s">
        <v>18</v>
      </c>
      <c r="J1786" s="158">
        <v>1</v>
      </c>
      <c r="K1786" s="142" t="s">
        <v>730</v>
      </c>
      <c r="L1786" s="43" t="s">
        <v>2982</v>
      </c>
      <c r="M1786" s="11" t="str">
        <f>VLOOKUP(N1786,'Mã NV'!$A$3:$B$196,2,0)</f>
        <v>BU37</v>
      </c>
      <c r="N1786" s="304" t="s">
        <v>2983</v>
      </c>
      <c r="O1786" s="389" t="s">
        <v>4005</v>
      </c>
      <c r="P1786" s="371"/>
      <c r="Q1786" s="43"/>
      <c r="R1786" s="169"/>
    </row>
    <row r="1787" spans="1:18" ht="35.25" hidden="1" customHeight="1">
      <c r="A1787" s="15">
        <f t="shared" si="27"/>
        <v>1777</v>
      </c>
      <c r="B1787" s="146" t="s">
        <v>2798</v>
      </c>
      <c r="C1787" s="64" t="s">
        <v>562</v>
      </c>
      <c r="D1787" s="19"/>
      <c r="E1787" s="19"/>
      <c r="F1787" s="19"/>
      <c r="G1787" s="64"/>
      <c r="H1787" s="141"/>
      <c r="I1787" s="158" t="s">
        <v>18</v>
      </c>
      <c r="J1787" s="158">
        <v>1</v>
      </c>
      <c r="K1787" s="142" t="s">
        <v>730</v>
      </c>
      <c r="L1787" s="43" t="s">
        <v>2982</v>
      </c>
      <c r="M1787" s="11" t="str">
        <f>VLOOKUP(N1787,'Mã NV'!$A$3:$B$196,2,0)</f>
        <v>BU37</v>
      </c>
      <c r="N1787" s="304" t="s">
        <v>2983</v>
      </c>
      <c r="O1787" s="389" t="s">
        <v>4005</v>
      </c>
      <c r="P1787" s="371"/>
      <c r="Q1787" s="43"/>
      <c r="R1787" s="169"/>
    </row>
    <row r="1788" spans="1:18" ht="35.25" hidden="1" customHeight="1">
      <c r="A1788" s="15">
        <f t="shared" si="27"/>
        <v>1778</v>
      </c>
      <c r="B1788" s="146" t="s">
        <v>2799</v>
      </c>
      <c r="C1788" s="64" t="s">
        <v>2800</v>
      </c>
      <c r="D1788" s="19"/>
      <c r="E1788" s="19"/>
      <c r="F1788" s="19"/>
      <c r="G1788" s="64"/>
      <c r="H1788" s="141"/>
      <c r="I1788" s="158" t="s">
        <v>18</v>
      </c>
      <c r="J1788" s="158">
        <v>1</v>
      </c>
      <c r="K1788" s="142" t="s">
        <v>730</v>
      </c>
      <c r="L1788" s="43" t="s">
        <v>2982</v>
      </c>
      <c r="M1788" s="11" t="str">
        <f>VLOOKUP(N1788,'Mã NV'!$A$3:$B$196,2,0)</f>
        <v>BU37</v>
      </c>
      <c r="N1788" s="304" t="s">
        <v>2983</v>
      </c>
      <c r="O1788" s="380" t="str">
        <f>VLOOKUP(B1788,'Tổng hợp (3)'!$C$4:$E$985,3,0)</f>
        <v>24/10/2022</v>
      </c>
      <c r="P1788" s="378"/>
      <c r="Q1788" s="43"/>
      <c r="R1788" s="193"/>
    </row>
    <row r="1789" spans="1:18" ht="35.25" hidden="1" customHeight="1">
      <c r="A1789" s="15">
        <f t="shared" si="27"/>
        <v>1779</v>
      </c>
      <c r="B1789" s="146" t="s">
        <v>2801</v>
      </c>
      <c r="C1789" s="64" t="s">
        <v>2802</v>
      </c>
      <c r="D1789" s="19"/>
      <c r="E1789" s="19"/>
      <c r="F1789" s="19"/>
      <c r="G1789" s="64"/>
      <c r="H1789" s="141"/>
      <c r="I1789" s="158" t="s">
        <v>18</v>
      </c>
      <c r="J1789" s="158">
        <v>1</v>
      </c>
      <c r="K1789" s="142" t="s">
        <v>730</v>
      </c>
      <c r="L1789" s="43" t="s">
        <v>2982</v>
      </c>
      <c r="M1789" s="11" t="str">
        <f>VLOOKUP(N1789,'Mã NV'!$A$3:$B$196,2,0)</f>
        <v>BU37</v>
      </c>
      <c r="N1789" s="304" t="s">
        <v>2983</v>
      </c>
      <c r="O1789" s="380" t="str">
        <f>VLOOKUP(B1789,'Tổng hợp (3)'!$C$4:$E$985,3,0)</f>
        <v>24/10/2022</v>
      </c>
      <c r="P1789" s="378"/>
      <c r="Q1789" s="43"/>
      <c r="R1789" s="193"/>
    </row>
    <row r="1790" spans="1:18" ht="35.25" hidden="1" customHeight="1">
      <c r="A1790" s="15">
        <f t="shared" si="27"/>
        <v>1780</v>
      </c>
      <c r="B1790" s="146" t="s">
        <v>2803</v>
      </c>
      <c r="C1790" s="64" t="s">
        <v>2804</v>
      </c>
      <c r="D1790" s="19"/>
      <c r="E1790" s="19"/>
      <c r="F1790" s="19"/>
      <c r="G1790" s="64"/>
      <c r="H1790" s="141"/>
      <c r="I1790" s="158" t="s">
        <v>18</v>
      </c>
      <c r="J1790" s="158">
        <v>1</v>
      </c>
      <c r="K1790" s="142" t="s">
        <v>730</v>
      </c>
      <c r="L1790" s="43" t="s">
        <v>2982</v>
      </c>
      <c r="M1790" s="11" t="str">
        <f>VLOOKUP(N1790,'Mã NV'!$A$3:$B$196,2,0)</f>
        <v>BU37</v>
      </c>
      <c r="N1790" s="304" t="s">
        <v>2983</v>
      </c>
      <c r="O1790" s="389" t="s">
        <v>3999</v>
      </c>
      <c r="P1790" s="371"/>
      <c r="Q1790" s="43"/>
      <c r="R1790" s="193"/>
    </row>
    <row r="1791" spans="1:18" ht="35.25" hidden="1" customHeight="1">
      <c r="A1791" s="15">
        <f t="shared" si="27"/>
        <v>1781</v>
      </c>
      <c r="B1791" s="146" t="s">
        <v>2805</v>
      </c>
      <c r="C1791" s="64" t="s">
        <v>2804</v>
      </c>
      <c r="D1791" s="19"/>
      <c r="E1791" s="19"/>
      <c r="F1791" s="19"/>
      <c r="G1791" s="64"/>
      <c r="H1791" s="141"/>
      <c r="I1791" s="158" t="s">
        <v>18</v>
      </c>
      <c r="J1791" s="158">
        <v>1</v>
      </c>
      <c r="K1791" s="142" t="s">
        <v>730</v>
      </c>
      <c r="L1791" s="43" t="s">
        <v>2982</v>
      </c>
      <c r="M1791" s="11" t="str">
        <f>VLOOKUP(N1791,'Mã NV'!$A$3:$B$196,2,0)</f>
        <v>BU37</v>
      </c>
      <c r="N1791" s="304" t="s">
        <v>2983</v>
      </c>
      <c r="O1791" s="389" t="s">
        <v>3999</v>
      </c>
      <c r="P1791" s="371"/>
      <c r="Q1791" s="43"/>
      <c r="R1791" s="193"/>
    </row>
    <row r="1792" spans="1:18" ht="35.25" hidden="1" customHeight="1">
      <c r="A1792" s="15">
        <f t="shared" si="27"/>
        <v>1782</v>
      </c>
      <c r="B1792" s="146" t="s">
        <v>2806</v>
      </c>
      <c r="C1792" s="64" t="s">
        <v>2804</v>
      </c>
      <c r="D1792" s="19"/>
      <c r="E1792" s="19"/>
      <c r="F1792" s="19"/>
      <c r="G1792" s="64"/>
      <c r="H1792" s="141"/>
      <c r="I1792" s="158" t="s">
        <v>18</v>
      </c>
      <c r="J1792" s="158">
        <v>1</v>
      </c>
      <c r="K1792" s="142" t="s">
        <v>730</v>
      </c>
      <c r="L1792" s="43" t="s">
        <v>2982</v>
      </c>
      <c r="M1792" s="11" t="str">
        <f>VLOOKUP(N1792,'Mã NV'!$A$3:$B$196,2,0)</f>
        <v>BU37</v>
      </c>
      <c r="N1792" s="304" t="s">
        <v>2983</v>
      </c>
      <c r="O1792" s="389" t="s">
        <v>3999</v>
      </c>
      <c r="P1792" s="371"/>
      <c r="Q1792" s="43"/>
      <c r="R1792" s="193"/>
    </row>
    <row r="1793" spans="1:18" ht="35.25" hidden="1" customHeight="1">
      <c r="A1793" s="15">
        <f t="shared" si="27"/>
        <v>1783</v>
      </c>
      <c r="B1793" s="146" t="s">
        <v>2807</v>
      </c>
      <c r="C1793" s="64" t="s">
        <v>2804</v>
      </c>
      <c r="D1793" s="19"/>
      <c r="E1793" s="19"/>
      <c r="F1793" s="19"/>
      <c r="G1793" s="64"/>
      <c r="H1793" s="141"/>
      <c r="I1793" s="158" t="s">
        <v>18</v>
      </c>
      <c r="J1793" s="158">
        <v>1</v>
      </c>
      <c r="K1793" s="142" t="s">
        <v>730</v>
      </c>
      <c r="L1793" s="43" t="s">
        <v>2982</v>
      </c>
      <c r="M1793" s="11" t="str">
        <f>VLOOKUP(N1793,'Mã NV'!$A$3:$B$196,2,0)</f>
        <v>BU37</v>
      </c>
      <c r="N1793" s="304" t="s">
        <v>2983</v>
      </c>
      <c r="O1793" s="389" t="s">
        <v>3999</v>
      </c>
      <c r="P1793" s="371"/>
      <c r="Q1793" s="43"/>
      <c r="R1793" s="193"/>
    </row>
    <row r="1794" spans="1:18" ht="35.25" hidden="1" customHeight="1">
      <c r="A1794" s="15">
        <f t="shared" si="27"/>
        <v>1784</v>
      </c>
      <c r="B1794" s="146" t="s">
        <v>2808</v>
      </c>
      <c r="C1794" s="64" t="s">
        <v>2804</v>
      </c>
      <c r="D1794" s="19"/>
      <c r="E1794" s="19"/>
      <c r="F1794" s="19"/>
      <c r="G1794" s="64"/>
      <c r="H1794" s="141"/>
      <c r="I1794" s="158" t="s">
        <v>18</v>
      </c>
      <c r="J1794" s="158">
        <v>1</v>
      </c>
      <c r="K1794" s="142" t="s">
        <v>730</v>
      </c>
      <c r="L1794" s="43" t="s">
        <v>2982</v>
      </c>
      <c r="M1794" s="11" t="str">
        <f>VLOOKUP(N1794,'Mã NV'!$A$3:$B$196,2,0)</f>
        <v>BU37</v>
      </c>
      <c r="N1794" s="304" t="s">
        <v>2983</v>
      </c>
      <c r="O1794" s="389" t="s">
        <v>3999</v>
      </c>
      <c r="P1794" s="371"/>
      <c r="Q1794" s="43"/>
      <c r="R1794" s="193"/>
    </row>
    <row r="1795" spans="1:18" ht="35.25" hidden="1" customHeight="1">
      <c r="A1795" s="15">
        <f t="shared" si="27"/>
        <v>1785</v>
      </c>
      <c r="B1795" s="146" t="s">
        <v>2809</v>
      </c>
      <c r="C1795" s="64" t="s">
        <v>2804</v>
      </c>
      <c r="D1795" s="19"/>
      <c r="E1795" s="19"/>
      <c r="F1795" s="19"/>
      <c r="G1795" s="64"/>
      <c r="H1795" s="141"/>
      <c r="I1795" s="158" t="s">
        <v>18</v>
      </c>
      <c r="J1795" s="158">
        <v>1</v>
      </c>
      <c r="K1795" s="142" t="s">
        <v>730</v>
      </c>
      <c r="L1795" s="43" t="s">
        <v>2982</v>
      </c>
      <c r="M1795" s="11" t="str">
        <f>VLOOKUP(N1795,'Mã NV'!$A$3:$B$196,2,0)</f>
        <v>BU37</v>
      </c>
      <c r="N1795" s="304" t="s">
        <v>2983</v>
      </c>
      <c r="O1795" s="389" t="s">
        <v>3999</v>
      </c>
      <c r="P1795" s="371"/>
      <c r="Q1795" s="43"/>
      <c r="R1795" s="193"/>
    </row>
    <row r="1796" spans="1:18" ht="35.25" hidden="1" customHeight="1">
      <c r="A1796" s="15">
        <f t="shared" si="27"/>
        <v>1786</v>
      </c>
      <c r="B1796" s="146" t="s">
        <v>2810</v>
      </c>
      <c r="C1796" s="64" t="s">
        <v>2804</v>
      </c>
      <c r="D1796" s="19"/>
      <c r="E1796" s="19"/>
      <c r="F1796" s="19"/>
      <c r="G1796" s="64"/>
      <c r="H1796" s="141"/>
      <c r="I1796" s="158" t="s">
        <v>18</v>
      </c>
      <c r="J1796" s="158">
        <v>1</v>
      </c>
      <c r="K1796" s="142" t="s">
        <v>730</v>
      </c>
      <c r="L1796" s="43" t="s">
        <v>2982</v>
      </c>
      <c r="M1796" s="11" t="str">
        <f>VLOOKUP(N1796,'Mã NV'!$A$3:$B$196,2,0)</f>
        <v>BU37</v>
      </c>
      <c r="N1796" s="304" t="s">
        <v>2983</v>
      </c>
      <c r="O1796" s="389" t="s">
        <v>3999</v>
      </c>
      <c r="P1796" s="371"/>
      <c r="Q1796" s="43"/>
      <c r="R1796" s="193"/>
    </row>
    <row r="1797" spans="1:18" ht="35.25" hidden="1" customHeight="1">
      <c r="A1797" s="15">
        <f t="shared" si="27"/>
        <v>1787</v>
      </c>
      <c r="B1797" s="146" t="s">
        <v>2811</v>
      </c>
      <c r="C1797" s="64" t="s">
        <v>2804</v>
      </c>
      <c r="D1797" s="19"/>
      <c r="E1797" s="19"/>
      <c r="F1797" s="19"/>
      <c r="G1797" s="64"/>
      <c r="H1797" s="141"/>
      <c r="I1797" s="158" t="s">
        <v>18</v>
      </c>
      <c r="J1797" s="158">
        <v>1</v>
      </c>
      <c r="K1797" s="142" t="s">
        <v>730</v>
      </c>
      <c r="L1797" s="43" t="s">
        <v>2982</v>
      </c>
      <c r="M1797" s="11" t="str">
        <f>VLOOKUP(N1797,'Mã NV'!$A$3:$B$196,2,0)</f>
        <v>BU37</v>
      </c>
      <c r="N1797" s="304" t="s">
        <v>2983</v>
      </c>
      <c r="O1797" s="389" t="s">
        <v>3999</v>
      </c>
      <c r="P1797" s="371"/>
      <c r="Q1797" s="43"/>
      <c r="R1797" s="193"/>
    </row>
    <row r="1798" spans="1:18" ht="35.25" hidden="1" customHeight="1">
      <c r="A1798" s="15">
        <f t="shared" si="27"/>
        <v>1788</v>
      </c>
      <c r="B1798" s="146" t="s">
        <v>2812</v>
      </c>
      <c r="C1798" s="64" t="s">
        <v>2804</v>
      </c>
      <c r="D1798" s="19"/>
      <c r="E1798" s="19"/>
      <c r="F1798" s="19"/>
      <c r="G1798" s="64"/>
      <c r="H1798" s="141"/>
      <c r="I1798" s="158" t="s">
        <v>18</v>
      </c>
      <c r="J1798" s="158">
        <v>1</v>
      </c>
      <c r="K1798" s="142" t="s">
        <v>730</v>
      </c>
      <c r="L1798" s="43" t="s">
        <v>2982</v>
      </c>
      <c r="M1798" s="11" t="str">
        <f>VLOOKUP(N1798,'Mã NV'!$A$3:$B$196,2,0)</f>
        <v>BU37</v>
      </c>
      <c r="N1798" s="304" t="s">
        <v>2983</v>
      </c>
      <c r="O1798" s="389" t="s">
        <v>3999</v>
      </c>
      <c r="P1798" s="371"/>
      <c r="Q1798" s="43"/>
      <c r="R1798" s="193"/>
    </row>
    <row r="1799" spans="1:18" ht="35.25" hidden="1" customHeight="1">
      <c r="A1799" s="15">
        <f t="shared" si="27"/>
        <v>1789</v>
      </c>
      <c r="B1799" s="146" t="s">
        <v>2813</v>
      </c>
      <c r="C1799" s="64" t="s">
        <v>2804</v>
      </c>
      <c r="D1799" s="19"/>
      <c r="E1799" s="19"/>
      <c r="F1799" s="19"/>
      <c r="G1799" s="64"/>
      <c r="H1799" s="141"/>
      <c r="I1799" s="158" t="s">
        <v>18</v>
      </c>
      <c r="J1799" s="158">
        <v>1</v>
      </c>
      <c r="K1799" s="142" t="s">
        <v>730</v>
      </c>
      <c r="L1799" s="43" t="s">
        <v>2982</v>
      </c>
      <c r="M1799" s="11" t="str">
        <f>VLOOKUP(N1799,'Mã NV'!$A$3:$B$196,2,0)</f>
        <v>BU37</v>
      </c>
      <c r="N1799" s="304" t="s">
        <v>2983</v>
      </c>
      <c r="O1799" s="389" t="s">
        <v>3999</v>
      </c>
      <c r="P1799" s="371"/>
      <c r="Q1799" s="43"/>
      <c r="R1799" s="193"/>
    </row>
    <row r="1800" spans="1:18" ht="35.25" hidden="1" customHeight="1">
      <c r="A1800" s="15">
        <f t="shared" si="27"/>
        <v>1790</v>
      </c>
      <c r="B1800" s="146" t="s">
        <v>2814</v>
      </c>
      <c r="C1800" s="64" t="s">
        <v>2804</v>
      </c>
      <c r="D1800" s="19"/>
      <c r="E1800" s="19"/>
      <c r="F1800" s="19"/>
      <c r="G1800" s="64"/>
      <c r="H1800" s="141"/>
      <c r="I1800" s="158" t="s">
        <v>18</v>
      </c>
      <c r="J1800" s="158">
        <v>1</v>
      </c>
      <c r="K1800" s="142" t="s">
        <v>730</v>
      </c>
      <c r="L1800" s="43" t="s">
        <v>2982</v>
      </c>
      <c r="M1800" s="11" t="str">
        <f>VLOOKUP(N1800,'Mã NV'!$A$3:$B$196,2,0)</f>
        <v>BU37</v>
      </c>
      <c r="N1800" s="304" t="s">
        <v>2983</v>
      </c>
      <c r="O1800" s="389" t="s">
        <v>3999</v>
      </c>
      <c r="P1800" s="371"/>
      <c r="Q1800" s="43"/>
      <c r="R1800" s="193"/>
    </row>
    <row r="1801" spans="1:18" ht="35.25" hidden="1" customHeight="1">
      <c r="A1801" s="15">
        <f t="shared" si="27"/>
        <v>1791</v>
      </c>
      <c r="B1801" s="146" t="s">
        <v>2815</v>
      </c>
      <c r="C1801" s="64" t="s">
        <v>2804</v>
      </c>
      <c r="D1801" s="19"/>
      <c r="E1801" s="19"/>
      <c r="F1801" s="19"/>
      <c r="G1801" s="64"/>
      <c r="H1801" s="141"/>
      <c r="I1801" s="158" t="s">
        <v>18</v>
      </c>
      <c r="J1801" s="158">
        <v>1</v>
      </c>
      <c r="K1801" s="142" t="s">
        <v>730</v>
      </c>
      <c r="L1801" s="43" t="s">
        <v>2982</v>
      </c>
      <c r="M1801" s="11" t="str">
        <f>VLOOKUP(N1801,'Mã NV'!$A$3:$B$196,2,0)</f>
        <v>BU37</v>
      </c>
      <c r="N1801" s="304" t="s">
        <v>2983</v>
      </c>
      <c r="O1801" s="389" t="s">
        <v>3999</v>
      </c>
      <c r="P1801" s="371"/>
      <c r="Q1801" s="43"/>
      <c r="R1801" s="193"/>
    </row>
    <row r="1802" spans="1:18" ht="35.25" hidden="1" customHeight="1">
      <c r="A1802" s="15">
        <f t="shared" si="27"/>
        <v>1792</v>
      </c>
      <c r="B1802" s="146" t="s">
        <v>2816</v>
      </c>
      <c r="C1802" s="64" t="s">
        <v>2804</v>
      </c>
      <c r="D1802" s="19"/>
      <c r="E1802" s="19"/>
      <c r="F1802" s="19"/>
      <c r="G1802" s="64"/>
      <c r="H1802" s="141"/>
      <c r="I1802" s="158" t="s">
        <v>18</v>
      </c>
      <c r="J1802" s="158">
        <v>1</v>
      </c>
      <c r="K1802" s="142" t="s">
        <v>730</v>
      </c>
      <c r="L1802" s="43" t="s">
        <v>2982</v>
      </c>
      <c r="M1802" s="11" t="str">
        <f>VLOOKUP(N1802,'Mã NV'!$A$3:$B$196,2,0)</f>
        <v>BU37</v>
      </c>
      <c r="N1802" s="304" t="s">
        <v>2983</v>
      </c>
      <c r="O1802" s="389" t="s">
        <v>3999</v>
      </c>
      <c r="P1802" s="371"/>
      <c r="Q1802" s="43"/>
      <c r="R1802" s="193"/>
    </row>
    <row r="1803" spans="1:18" ht="35.25" hidden="1" customHeight="1">
      <c r="A1803" s="15">
        <f t="shared" si="27"/>
        <v>1793</v>
      </c>
      <c r="B1803" s="146" t="s">
        <v>2817</v>
      </c>
      <c r="C1803" s="64" t="s">
        <v>2818</v>
      </c>
      <c r="D1803" s="19"/>
      <c r="E1803" s="19"/>
      <c r="F1803" s="19"/>
      <c r="G1803" s="64"/>
      <c r="H1803" s="141"/>
      <c r="I1803" s="158" t="s">
        <v>18</v>
      </c>
      <c r="J1803" s="158">
        <v>1</v>
      </c>
      <c r="K1803" s="142" t="s">
        <v>730</v>
      </c>
      <c r="L1803" s="43" t="s">
        <v>2982</v>
      </c>
      <c r="M1803" s="11" t="str">
        <f>VLOOKUP(N1803,'Mã NV'!$A$3:$B$196,2,0)</f>
        <v>BU37</v>
      </c>
      <c r="N1803" s="304" t="s">
        <v>2983</v>
      </c>
      <c r="O1803" s="389" t="s">
        <v>3999</v>
      </c>
      <c r="P1803" s="371"/>
      <c r="Q1803" s="43"/>
      <c r="R1803" s="193"/>
    </row>
    <row r="1804" spans="1:18" ht="35.25" hidden="1" customHeight="1">
      <c r="A1804" s="15">
        <f t="shared" si="27"/>
        <v>1794</v>
      </c>
      <c r="B1804" s="146" t="s">
        <v>2819</v>
      </c>
      <c r="C1804" s="64" t="s">
        <v>2818</v>
      </c>
      <c r="D1804" s="19"/>
      <c r="E1804" s="19"/>
      <c r="F1804" s="19"/>
      <c r="G1804" s="64"/>
      <c r="H1804" s="141"/>
      <c r="I1804" s="158" t="s">
        <v>18</v>
      </c>
      <c r="J1804" s="158">
        <v>1</v>
      </c>
      <c r="K1804" s="142" t="s">
        <v>730</v>
      </c>
      <c r="L1804" s="43" t="s">
        <v>2982</v>
      </c>
      <c r="M1804" s="11" t="str">
        <f>VLOOKUP(N1804,'Mã NV'!$A$3:$B$196,2,0)</f>
        <v>BU37</v>
      </c>
      <c r="N1804" s="304" t="s">
        <v>2983</v>
      </c>
      <c r="O1804" s="389" t="s">
        <v>3999</v>
      </c>
      <c r="P1804" s="371"/>
      <c r="Q1804" s="43"/>
      <c r="R1804" s="193"/>
    </row>
    <row r="1805" spans="1:18" ht="35.25" hidden="1" customHeight="1">
      <c r="A1805" s="15">
        <f t="shared" si="27"/>
        <v>1795</v>
      </c>
      <c r="B1805" s="146" t="s">
        <v>2820</v>
      </c>
      <c r="C1805" s="64" t="s">
        <v>2818</v>
      </c>
      <c r="D1805" s="19"/>
      <c r="E1805" s="19"/>
      <c r="F1805" s="19"/>
      <c r="G1805" s="64"/>
      <c r="H1805" s="141"/>
      <c r="I1805" s="158" t="s">
        <v>18</v>
      </c>
      <c r="J1805" s="158">
        <v>1</v>
      </c>
      <c r="K1805" s="142" t="s">
        <v>730</v>
      </c>
      <c r="L1805" s="43" t="s">
        <v>2982</v>
      </c>
      <c r="M1805" s="11" t="str">
        <f>VLOOKUP(N1805,'Mã NV'!$A$3:$B$196,2,0)</f>
        <v>BU37</v>
      </c>
      <c r="N1805" s="304" t="s">
        <v>2983</v>
      </c>
      <c r="O1805" s="389" t="s">
        <v>3999</v>
      </c>
      <c r="P1805" s="371"/>
      <c r="Q1805" s="43"/>
      <c r="R1805" s="193"/>
    </row>
    <row r="1806" spans="1:18" ht="35.25" hidden="1" customHeight="1">
      <c r="A1806" s="15">
        <f t="shared" si="27"/>
        <v>1796</v>
      </c>
      <c r="B1806" s="146" t="s">
        <v>2821</v>
      </c>
      <c r="C1806" s="64" t="s">
        <v>2818</v>
      </c>
      <c r="D1806" s="19"/>
      <c r="E1806" s="19"/>
      <c r="F1806" s="19"/>
      <c r="G1806" s="64"/>
      <c r="H1806" s="141"/>
      <c r="I1806" s="158" t="s">
        <v>18</v>
      </c>
      <c r="J1806" s="158">
        <v>1</v>
      </c>
      <c r="K1806" s="142" t="s">
        <v>730</v>
      </c>
      <c r="L1806" s="43" t="s">
        <v>2982</v>
      </c>
      <c r="M1806" s="11" t="str">
        <f>VLOOKUP(N1806,'Mã NV'!$A$3:$B$196,2,0)</f>
        <v>BU37</v>
      </c>
      <c r="N1806" s="304" t="s">
        <v>2983</v>
      </c>
      <c r="O1806" s="389" t="s">
        <v>3999</v>
      </c>
      <c r="P1806" s="371"/>
      <c r="Q1806" s="43"/>
      <c r="R1806" s="193"/>
    </row>
    <row r="1807" spans="1:18" ht="35.25" hidden="1" customHeight="1">
      <c r="A1807" s="15">
        <f t="shared" si="27"/>
        <v>1797</v>
      </c>
      <c r="B1807" s="146" t="s">
        <v>2822</v>
      </c>
      <c r="C1807" s="64" t="s">
        <v>2818</v>
      </c>
      <c r="D1807" s="19"/>
      <c r="E1807" s="19"/>
      <c r="F1807" s="19"/>
      <c r="G1807" s="64"/>
      <c r="H1807" s="141"/>
      <c r="I1807" s="158" t="s">
        <v>18</v>
      </c>
      <c r="J1807" s="158">
        <v>1</v>
      </c>
      <c r="K1807" s="142" t="s">
        <v>730</v>
      </c>
      <c r="L1807" s="43" t="s">
        <v>2982</v>
      </c>
      <c r="M1807" s="11" t="str">
        <f>VLOOKUP(N1807,'Mã NV'!$A$3:$B$196,2,0)</f>
        <v>BU37</v>
      </c>
      <c r="N1807" s="304" t="s">
        <v>2983</v>
      </c>
      <c r="O1807" s="389" t="s">
        <v>3999</v>
      </c>
      <c r="P1807" s="371"/>
      <c r="Q1807" s="43"/>
      <c r="R1807" s="193"/>
    </row>
    <row r="1808" spans="1:18" ht="35.25" hidden="1" customHeight="1">
      <c r="A1808" s="15">
        <f t="shared" si="27"/>
        <v>1798</v>
      </c>
      <c r="B1808" s="146" t="s">
        <v>2823</v>
      </c>
      <c r="C1808" s="64" t="s">
        <v>2818</v>
      </c>
      <c r="D1808" s="19"/>
      <c r="E1808" s="19"/>
      <c r="F1808" s="19"/>
      <c r="G1808" s="64"/>
      <c r="H1808" s="141"/>
      <c r="I1808" s="158" t="s">
        <v>18</v>
      </c>
      <c r="J1808" s="158">
        <v>1</v>
      </c>
      <c r="K1808" s="142" t="s">
        <v>730</v>
      </c>
      <c r="L1808" s="43" t="s">
        <v>2982</v>
      </c>
      <c r="M1808" s="11" t="str">
        <f>VLOOKUP(N1808,'Mã NV'!$A$3:$B$196,2,0)</f>
        <v>BU37</v>
      </c>
      <c r="N1808" s="304" t="s">
        <v>2983</v>
      </c>
      <c r="O1808" s="389" t="s">
        <v>3999</v>
      </c>
      <c r="P1808" s="371"/>
      <c r="Q1808" s="43"/>
      <c r="R1808" s="193"/>
    </row>
    <row r="1809" spans="1:18" ht="35.25" hidden="1" customHeight="1">
      <c r="A1809" s="15">
        <f t="shared" si="27"/>
        <v>1799</v>
      </c>
      <c r="B1809" s="146" t="s">
        <v>2824</v>
      </c>
      <c r="C1809" s="64" t="s">
        <v>2818</v>
      </c>
      <c r="D1809" s="19"/>
      <c r="E1809" s="19"/>
      <c r="F1809" s="19"/>
      <c r="G1809" s="64"/>
      <c r="H1809" s="141"/>
      <c r="I1809" s="158" t="s">
        <v>18</v>
      </c>
      <c r="J1809" s="158">
        <v>1</v>
      </c>
      <c r="K1809" s="142" t="s">
        <v>730</v>
      </c>
      <c r="L1809" s="43" t="s">
        <v>2982</v>
      </c>
      <c r="M1809" s="11" t="str">
        <f>VLOOKUP(N1809,'Mã NV'!$A$3:$B$196,2,0)</f>
        <v>BU37</v>
      </c>
      <c r="N1809" s="304" t="s">
        <v>2983</v>
      </c>
      <c r="O1809" s="389" t="s">
        <v>3999</v>
      </c>
      <c r="P1809" s="371"/>
      <c r="Q1809" s="43"/>
      <c r="R1809" s="193"/>
    </row>
    <row r="1810" spans="1:18" ht="35.25" hidden="1" customHeight="1">
      <c r="A1810" s="15">
        <f t="shared" si="27"/>
        <v>1800</v>
      </c>
      <c r="B1810" s="146" t="s">
        <v>2825</v>
      </c>
      <c r="C1810" s="64" t="s">
        <v>2818</v>
      </c>
      <c r="D1810" s="19"/>
      <c r="E1810" s="19"/>
      <c r="F1810" s="19"/>
      <c r="G1810" s="64"/>
      <c r="H1810" s="141"/>
      <c r="I1810" s="158" t="s">
        <v>18</v>
      </c>
      <c r="J1810" s="158">
        <v>1</v>
      </c>
      <c r="K1810" s="142" t="s">
        <v>730</v>
      </c>
      <c r="L1810" s="43" t="s">
        <v>2982</v>
      </c>
      <c r="M1810" s="11" t="str">
        <f>VLOOKUP(N1810,'Mã NV'!$A$3:$B$196,2,0)</f>
        <v>BU37</v>
      </c>
      <c r="N1810" s="304" t="s">
        <v>2983</v>
      </c>
      <c r="O1810" s="389" t="s">
        <v>3999</v>
      </c>
      <c r="P1810" s="371"/>
      <c r="Q1810" s="43"/>
      <c r="R1810" s="193"/>
    </row>
    <row r="1811" spans="1:18" ht="35.25" hidden="1" customHeight="1">
      <c r="A1811" s="15">
        <f t="shared" ref="A1811:A1874" si="28">A1810+1</f>
        <v>1801</v>
      </c>
      <c r="B1811" s="146" t="s">
        <v>2826</v>
      </c>
      <c r="C1811" s="64" t="s">
        <v>2818</v>
      </c>
      <c r="D1811" s="19"/>
      <c r="E1811" s="19"/>
      <c r="F1811" s="19"/>
      <c r="G1811" s="64"/>
      <c r="H1811" s="141"/>
      <c r="I1811" s="158" t="s">
        <v>18</v>
      </c>
      <c r="J1811" s="158">
        <v>1</v>
      </c>
      <c r="K1811" s="142" t="s">
        <v>730</v>
      </c>
      <c r="L1811" s="43" t="s">
        <v>2982</v>
      </c>
      <c r="M1811" s="11" t="str">
        <f>VLOOKUP(N1811,'Mã NV'!$A$3:$B$196,2,0)</f>
        <v>BU37</v>
      </c>
      <c r="N1811" s="304" t="s">
        <v>2983</v>
      </c>
      <c r="O1811" s="389" t="s">
        <v>3999</v>
      </c>
      <c r="P1811" s="371"/>
      <c r="Q1811" s="43"/>
      <c r="R1811" s="193"/>
    </row>
    <row r="1812" spans="1:18" ht="35.25" hidden="1" customHeight="1">
      <c r="A1812" s="15">
        <f t="shared" si="28"/>
        <v>1802</v>
      </c>
      <c r="B1812" s="146" t="s">
        <v>2827</v>
      </c>
      <c r="C1812" s="64" t="s">
        <v>2493</v>
      </c>
      <c r="D1812" s="19"/>
      <c r="E1812" s="19"/>
      <c r="F1812" s="19"/>
      <c r="G1812" s="64"/>
      <c r="H1812" s="141"/>
      <c r="I1812" s="158" t="s">
        <v>18</v>
      </c>
      <c r="J1812" s="158">
        <v>1</v>
      </c>
      <c r="K1812" s="142" t="s">
        <v>730</v>
      </c>
      <c r="L1812" s="43" t="s">
        <v>2982</v>
      </c>
      <c r="M1812" s="11" t="str">
        <f>VLOOKUP(N1812,'Mã NV'!$A$3:$B$196,2,0)</f>
        <v>BU37</v>
      </c>
      <c r="N1812" s="304" t="s">
        <v>2983</v>
      </c>
      <c r="O1812" s="389" t="s">
        <v>3999</v>
      </c>
      <c r="P1812" s="371"/>
      <c r="Q1812" s="43"/>
      <c r="R1812" s="193"/>
    </row>
    <row r="1813" spans="1:18" ht="35.25" hidden="1" customHeight="1">
      <c r="A1813" s="15">
        <f t="shared" si="28"/>
        <v>1803</v>
      </c>
      <c r="B1813" s="146" t="s">
        <v>2828</v>
      </c>
      <c r="C1813" s="64" t="s">
        <v>2493</v>
      </c>
      <c r="D1813" s="19"/>
      <c r="E1813" s="19"/>
      <c r="F1813" s="19"/>
      <c r="G1813" s="64"/>
      <c r="H1813" s="141"/>
      <c r="I1813" s="158" t="s">
        <v>18</v>
      </c>
      <c r="J1813" s="158">
        <v>1</v>
      </c>
      <c r="K1813" s="142" t="s">
        <v>730</v>
      </c>
      <c r="L1813" s="43" t="s">
        <v>2982</v>
      </c>
      <c r="M1813" s="11" t="str">
        <f>VLOOKUP(N1813,'Mã NV'!$A$3:$B$196,2,0)</f>
        <v>BU37</v>
      </c>
      <c r="N1813" s="304" t="s">
        <v>2983</v>
      </c>
      <c r="O1813" s="389" t="s">
        <v>3999</v>
      </c>
      <c r="P1813" s="371"/>
      <c r="Q1813" s="43"/>
      <c r="R1813" s="193"/>
    </row>
    <row r="1814" spans="1:18" ht="35.25" hidden="1" customHeight="1">
      <c r="A1814" s="15">
        <f t="shared" si="28"/>
        <v>1804</v>
      </c>
      <c r="B1814" s="146" t="s">
        <v>2829</v>
      </c>
      <c r="C1814" s="64" t="s">
        <v>2493</v>
      </c>
      <c r="D1814" s="19"/>
      <c r="E1814" s="19"/>
      <c r="F1814" s="19"/>
      <c r="G1814" s="64"/>
      <c r="H1814" s="141"/>
      <c r="I1814" s="158" t="s">
        <v>18</v>
      </c>
      <c r="J1814" s="158">
        <v>1</v>
      </c>
      <c r="K1814" s="142" t="s">
        <v>730</v>
      </c>
      <c r="L1814" s="43" t="s">
        <v>2982</v>
      </c>
      <c r="M1814" s="11" t="str">
        <f>VLOOKUP(N1814,'Mã NV'!$A$3:$B$196,2,0)</f>
        <v>BU37</v>
      </c>
      <c r="N1814" s="304" t="s">
        <v>2983</v>
      </c>
      <c r="O1814" s="389" t="s">
        <v>3999</v>
      </c>
      <c r="P1814" s="371"/>
      <c r="Q1814" s="43"/>
      <c r="R1814" s="193"/>
    </row>
    <row r="1815" spans="1:18" ht="35.25" hidden="1" customHeight="1">
      <c r="A1815" s="15">
        <f t="shared" si="28"/>
        <v>1805</v>
      </c>
      <c r="B1815" s="146" t="s">
        <v>2830</v>
      </c>
      <c r="C1815" s="64" t="s">
        <v>2493</v>
      </c>
      <c r="D1815" s="19"/>
      <c r="E1815" s="19"/>
      <c r="F1815" s="19"/>
      <c r="G1815" s="64"/>
      <c r="H1815" s="141"/>
      <c r="I1815" s="158" t="s">
        <v>18</v>
      </c>
      <c r="J1815" s="158">
        <v>1</v>
      </c>
      <c r="K1815" s="142" t="s">
        <v>730</v>
      </c>
      <c r="L1815" s="43" t="s">
        <v>2982</v>
      </c>
      <c r="M1815" s="11" t="str">
        <f>VLOOKUP(N1815,'Mã NV'!$A$3:$B$196,2,0)</f>
        <v>BU37</v>
      </c>
      <c r="N1815" s="304" t="s">
        <v>2983</v>
      </c>
      <c r="O1815" s="389" t="s">
        <v>3999</v>
      </c>
      <c r="P1815" s="371"/>
      <c r="Q1815" s="43"/>
      <c r="R1815" s="193"/>
    </row>
    <row r="1816" spans="1:18" ht="35.25" hidden="1" customHeight="1">
      <c r="A1816" s="15">
        <f t="shared" si="28"/>
        <v>1806</v>
      </c>
      <c r="B1816" s="146" t="s">
        <v>2831</v>
      </c>
      <c r="C1816" s="64" t="s">
        <v>2493</v>
      </c>
      <c r="D1816" s="19"/>
      <c r="E1816" s="19"/>
      <c r="F1816" s="19"/>
      <c r="G1816" s="64"/>
      <c r="H1816" s="141"/>
      <c r="I1816" s="158" t="s">
        <v>18</v>
      </c>
      <c r="J1816" s="158">
        <v>1</v>
      </c>
      <c r="K1816" s="142" t="s">
        <v>730</v>
      </c>
      <c r="L1816" s="43" t="s">
        <v>2982</v>
      </c>
      <c r="M1816" s="11" t="str">
        <f>VLOOKUP(N1816,'Mã NV'!$A$3:$B$196,2,0)</f>
        <v>BU37</v>
      </c>
      <c r="N1816" s="304" t="s">
        <v>2983</v>
      </c>
      <c r="O1816" s="389" t="s">
        <v>3999</v>
      </c>
      <c r="P1816" s="371"/>
      <c r="Q1816" s="43"/>
      <c r="R1816" s="193"/>
    </row>
    <row r="1817" spans="1:18" ht="35.25" hidden="1" customHeight="1">
      <c r="A1817" s="15">
        <f t="shared" si="28"/>
        <v>1807</v>
      </c>
      <c r="B1817" s="146" t="s">
        <v>2832</v>
      </c>
      <c r="C1817" s="64" t="s">
        <v>2493</v>
      </c>
      <c r="D1817" s="19"/>
      <c r="E1817" s="19"/>
      <c r="F1817" s="19"/>
      <c r="G1817" s="64"/>
      <c r="H1817" s="141"/>
      <c r="I1817" s="158" t="s">
        <v>18</v>
      </c>
      <c r="J1817" s="158">
        <v>1</v>
      </c>
      <c r="K1817" s="142" t="s">
        <v>730</v>
      </c>
      <c r="L1817" s="43" t="s">
        <v>2982</v>
      </c>
      <c r="M1817" s="11" t="str">
        <f>VLOOKUP(N1817,'Mã NV'!$A$3:$B$196,2,0)</f>
        <v>BU37</v>
      </c>
      <c r="N1817" s="304" t="s">
        <v>2983</v>
      </c>
      <c r="O1817" s="389" t="s">
        <v>3999</v>
      </c>
      <c r="P1817" s="371"/>
      <c r="Q1817" s="43"/>
      <c r="R1817" s="193"/>
    </row>
    <row r="1818" spans="1:18" ht="35.25" hidden="1" customHeight="1">
      <c r="A1818" s="15">
        <f t="shared" si="28"/>
        <v>1808</v>
      </c>
      <c r="B1818" s="146" t="s">
        <v>2833</v>
      </c>
      <c r="C1818" s="64" t="s">
        <v>2493</v>
      </c>
      <c r="D1818" s="19"/>
      <c r="E1818" s="19"/>
      <c r="F1818" s="19"/>
      <c r="G1818" s="64"/>
      <c r="H1818" s="141"/>
      <c r="I1818" s="158" t="s">
        <v>18</v>
      </c>
      <c r="J1818" s="158">
        <v>1</v>
      </c>
      <c r="K1818" s="142" t="s">
        <v>730</v>
      </c>
      <c r="L1818" s="43" t="s">
        <v>2982</v>
      </c>
      <c r="M1818" s="11" t="str">
        <f>VLOOKUP(N1818,'Mã NV'!$A$3:$B$196,2,0)</f>
        <v>BU37</v>
      </c>
      <c r="N1818" s="304" t="s">
        <v>2983</v>
      </c>
      <c r="O1818" s="389" t="s">
        <v>3999</v>
      </c>
      <c r="P1818" s="371"/>
      <c r="Q1818" s="43"/>
      <c r="R1818" s="193"/>
    </row>
    <row r="1819" spans="1:18" ht="35.25" hidden="1" customHeight="1">
      <c r="A1819" s="15">
        <f t="shared" si="28"/>
        <v>1809</v>
      </c>
      <c r="B1819" s="146" t="s">
        <v>2834</v>
      </c>
      <c r="C1819" s="64" t="s">
        <v>2493</v>
      </c>
      <c r="D1819" s="19"/>
      <c r="E1819" s="19"/>
      <c r="F1819" s="19"/>
      <c r="G1819" s="64"/>
      <c r="H1819" s="141"/>
      <c r="I1819" s="158" t="s">
        <v>18</v>
      </c>
      <c r="J1819" s="158">
        <v>1</v>
      </c>
      <c r="K1819" s="142" t="s">
        <v>730</v>
      </c>
      <c r="L1819" s="43" t="s">
        <v>2982</v>
      </c>
      <c r="M1819" s="11" t="str">
        <f>VLOOKUP(N1819,'Mã NV'!$A$3:$B$196,2,0)</f>
        <v>BU37</v>
      </c>
      <c r="N1819" s="304" t="s">
        <v>2983</v>
      </c>
      <c r="O1819" s="389" t="s">
        <v>3999</v>
      </c>
      <c r="P1819" s="371"/>
      <c r="Q1819" s="43"/>
      <c r="R1819" s="193"/>
    </row>
    <row r="1820" spans="1:18" ht="35.25" hidden="1" customHeight="1">
      <c r="A1820" s="15">
        <f t="shared" si="28"/>
        <v>1810</v>
      </c>
      <c r="B1820" s="146" t="s">
        <v>2835</v>
      </c>
      <c r="C1820" s="64" t="s">
        <v>2493</v>
      </c>
      <c r="D1820" s="19"/>
      <c r="E1820" s="19"/>
      <c r="F1820" s="19"/>
      <c r="G1820" s="64"/>
      <c r="H1820" s="141"/>
      <c r="I1820" s="158" t="s">
        <v>18</v>
      </c>
      <c r="J1820" s="158">
        <v>1</v>
      </c>
      <c r="K1820" s="142" t="s">
        <v>730</v>
      </c>
      <c r="L1820" s="43" t="s">
        <v>2982</v>
      </c>
      <c r="M1820" s="11" t="str">
        <f>VLOOKUP(N1820,'Mã NV'!$A$3:$B$196,2,0)</f>
        <v>BU37</v>
      </c>
      <c r="N1820" s="304" t="s">
        <v>2983</v>
      </c>
      <c r="O1820" s="389" t="s">
        <v>3999</v>
      </c>
      <c r="P1820" s="371"/>
      <c r="Q1820" s="43"/>
      <c r="R1820" s="193"/>
    </row>
    <row r="1821" spans="1:18" ht="35.25" hidden="1" customHeight="1">
      <c r="A1821" s="15">
        <f t="shared" si="28"/>
        <v>1811</v>
      </c>
      <c r="B1821" s="146" t="s">
        <v>2836</v>
      </c>
      <c r="C1821" s="64" t="s">
        <v>2493</v>
      </c>
      <c r="D1821" s="19"/>
      <c r="E1821" s="19"/>
      <c r="F1821" s="19"/>
      <c r="G1821" s="64"/>
      <c r="H1821" s="141"/>
      <c r="I1821" s="158" t="s">
        <v>18</v>
      </c>
      <c r="J1821" s="158">
        <v>1</v>
      </c>
      <c r="K1821" s="142" t="s">
        <v>730</v>
      </c>
      <c r="L1821" s="43" t="s">
        <v>2982</v>
      </c>
      <c r="M1821" s="11" t="str">
        <f>VLOOKUP(N1821,'Mã NV'!$A$3:$B$196,2,0)</f>
        <v>BU37</v>
      </c>
      <c r="N1821" s="304" t="s">
        <v>2983</v>
      </c>
      <c r="O1821" s="389" t="s">
        <v>3999</v>
      </c>
      <c r="P1821" s="371"/>
      <c r="Q1821" s="43"/>
      <c r="R1821" s="193"/>
    </row>
    <row r="1822" spans="1:18" ht="35.25" hidden="1" customHeight="1">
      <c r="A1822" s="15">
        <f t="shared" si="28"/>
        <v>1812</v>
      </c>
      <c r="B1822" s="146" t="s">
        <v>2837</v>
      </c>
      <c r="C1822" s="64" t="s">
        <v>2493</v>
      </c>
      <c r="D1822" s="19"/>
      <c r="E1822" s="19"/>
      <c r="F1822" s="19"/>
      <c r="G1822" s="64"/>
      <c r="H1822" s="141"/>
      <c r="I1822" s="158" t="s">
        <v>18</v>
      </c>
      <c r="J1822" s="158">
        <v>1</v>
      </c>
      <c r="K1822" s="142" t="s">
        <v>730</v>
      </c>
      <c r="L1822" s="43" t="s">
        <v>2982</v>
      </c>
      <c r="M1822" s="11" t="str">
        <f>VLOOKUP(N1822,'Mã NV'!$A$3:$B$196,2,0)</f>
        <v>BU37</v>
      </c>
      <c r="N1822" s="304" t="s">
        <v>2983</v>
      </c>
      <c r="O1822" s="389" t="s">
        <v>3999</v>
      </c>
      <c r="P1822" s="371"/>
      <c r="Q1822" s="43"/>
      <c r="R1822" s="193"/>
    </row>
    <row r="1823" spans="1:18" ht="35.25" hidden="1" customHeight="1">
      <c r="A1823" s="15">
        <f t="shared" si="28"/>
        <v>1813</v>
      </c>
      <c r="B1823" s="146" t="s">
        <v>2838</v>
      </c>
      <c r="C1823" s="64" t="s">
        <v>2839</v>
      </c>
      <c r="D1823" s="19"/>
      <c r="E1823" s="19"/>
      <c r="F1823" s="19"/>
      <c r="G1823" s="64"/>
      <c r="H1823" s="141"/>
      <c r="I1823" s="158" t="s">
        <v>18</v>
      </c>
      <c r="J1823" s="158">
        <v>1</v>
      </c>
      <c r="K1823" s="142" t="s">
        <v>730</v>
      </c>
      <c r="L1823" s="43" t="s">
        <v>2982</v>
      </c>
      <c r="M1823" s="11" t="str">
        <f>VLOOKUP(N1823,'Mã NV'!$A$3:$B$196,2,0)</f>
        <v>BU37</v>
      </c>
      <c r="N1823" s="304" t="s">
        <v>2983</v>
      </c>
      <c r="O1823" s="389" t="s">
        <v>3999</v>
      </c>
      <c r="P1823" s="371"/>
      <c r="Q1823" s="43"/>
      <c r="R1823" s="193"/>
    </row>
    <row r="1824" spans="1:18" ht="35.25" hidden="1" customHeight="1">
      <c r="A1824" s="15">
        <f t="shared" si="28"/>
        <v>1814</v>
      </c>
      <c r="B1824" s="146" t="s">
        <v>2840</v>
      </c>
      <c r="C1824" s="64" t="s">
        <v>2839</v>
      </c>
      <c r="D1824" s="19"/>
      <c r="E1824" s="19"/>
      <c r="F1824" s="19"/>
      <c r="G1824" s="64"/>
      <c r="H1824" s="141"/>
      <c r="I1824" s="158" t="s">
        <v>18</v>
      </c>
      <c r="J1824" s="158">
        <v>1</v>
      </c>
      <c r="K1824" s="142" t="s">
        <v>730</v>
      </c>
      <c r="L1824" s="43" t="s">
        <v>2982</v>
      </c>
      <c r="M1824" s="11" t="str">
        <f>VLOOKUP(N1824,'Mã NV'!$A$3:$B$196,2,0)</f>
        <v>BU37</v>
      </c>
      <c r="N1824" s="304" t="s">
        <v>2983</v>
      </c>
      <c r="O1824" s="389" t="s">
        <v>3999</v>
      </c>
      <c r="P1824" s="371"/>
      <c r="Q1824" s="43"/>
      <c r="R1824" s="193"/>
    </row>
    <row r="1825" spans="1:18" ht="35.25" hidden="1" customHeight="1">
      <c r="A1825" s="15">
        <f t="shared" si="28"/>
        <v>1815</v>
      </c>
      <c r="B1825" s="146" t="s">
        <v>2841</v>
      </c>
      <c r="C1825" s="64" t="s">
        <v>2842</v>
      </c>
      <c r="D1825" s="19"/>
      <c r="E1825" s="19"/>
      <c r="F1825" s="19"/>
      <c r="G1825" s="64"/>
      <c r="H1825" s="141"/>
      <c r="I1825" s="158" t="s">
        <v>18</v>
      </c>
      <c r="J1825" s="158">
        <v>1</v>
      </c>
      <c r="K1825" s="142" t="s">
        <v>730</v>
      </c>
      <c r="L1825" s="43" t="s">
        <v>2982</v>
      </c>
      <c r="M1825" s="11" t="str">
        <f>VLOOKUP(N1825,'Mã NV'!$A$3:$B$196,2,0)</f>
        <v>BU37</v>
      </c>
      <c r="N1825" s="304" t="s">
        <v>2983</v>
      </c>
      <c r="O1825" s="389" t="s">
        <v>3999</v>
      </c>
      <c r="P1825" s="371"/>
      <c r="Q1825" s="43"/>
      <c r="R1825" s="193"/>
    </row>
    <row r="1826" spans="1:18" ht="35.25" hidden="1" customHeight="1">
      <c r="A1826" s="15">
        <f t="shared" si="28"/>
        <v>1816</v>
      </c>
      <c r="B1826" s="146" t="s">
        <v>2843</v>
      </c>
      <c r="C1826" s="64" t="s">
        <v>2842</v>
      </c>
      <c r="D1826" s="19"/>
      <c r="E1826" s="19"/>
      <c r="F1826" s="19"/>
      <c r="G1826" s="64"/>
      <c r="H1826" s="141"/>
      <c r="I1826" s="158" t="s">
        <v>18</v>
      </c>
      <c r="J1826" s="158">
        <v>1</v>
      </c>
      <c r="K1826" s="142" t="s">
        <v>730</v>
      </c>
      <c r="L1826" s="43" t="s">
        <v>2982</v>
      </c>
      <c r="M1826" s="11" t="str">
        <f>VLOOKUP(N1826,'Mã NV'!$A$3:$B$196,2,0)</f>
        <v>BU37</v>
      </c>
      <c r="N1826" s="304" t="s">
        <v>2983</v>
      </c>
      <c r="O1826" s="389" t="s">
        <v>3999</v>
      </c>
      <c r="P1826" s="371"/>
      <c r="Q1826" s="43"/>
      <c r="R1826" s="193"/>
    </row>
    <row r="1827" spans="1:18" ht="35.25" hidden="1" customHeight="1">
      <c r="A1827" s="15">
        <f t="shared" si="28"/>
        <v>1817</v>
      </c>
      <c r="B1827" s="146" t="s">
        <v>2844</v>
      </c>
      <c r="C1827" s="64" t="s">
        <v>2842</v>
      </c>
      <c r="D1827" s="19"/>
      <c r="E1827" s="19"/>
      <c r="F1827" s="19"/>
      <c r="G1827" s="64"/>
      <c r="H1827" s="141"/>
      <c r="I1827" s="158" t="s">
        <v>18</v>
      </c>
      <c r="J1827" s="158">
        <v>1</v>
      </c>
      <c r="K1827" s="142" t="s">
        <v>730</v>
      </c>
      <c r="L1827" s="43" t="s">
        <v>2982</v>
      </c>
      <c r="M1827" s="11" t="str">
        <f>VLOOKUP(N1827,'Mã NV'!$A$3:$B$196,2,0)</f>
        <v>BU37</v>
      </c>
      <c r="N1827" s="304" t="s">
        <v>2983</v>
      </c>
      <c r="O1827" s="389" t="s">
        <v>3999</v>
      </c>
      <c r="P1827" s="371"/>
      <c r="Q1827" s="43"/>
      <c r="R1827" s="193"/>
    </row>
    <row r="1828" spans="1:18" ht="35.25" hidden="1" customHeight="1">
      <c r="A1828" s="15">
        <f t="shared" si="28"/>
        <v>1818</v>
      </c>
      <c r="B1828" s="146" t="s">
        <v>2845</v>
      </c>
      <c r="C1828" s="64" t="s">
        <v>2842</v>
      </c>
      <c r="D1828" s="19"/>
      <c r="E1828" s="19"/>
      <c r="F1828" s="19"/>
      <c r="G1828" s="64"/>
      <c r="H1828" s="141"/>
      <c r="I1828" s="158" t="s">
        <v>18</v>
      </c>
      <c r="J1828" s="158">
        <v>1</v>
      </c>
      <c r="K1828" s="142" t="s">
        <v>730</v>
      </c>
      <c r="L1828" s="43" t="s">
        <v>2982</v>
      </c>
      <c r="M1828" s="11" t="str">
        <f>VLOOKUP(N1828,'Mã NV'!$A$3:$B$196,2,0)</f>
        <v>BU37</v>
      </c>
      <c r="N1828" s="304" t="s">
        <v>2983</v>
      </c>
      <c r="O1828" s="389" t="s">
        <v>3999</v>
      </c>
      <c r="P1828" s="371"/>
      <c r="Q1828" s="43"/>
      <c r="R1828" s="193"/>
    </row>
    <row r="1829" spans="1:18" ht="35.25" hidden="1" customHeight="1">
      <c r="A1829" s="15">
        <f t="shared" si="28"/>
        <v>1819</v>
      </c>
      <c r="B1829" s="146" t="s">
        <v>2846</v>
      </c>
      <c r="C1829" s="64" t="s">
        <v>2842</v>
      </c>
      <c r="D1829" s="19"/>
      <c r="E1829" s="19"/>
      <c r="F1829" s="19"/>
      <c r="G1829" s="64"/>
      <c r="H1829" s="141"/>
      <c r="I1829" s="158" t="s">
        <v>18</v>
      </c>
      <c r="J1829" s="158">
        <v>1</v>
      </c>
      <c r="K1829" s="142" t="s">
        <v>730</v>
      </c>
      <c r="L1829" s="43" t="s">
        <v>2982</v>
      </c>
      <c r="M1829" s="11" t="str">
        <f>VLOOKUP(N1829,'Mã NV'!$A$3:$B$196,2,0)</f>
        <v>BU37</v>
      </c>
      <c r="N1829" s="304" t="s">
        <v>2983</v>
      </c>
      <c r="O1829" s="389" t="s">
        <v>3999</v>
      </c>
      <c r="P1829" s="371"/>
      <c r="Q1829" s="43"/>
      <c r="R1829" s="193"/>
    </row>
    <row r="1830" spans="1:18" ht="35.25" hidden="1" customHeight="1">
      <c r="A1830" s="15">
        <f t="shared" si="28"/>
        <v>1820</v>
      </c>
      <c r="B1830" s="146" t="s">
        <v>2847</v>
      </c>
      <c r="C1830" s="64" t="s">
        <v>2842</v>
      </c>
      <c r="D1830" s="19"/>
      <c r="E1830" s="19"/>
      <c r="F1830" s="19"/>
      <c r="G1830" s="64"/>
      <c r="H1830" s="141"/>
      <c r="I1830" s="158" t="s">
        <v>18</v>
      </c>
      <c r="J1830" s="158">
        <v>1</v>
      </c>
      <c r="K1830" s="142" t="s">
        <v>730</v>
      </c>
      <c r="L1830" s="43" t="s">
        <v>2982</v>
      </c>
      <c r="M1830" s="11" t="str">
        <f>VLOOKUP(N1830,'Mã NV'!$A$3:$B$196,2,0)</f>
        <v>BU37</v>
      </c>
      <c r="N1830" s="304" t="s">
        <v>2983</v>
      </c>
      <c r="O1830" s="389" t="s">
        <v>3999</v>
      </c>
      <c r="P1830" s="371"/>
      <c r="Q1830" s="43"/>
      <c r="R1830" s="193"/>
    </row>
    <row r="1831" spans="1:18" ht="35.25" hidden="1" customHeight="1">
      <c r="A1831" s="15">
        <f t="shared" si="28"/>
        <v>1821</v>
      </c>
      <c r="B1831" s="146" t="s">
        <v>2848</v>
      </c>
      <c r="C1831" s="64" t="s">
        <v>2842</v>
      </c>
      <c r="D1831" s="19"/>
      <c r="E1831" s="19"/>
      <c r="F1831" s="19"/>
      <c r="G1831" s="64"/>
      <c r="H1831" s="141"/>
      <c r="I1831" s="158" t="s">
        <v>18</v>
      </c>
      <c r="J1831" s="158">
        <v>1</v>
      </c>
      <c r="K1831" s="142" t="s">
        <v>730</v>
      </c>
      <c r="L1831" s="43" t="s">
        <v>2982</v>
      </c>
      <c r="M1831" s="11" t="str">
        <f>VLOOKUP(N1831,'Mã NV'!$A$3:$B$196,2,0)</f>
        <v>BU37</v>
      </c>
      <c r="N1831" s="304" t="s">
        <v>2983</v>
      </c>
      <c r="O1831" s="389" t="s">
        <v>3999</v>
      </c>
      <c r="P1831" s="371"/>
      <c r="Q1831" s="43"/>
      <c r="R1831" s="193"/>
    </row>
    <row r="1832" spans="1:18" ht="35.25" hidden="1" customHeight="1">
      <c r="A1832" s="15">
        <f t="shared" si="28"/>
        <v>1822</v>
      </c>
      <c r="B1832" s="146" t="s">
        <v>2849</v>
      </c>
      <c r="C1832" s="64" t="s">
        <v>2842</v>
      </c>
      <c r="D1832" s="19"/>
      <c r="E1832" s="19"/>
      <c r="F1832" s="19"/>
      <c r="G1832" s="64"/>
      <c r="H1832" s="141"/>
      <c r="I1832" s="158" t="s">
        <v>18</v>
      </c>
      <c r="J1832" s="158">
        <v>1</v>
      </c>
      <c r="K1832" s="142" t="s">
        <v>730</v>
      </c>
      <c r="L1832" s="43" t="s">
        <v>2982</v>
      </c>
      <c r="M1832" s="11" t="str">
        <f>VLOOKUP(N1832,'Mã NV'!$A$3:$B$196,2,0)</f>
        <v>BU37</v>
      </c>
      <c r="N1832" s="304" t="s">
        <v>2983</v>
      </c>
      <c r="O1832" s="389" t="s">
        <v>3999</v>
      </c>
      <c r="P1832" s="371"/>
      <c r="Q1832" s="43"/>
      <c r="R1832" s="193"/>
    </row>
    <row r="1833" spans="1:18" ht="35.25" hidden="1" customHeight="1">
      <c r="A1833" s="15">
        <f t="shared" si="28"/>
        <v>1823</v>
      </c>
      <c r="B1833" s="146" t="s">
        <v>2850</v>
      </c>
      <c r="C1833" s="64" t="s">
        <v>2842</v>
      </c>
      <c r="D1833" s="19"/>
      <c r="E1833" s="19"/>
      <c r="F1833" s="19"/>
      <c r="G1833" s="64"/>
      <c r="H1833" s="141"/>
      <c r="I1833" s="158" t="s">
        <v>18</v>
      </c>
      <c r="J1833" s="158">
        <v>1</v>
      </c>
      <c r="K1833" s="142" t="s">
        <v>730</v>
      </c>
      <c r="L1833" s="43" t="s">
        <v>2982</v>
      </c>
      <c r="M1833" s="11" t="str">
        <f>VLOOKUP(N1833,'Mã NV'!$A$3:$B$196,2,0)</f>
        <v>BU37</v>
      </c>
      <c r="N1833" s="304" t="s">
        <v>2983</v>
      </c>
      <c r="O1833" s="389" t="s">
        <v>3999</v>
      </c>
      <c r="P1833" s="371"/>
      <c r="Q1833" s="43"/>
      <c r="R1833" s="193"/>
    </row>
    <row r="1834" spans="1:18" ht="35.25" hidden="1" customHeight="1">
      <c r="A1834" s="15">
        <f t="shared" si="28"/>
        <v>1824</v>
      </c>
      <c r="B1834" s="146" t="s">
        <v>2851</v>
      </c>
      <c r="C1834" s="64" t="s">
        <v>2852</v>
      </c>
      <c r="D1834" s="19"/>
      <c r="E1834" s="19"/>
      <c r="F1834" s="19"/>
      <c r="G1834" s="64"/>
      <c r="H1834" s="141"/>
      <c r="I1834" s="158" t="s">
        <v>18</v>
      </c>
      <c r="J1834" s="158">
        <v>1</v>
      </c>
      <c r="K1834" s="142" t="s">
        <v>730</v>
      </c>
      <c r="L1834" s="43" t="s">
        <v>2982</v>
      </c>
      <c r="M1834" s="11" t="str">
        <f>VLOOKUP(N1834,'Mã NV'!$A$3:$B$196,2,0)</f>
        <v>BU37</v>
      </c>
      <c r="N1834" s="304" t="s">
        <v>2983</v>
      </c>
      <c r="O1834" s="380" t="str">
        <f>VLOOKUP(B1834,'Tổng hợp (3)'!$C$4:$E$985,3,0)</f>
        <v>20/10/2022</v>
      </c>
      <c r="P1834" s="378"/>
      <c r="Q1834" s="43"/>
      <c r="R1834" s="193"/>
    </row>
    <row r="1835" spans="1:18" ht="35.25" hidden="1" customHeight="1">
      <c r="A1835" s="15">
        <f t="shared" si="28"/>
        <v>1825</v>
      </c>
      <c r="B1835" s="146" t="s">
        <v>2853</v>
      </c>
      <c r="C1835" s="64" t="s">
        <v>2854</v>
      </c>
      <c r="D1835" s="19"/>
      <c r="E1835" s="19"/>
      <c r="F1835" s="19"/>
      <c r="G1835" s="64"/>
      <c r="H1835" s="141"/>
      <c r="I1835" s="158" t="s">
        <v>18</v>
      </c>
      <c r="J1835" s="158">
        <v>10</v>
      </c>
      <c r="K1835" s="142" t="s">
        <v>730</v>
      </c>
      <c r="L1835" s="43" t="s">
        <v>2982</v>
      </c>
      <c r="M1835" s="11" t="str">
        <f>VLOOKUP(N1835,'Mã NV'!$A$3:$B$196,2,0)</f>
        <v>BU37</v>
      </c>
      <c r="N1835" s="304" t="s">
        <v>2983</v>
      </c>
      <c r="O1835" s="380" t="str">
        <f>VLOOKUP(B1835,'Tổng hợp (3)'!$C$4:$E$985,3,0)</f>
        <v>25/10/2022</v>
      </c>
      <c r="P1835" s="378"/>
      <c r="Q1835" s="43"/>
      <c r="R1835" s="169" t="s">
        <v>2986</v>
      </c>
    </row>
    <row r="1836" spans="1:18" ht="35.25" hidden="1" customHeight="1">
      <c r="A1836" s="15">
        <f t="shared" si="28"/>
        <v>1826</v>
      </c>
      <c r="B1836" s="141" t="s">
        <v>2855</v>
      </c>
      <c r="C1836" s="64" t="s">
        <v>2856</v>
      </c>
      <c r="D1836" s="19"/>
      <c r="E1836" s="19"/>
      <c r="F1836" s="19"/>
      <c r="G1836" s="64"/>
      <c r="H1836" s="141"/>
      <c r="I1836" s="158" t="s">
        <v>18</v>
      </c>
      <c r="J1836" s="158">
        <v>1</v>
      </c>
      <c r="K1836" s="142" t="s">
        <v>730</v>
      </c>
      <c r="L1836" s="43" t="s">
        <v>2982</v>
      </c>
      <c r="M1836" s="11" t="str">
        <f>VLOOKUP(N1836,'Mã NV'!$A$3:$B$196,2,0)</f>
        <v>BU37</v>
      </c>
      <c r="N1836" s="304" t="s">
        <v>2983</v>
      </c>
      <c r="O1836" s="380">
        <f>VLOOKUP(B1836,'Tổng hợp (3)'!$C$4:$E$985,3,0)</f>
        <v>44905</v>
      </c>
      <c r="P1836" s="378"/>
      <c r="Q1836" s="43"/>
      <c r="R1836" s="193"/>
    </row>
    <row r="1837" spans="1:18" ht="35.25" hidden="1" customHeight="1">
      <c r="A1837" s="15">
        <f t="shared" si="28"/>
        <v>1827</v>
      </c>
      <c r="B1837" s="141" t="s">
        <v>2857</v>
      </c>
      <c r="C1837" s="64" t="s">
        <v>2858</v>
      </c>
      <c r="D1837" s="19"/>
      <c r="E1837" s="19"/>
      <c r="F1837" s="19"/>
      <c r="G1837" s="64"/>
      <c r="H1837" s="141"/>
      <c r="I1837" s="158" t="s">
        <v>18</v>
      </c>
      <c r="J1837" s="158">
        <v>1</v>
      </c>
      <c r="K1837" s="142" t="s">
        <v>730</v>
      </c>
      <c r="L1837" s="43" t="s">
        <v>2982</v>
      </c>
      <c r="M1837" s="11" t="str">
        <f>VLOOKUP(N1837,'Mã NV'!$A$3:$B$196,2,0)</f>
        <v>BU37</v>
      </c>
      <c r="N1837" s="304" t="s">
        <v>2983</v>
      </c>
      <c r="O1837" s="389">
        <v>44905</v>
      </c>
      <c r="P1837" s="371"/>
      <c r="Q1837" s="43"/>
      <c r="R1837" s="193"/>
    </row>
    <row r="1838" spans="1:18" ht="35.25" hidden="1" customHeight="1">
      <c r="A1838" s="15">
        <f t="shared" si="28"/>
        <v>1828</v>
      </c>
      <c r="B1838" s="141" t="s">
        <v>2859</v>
      </c>
      <c r="C1838" s="64" t="s">
        <v>2858</v>
      </c>
      <c r="D1838" s="19"/>
      <c r="E1838" s="19"/>
      <c r="F1838" s="19"/>
      <c r="G1838" s="64"/>
      <c r="H1838" s="141"/>
      <c r="I1838" s="158" t="s">
        <v>18</v>
      </c>
      <c r="J1838" s="158">
        <v>1</v>
      </c>
      <c r="K1838" s="142" t="s">
        <v>730</v>
      </c>
      <c r="L1838" s="43" t="s">
        <v>2982</v>
      </c>
      <c r="M1838" s="11" t="str">
        <f>VLOOKUP(N1838,'Mã NV'!$A$3:$B$196,2,0)</f>
        <v>BU37</v>
      </c>
      <c r="N1838" s="304" t="s">
        <v>2983</v>
      </c>
      <c r="O1838" s="389">
        <v>44905</v>
      </c>
      <c r="P1838" s="371"/>
      <c r="Q1838" s="43"/>
      <c r="R1838" s="193"/>
    </row>
    <row r="1839" spans="1:18" ht="35.25" hidden="1" customHeight="1">
      <c r="A1839" s="15">
        <f t="shared" si="28"/>
        <v>1829</v>
      </c>
      <c r="B1839" s="141" t="s">
        <v>2860</v>
      </c>
      <c r="C1839" s="64" t="s">
        <v>2858</v>
      </c>
      <c r="D1839" s="19"/>
      <c r="E1839" s="19"/>
      <c r="F1839" s="19"/>
      <c r="G1839" s="64"/>
      <c r="H1839" s="141"/>
      <c r="I1839" s="158" t="s">
        <v>18</v>
      </c>
      <c r="J1839" s="158">
        <v>1</v>
      </c>
      <c r="K1839" s="142" t="s">
        <v>730</v>
      </c>
      <c r="L1839" s="43" t="s">
        <v>2982</v>
      </c>
      <c r="M1839" s="11" t="str">
        <f>VLOOKUP(N1839,'Mã NV'!$A$3:$B$196,2,0)</f>
        <v>BU37</v>
      </c>
      <c r="N1839" s="304" t="s">
        <v>2983</v>
      </c>
      <c r="O1839" s="389">
        <v>44905</v>
      </c>
      <c r="P1839" s="371"/>
      <c r="Q1839" s="43"/>
      <c r="R1839" s="193"/>
    </row>
    <row r="1840" spans="1:18" ht="35.25" hidden="1" customHeight="1">
      <c r="A1840" s="15">
        <f t="shared" si="28"/>
        <v>1830</v>
      </c>
      <c r="B1840" s="141" t="s">
        <v>2861</v>
      </c>
      <c r="C1840" s="64" t="s">
        <v>2858</v>
      </c>
      <c r="D1840" s="19"/>
      <c r="E1840" s="19"/>
      <c r="F1840" s="19"/>
      <c r="G1840" s="64"/>
      <c r="H1840" s="141"/>
      <c r="I1840" s="158" t="s">
        <v>18</v>
      </c>
      <c r="J1840" s="158">
        <v>1</v>
      </c>
      <c r="K1840" s="142" t="s">
        <v>730</v>
      </c>
      <c r="L1840" s="43" t="s">
        <v>2982</v>
      </c>
      <c r="M1840" s="11" t="str">
        <f>VLOOKUP(N1840,'Mã NV'!$A$3:$B$196,2,0)</f>
        <v>BU37</v>
      </c>
      <c r="N1840" s="304" t="s">
        <v>2983</v>
      </c>
      <c r="O1840" s="389">
        <v>44905</v>
      </c>
      <c r="P1840" s="371"/>
      <c r="Q1840" s="43"/>
      <c r="R1840" s="193"/>
    </row>
    <row r="1841" spans="1:18" ht="35.25" hidden="1" customHeight="1">
      <c r="A1841" s="15">
        <f t="shared" si="28"/>
        <v>1831</v>
      </c>
      <c r="B1841" s="141" t="s">
        <v>2862</v>
      </c>
      <c r="C1841" s="64" t="s">
        <v>2863</v>
      </c>
      <c r="D1841" s="19"/>
      <c r="E1841" s="19"/>
      <c r="F1841" s="19"/>
      <c r="G1841" s="64"/>
      <c r="H1841" s="141"/>
      <c r="I1841" s="158" t="s">
        <v>18</v>
      </c>
      <c r="J1841" s="158">
        <v>1</v>
      </c>
      <c r="K1841" s="142" t="s">
        <v>730</v>
      </c>
      <c r="L1841" s="43" t="s">
        <v>2982</v>
      </c>
      <c r="M1841" s="11" t="str">
        <f>VLOOKUP(N1841,'Mã NV'!$A$3:$B$196,2,0)</f>
        <v>BU37</v>
      </c>
      <c r="N1841" s="304" t="s">
        <v>2983</v>
      </c>
      <c r="O1841" s="380">
        <f>VLOOKUP(B1841,'Tổng hợp (3)'!$C$4:$E$985,3,0)</f>
        <v>44905</v>
      </c>
      <c r="P1841" s="378"/>
      <c r="Q1841" s="43"/>
      <c r="R1841" s="193"/>
    </row>
    <row r="1842" spans="1:18" ht="35.25" hidden="1" customHeight="1">
      <c r="A1842" s="15">
        <f t="shared" si="28"/>
        <v>1832</v>
      </c>
      <c r="B1842" s="141" t="s">
        <v>2864</v>
      </c>
      <c r="C1842" s="64" t="s">
        <v>2865</v>
      </c>
      <c r="D1842" s="19"/>
      <c r="E1842" s="19"/>
      <c r="F1842" s="19"/>
      <c r="G1842" s="64"/>
      <c r="H1842" s="141"/>
      <c r="I1842" s="158" t="s">
        <v>181</v>
      </c>
      <c r="J1842" s="158">
        <v>1</v>
      </c>
      <c r="K1842" s="142" t="s">
        <v>730</v>
      </c>
      <c r="L1842" s="43" t="s">
        <v>2982</v>
      </c>
      <c r="M1842" s="11" t="str">
        <f>VLOOKUP(N1842,'Mã NV'!$A$3:$B$196,2,0)</f>
        <v>BU37</v>
      </c>
      <c r="N1842" s="304" t="s">
        <v>2983</v>
      </c>
      <c r="O1842" s="380">
        <f>VLOOKUP(B1842,'Tổng hợp (3)'!$C$4:$E$985,3,0)</f>
        <v>44905</v>
      </c>
      <c r="P1842" s="378"/>
      <c r="Q1842" s="43"/>
      <c r="R1842" s="193"/>
    </row>
    <row r="1843" spans="1:18" ht="35.25" hidden="1" customHeight="1">
      <c r="A1843" s="15">
        <f t="shared" si="28"/>
        <v>1833</v>
      </c>
      <c r="B1843" s="141" t="s">
        <v>2866</v>
      </c>
      <c r="C1843" s="64" t="s">
        <v>2867</v>
      </c>
      <c r="D1843" s="19"/>
      <c r="E1843" s="19"/>
      <c r="F1843" s="19"/>
      <c r="G1843" s="64"/>
      <c r="H1843" s="141"/>
      <c r="I1843" s="158" t="s">
        <v>18</v>
      </c>
      <c r="J1843" s="158">
        <v>1</v>
      </c>
      <c r="K1843" s="142" t="s">
        <v>730</v>
      </c>
      <c r="L1843" s="43" t="s">
        <v>2982</v>
      </c>
      <c r="M1843" s="11" t="str">
        <f>VLOOKUP(N1843,'Mã NV'!$A$3:$B$196,2,0)</f>
        <v>BU37</v>
      </c>
      <c r="N1843" s="304" t="s">
        <v>2983</v>
      </c>
      <c r="O1843" s="380">
        <f>VLOOKUP(B1843,'Tổng hợp (3)'!$C$4:$E$985,3,0)</f>
        <v>44905</v>
      </c>
      <c r="P1843" s="378"/>
      <c r="Q1843" s="43"/>
      <c r="R1843" s="193"/>
    </row>
    <row r="1844" spans="1:18" ht="35.25" hidden="1" customHeight="1">
      <c r="A1844" s="15">
        <f t="shared" si="28"/>
        <v>1834</v>
      </c>
      <c r="B1844" s="141" t="s">
        <v>370</v>
      </c>
      <c r="C1844" s="64" t="s">
        <v>2868</v>
      </c>
      <c r="D1844" s="19"/>
      <c r="E1844" s="19"/>
      <c r="F1844" s="19"/>
      <c r="G1844" s="64"/>
      <c r="H1844" s="141"/>
      <c r="I1844" s="158" t="s">
        <v>18</v>
      </c>
      <c r="J1844" s="158">
        <v>1</v>
      </c>
      <c r="K1844" s="142" t="s">
        <v>730</v>
      </c>
      <c r="L1844" s="43" t="s">
        <v>2982</v>
      </c>
      <c r="M1844" s="11" t="str">
        <f>VLOOKUP(N1844,'Mã NV'!$A$3:$B$196,2,0)</f>
        <v>BU37</v>
      </c>
      <c r="N1844" s="304" t="s">
        <v>2983</v>
      </c>
      <c r="O1844" s="380">
        <f>VLOOKUP(B1844,'Tổng hợp (3)'!$C$4:$E$985,3,0)</f>
        <v>44905</v>
      </c>
      <c r="P1844" s="378"/>
      <c r="Q1844" s="43"/>
      <c r="R1844" s="193"/>
    </row>
    <row r="1845" spans="1:18" ht="35.25" hidden="1" customHeight="1">
      <c r="A1845" s="15">
        <f t="shared" si="28"/>
        <v>1835</v>
      </c>
      <c r="B1845" s="141" t="s">
        <v>2869</v>
      </c>
      <c r="C1845" s="64" t="s">
        <v>2870</v>
      </c>
      <c r="D1845" s="19"/>
      <c r="E1845" s="19"/>
      <c r="F1845" s="19"/>
      <c r="G1845" s="64"/>
      <c r="H1845" s="141"/>
      <c r="I1845" s="158" t="s">
        <v>18</v>
      </c>
      <c r="J1845" s="158">
        <v>1</v>
      </c>
      <c r="K1845" s="142" t="s">
        <v>730</v>
      </c>
      <c r="L1845" s="43" t="s">
        <v>2982</v>
      </c>
      <c r="M1845" s="11" t="str">
        <f>VLOOKUP(N1845,'Mã NV'!$A$3:$B$196,2,0)</f>
        <v>BU37</v>
      </c>
      <c r="N1845" s="304" t="s">
        <v>2983</v>
      </c>
      <c r="O1845" s="380">
        <f>VLOOKUP(B1845,'Tổng hợp (3)'!$C$4:$E$985,3,0)</f>
        <v>44905</v>
      </c>
      <c r="P1845" s="378"/>
      <c r="Q1845" s="43"/>
      <c r="R1845" s="193"/>
    </row>
    <row r="1846" spans="1:18" ht="35.25" hidden="1" customHeight="1">
      <c r="A1846" s="15">
        <f t="shared" si="28"/>
        <v>1836</v>
      </c>
      <c r="B1846" s="141" t="s">
        <v>2871</v>
      </c>
      <c r="C1846" s="64" t="s">
        <v>2872</v>
      </c>
      <c r="D1846" s="19"/>
      <c r="E1846" s="19"/>
      <c r="F1846" s="19"/>
      <c r="G1846" s="64"/>
      <c r="H1846" s="141"/>
      <c r="I1846" s="158" t="s">
        <v>18</v>
      </c>
      <c r="J1846" s="158">
        <v>1</v>
      </c>
      <c r="K1846" s="142" t="s">
        <v>730</v>
      </c>
      <c r="L1846" s="43" t="s">
        <v>2982</v>
      </c>
      <c r="M1846" s="11" t="str">
        <f>VLOOKUP(N1846,'Mã NV'!$A$3:$B$196,2,0)</f>
        <v>BU37</v>
      </c>
      <c r="N1846" s="304" t="s">
        <v>2983</v>
      </c>
      <c r="O1846" s="380">
        <f>VLOOKUP(B1846,'Tổng hợp (3)'!$C$4:$E$985,3,0)</f>
        <v>44905</v>
      </c>
      <c r="P1846" s="378"/>
      <c r="Q1846" s="43"/>
      <c r="R1846" s="193"/>
    </row>
    <row r="1847" spans="1:18" ht="35.25" hidden="1" customHeight="1">
      <c r="A1847" s="15">
        <f t="shared" si="28"/>
        <v>1837</v>
      </c>
      <c r="B1847" s="141" t="s">
        <v>2873</v>
      </c>
      <c r="C1847" s="64" t="s">
        <v>2874</v>
      </c>
      <c r="D1847" s="19"/>
      <c r="E1847" s="19"/>
      <c r="F1847" s="19"/>
      <c r="G1847" s="64"/>
      <c r="H1847" s="141"/>
      <c r="I1847" s="158" t="s">
        <v>181</v>
      </c>
      <c r="J1847" s="158">
        <v>1</v>
      </c>
      <c r="K1847" s="142" t="s">
        <v>730</v>
      </c>
      <c r="L1847" s="43" t="s">
        <v>2982</v>
      </c>
      <c r="M1847" s="11" t="str">
        <f>VLOOKUP(N1847,'Mã NV'!$A$3:$B$196,2,0)</f>
        <v>BU37</v>
      </c>
      <c r="N1847" s="304" t="s">
        <v>2983</v>
      </c>
      <c r="O1847" s="380" t="str">
        <f>VLOOKUP(B1847,'Tổng hợp (3)'!$C$4:$E$985,3,0)</f>
        <v>25/10/2022</v>
      </c>
      <c r="P1847" s="378"/>
      <c r="Q1847" s="43"/>
      <c r="R1847" s="193"/>
    </row>
    <row r="1848" spans="1:18" ht="35.25" hidden="1" customHeight="1">
      <c r="A1848" s="15">
        <f t="shared" si="28"/>
        <v>1838</v>
      </c>
      <c r="B1848" s="146" t="s">
        <v>2875</v>
      </c>
      <c r="C1848" s="64" t="s">
        <v>2876</v>
      </c>
      <c r="D1848" s="19"/>
      <c r="E1848" s="19"/>
      <c r="F1848" s="19"/>
      <c r="G1848" s="64"/>
      <c r="H1848" s="141"/>
      <c r="I1848" s="158" t="s">
        <v>89</v>
      </c>
      <c r="J1848" s="158">
        <v>1</v>
      </c>
      <c r="K1848" s="142" t="s">
        <v>730</v>
      </c>
      <c r="L1848" s="43" t="s">
        <v>2982</v>
      </c>
      <c r="M1848" s="11" t="str">
        <f>VLOOKUP(N1848,'Mã NV'!$A$3:$B$196,2,0)</f>
        <v>BU37</v>
      </c>
      <c r="N1848" s="304" t="s">
        <v>2983</v>
      </c>
      <c r="O1848" s="389">
        <v>44862</v>
      </c>
      <c r="P1848" s="371"/>
      <c r="Q1848" s="43"/>
      <c r="R1848" s="193"/>
    </row>
    <row r="1849" spans="1:18" ht="35.25" hidden="1" customHeight="1">
      <c r="A1849" s="15">
        <f t="shared" si="28"/>
        <v>1839</v>
      </c>
      <c r="B1849" s="146" t="s">
        <v>2877</v>
      </c>
      <c r="C1849" s="64" t="s">
        <v>2876</v>
      </c>
      <c r="D1849" s="19"/>
      <c r="E1849" s="19"/>
      <c r="F1849" s="19"/>
      <c r="G1849" s="64"/>
      <c r="H1849" s="141"/>
      <c r="I1849" s="158" t="s">
        <v>89</v>
      </c>
      <c r="J1849" s="158">
        <v>1</v>
      </c>
      <c r="K1849" s="142" t="s">
        <v>730</v>
      </c>
      <c r="L1849" s="43" t="s">
        <v>2982</v>
      </c>
      <c r="M1849" s="11" t="str">
        <f>VLOOKUP(N1849,'Mã NV'!$A$3:$B$196,2,0)</f>
        <v>BU37</v>
      </c>
      <c r="N1849" s="304" t="s">
        <v>2983</v>
      </c>
      <c r="O1849" s="389">
        <v>44862</v>
      </c>
      <c r="P1849" s="371"/>
      <c r="Q1849" s="43"/>
      <c r="R1849" s="193"/>
    </row>
    <row r="1850" spans="1:18" ht="35.25" hidden="1" customHeight="1">
      <c r="A1850" s="15">
        <f t="shared" si="28"/>
        <v>1840</v>
      </c>
      <c r="B1850" s="146" t="s">
        <v>2878</v>
      </c>
      <c r="C1850" s="64" t="s">
        <v>2876</v>
      </c>
      <c r="D1850" s="19"/>
      <c r="E1850" s="19"/>
      <c r="F1850" s="19"/>
      <c r="G1850" s="64"/>
      <c r="H1850" s="141"/>
      <c r="I1850" s="158" t="s">
        <v>89</v>
      </c>
      <c r="J1850" s="158">
        <v>1</v>
      </c>
      <c r="K1850" s="142" t="s">
        <v>730</v>
      </c>
      <c r="L1850" s="43" t="s">
        <v>2982</v>
      </c>
      <c r="M1850" s="11" t="str">
        <f>VLOOKUP(N1850,'Mã NV'!$A$3:$B$196,2,0)</f>
        <v>BU37</v>
      </c>
      <c r="N1850" s="304" t="s">
        <v>2983</v>
      </c>
      <c r="O1850" s="389">
        <v>44862</v>
      </c>
      <c r="P1850" s="371"/>
      <c r="Q1850" s="43"/>
      <c r="R1850" s="193"/>
    </row>
    <row r="1851" spans="1:18" ht="35.25" hidden="1" customHeight="1">
      <c r="A1851" s="15">
        <f t="shared" si="28"/>
        <v>1841</v>
      </c>
      <c r="B1851" s="146" t="s">
        <v>2879</v>
      </c>
      <c r="C1851" s="64" t="s">
        <v>2876</v>
      </c>
      <c r="D1851" s="19"/>
      <c r="E1851" s="19"/>
      <c r="F1851" s="19"/>
      <c r="G1851" s="64"/>
      <c r="H1851" s="141"/>
      <c r="I1851" s="158" t="s">
        <v>89</v>
      </c>
      <c r="J1851" s="158">
        <v>1</v>
      </c>
      <c r="K1851" s="142" t="s">
        <v>730</v>
      </c>
      <c r="L1851" s="43" t="s">
        <v>2982</v>
      </c>
      <c r="M1851" s="11" t="str">
        <f>VLOOKUP(N1851,'Mã NV'!$A$3:$B$196,2,0)</f>
        <v>BU37</v>
      </c>
      <c r="N1851" s="304" t="s">
        <v>2983</v>
      </c>
      <c r="O1851" s="389">
        <v>44862</v>
      </c>
      <c r="P1851" s="371"/>
      <c r="Q1851" s="43"/>
      <c r="R1851" s="193"/>
    </row>
    <row r="1852" spans="1:18" ht="35.25" hidden="1" customHeight="1">
      <c r="A1852" s="15">
        <f t="shared" si="28"/>
        <v>1842</v>
      </c>
      <c r="B1852" s="146" t="s">
        <v>2880</v>
      </c>
      <c r="C1852" s="64" t="s">
        <v>2876</v>
      </c>
      <c r="D1852" s="19"/>
      <c r="E1852" s="19"/>
      <c r="F1852" s="19"/>
      <c r="G1852" s="64"/>
      <c r="H1852" s="141"/>
      <c r="I1852" s="158" t="s">
        <v>89</v>
      </c>
      <c r="J1852" s="158">
        <v>1</v>
      </c>
      <c r="K1852" s="142" t="s">
        <v>730</v>
      </c>
      <c r="L1852" s="43" t="s">
        <v>2982</v>
      </c>
      <c r="M1852" s="11" t="str">
        <f>VLOOKUP(N1852,'Mã NV'!$A$3:$B$196,2,0)</f>
        <v>BU37</v>
      </c>
      <c r="N1852" s="304" t="s">
        <v>2983</v>
      </c>
      <c r="O1852" s="389">
        <v>44862</v>
      </c>
      <c r="P1852" s="371"/>
      <c r="Q1852" s="43"/>
      <c r="R1852" s="193"/>
    </row>
    <row r="1853" spans="1:18" ht="35.25" hidden="1" customHeight="1">
      <c r="A1853" s="15">
        <f t="shared" si="28"/>
        <v>1843</v>
      </c>
      <c r="B1853" s="141" t="s">
        <v>2881</v>
      </c>
      <c r="C1853" s="64" t="s">
        <v>2882</v>
      </c>
      <c r="D1853" s="19"/>
      <c r="E1853" s="19"/>
      <c r="F1853" s="19"/>
      <c r="G1853" s="64"/>
      <c r="H1853" s="141"/>
      <c r="I1853" s="158" t="s">
        <v>169</v>
      </c>
      <c r="J1853" s="158">
        <v>4</v>
      </c>
      <c r="K1853" s="142" t="s">
        <v>730</v>
      </c>
      <c r="L1853" s="43" t="s">
        <v>2982</v>
      </c>
      <c r="M1853" s="11" t="str">
        <f>VLOOKUP(N1853,'Mã NV'!$A$3:$B$196,2,0)</f>
        <v>BU37</v>
      </c>
      <c r="N1853" s="304" t="s">
        <v>2983</v>
      </c>
      <c r="O1853" s="380">
        <f>VLOOKUP(B1853,'Tổng hợp (3)'!$C$4:$E$985,3,0)</f>
        <v>44862</v>
      </c>
      <c r="P1853" s="378"/>
      <c r="Q1853" s="43"/>
      <c r="R1853" s="193"/>
    </row>
    <row r="1854" spans="1:18" ht="35.25" hidden="1" customHeight="1">
      <c r="A1854" s="15">
        <f t="shared" si="28"/>
        <v>1844</v>
      </c>
      <c r="B1854" s="141" t="s">
        <v>2883</v>
      </c>
      <c r="C1854" s="64" t="s">
        <v>2884</v>
      </c>
      <c r="D1854" s="19"/>
      <c r="E1854" s="19"/>
      <c r="F1854" s="19"/>
      <c r="G1854" s="64"/>
      <c r="H1854" s="141"/>
      <c r="I1854" s="158" t="s">
        <v>18</v>
      </c>
      <c r="J1854" s="158">
        <v>1</v>
      </c>
      <c r="K1854" s="142" t="s">
        <v>730</v>
      </c>
      <c r="L1854" s="43" t="s">
        <v>2982</v>
      </c>
      <c r="M1854" s="11" t="str">
        <f>VLOOKUP(N1854,'Mã NV'!$A$3:$B$196,2,0)</f>
        <v>BU37</v>
      </c>
      <c r="N1854" s="304" t="s">
        <v>2983</v>
      </c>
      <c r="O1854" s="380">
        <f>VLOOKUP(B1854,'Tổng hợp (3)'!$C$4:$E$985,3,0)</f>
        <v>44862</v>
      </c>
      <c r="P1854" s="378"/>
      <c r="Q1854" s="43"/>
      <c r="R1854" s="193"/>
    </row>
    <row r="1855" spans="1:18" ht="35.25" hidden="1" customHeight="1">
      <c r="A1855" s="15">
        <f t="shared" si="28"/>
        <v>1845</v>
      </c>
      <c r="B1855" s="141" t="s">
        <v>2885</v>
      </c>
      <c r="C1855" s="64" t="s">
        <v>2886</v>
      </c>
      <c r="D1855" s="19"/>
      <c r="E1855" s="19"/>
      <c r="F1855" s="19"/>
      <c r="G1855" s="64"/>
      <c r="H1855" s="141"/>
      <c r="I1855" s="158" t="s">
        <v>18</v>
      </c>
      <c r="J1855" s="158">
        <v>1</v>
      </c>
      <c r="K1855" s="142" t="s">
        <v>730</v>
      </c>
      <c r="L1855" s="43" t="s">
        <v>2982</v>
      </c>
      <c r="M1855" s="11" t="str">
        <f>VLOOKUP(N1855,'Mã NV'!$A$3:$B$196,2,0)</f>
        <v>BU37</v>
      </c>
      <c r="N1855" s="304" t="s">
        <v>2983</v>
      </c>
      <c r="O1855" s="380">
        <f>VLOOKUP(B1855,'Tổng hợp (3)'!$C$4:$E$985,3,0)</f>
        <v>44862</v>
      </c>
      <c r="P1855" s="378"/>
      <c r="Q1855" s="43"/>
      <c r="R1855" s="193"/>
    </row>
    <row r="1856" spans="1:18" ht="35.25" hidden="1" customHeight="1">
      <c r="A1856" s="15">
        <f t="shared" si="28"/>
        <v>1846</v>
      </c>
      <c r="B1856" s="141" t="s">
        <v>2887</v>
      </c>
      <c r="C1856" s="64" t="s">
        <v>2888</v>
      </c>
      <c r="D1856" s="19"/>
      <c r="E1856" s="19"/>
      <c r="F1856" s="19"/>
      <c r="G1856" s="64"/>
      <c r="H1856" s="141"/>
      <c r="I1856" s="158" t="s">
        <v>181</v>
      </c>
      <c r="J1856" s="158">
        <v>1</v>
      </c>
      <c r="K1856" s="142" t="s">
        <v>730</v>
      </c>
      <c r="L1856" s="43" t="s">
        <v>2982</v>
      </c>
      <c r="M1856" s="11" t="str">
        <f>VLOOKUP(N1856,'Mã NV'!$A$3:$B$196,2,0)</f>
        <v>BU37</v>
      </c>
      <c r="N1856" s="304" t="s">
        <v>2983</v>
      </c>
      <c r="O1856" s="380">
        <f>VLOOKUP(B1856,'Tổng hợp (3)'!$C$4:$E$985,3,0)</f>
        <v>44862</v>
      </c>
      <c r="P1856" s="378"/>
      <c r="Q1856" s="43"/>
      <c r="R1856" s="169" t="s">
        <v>2987</v>
      </c>
    </row>
    <row r="1857" spans="1:18" ht="35.25" hidden="1" customHeight="1">
      <c r="A1857" s="15">
        <f t="shared" si="28"/>
        <v>1847</v>
      </c>
      <c r="B1857" s="141" t="s">
        <v>2889</v>
      </c>
      <c r="C1857" s="64" t="s">
        <v>1071</v>
      </c>
      <c r="D1857" s="19"/>
      <c r="E1857" s="19"/>
      <c r="F1857" s="19"/>
      <c r="G1857" s="64"/>
      <c r="H1857" s="141"/>
      <c r="I1857" s="158" t="s">
        <v>18</v>
      </c>
      <c r="J1857" s="158">
        <v>1</v>
      </c>
      <c r="K1857" s="142" t="s">
        <v>730</v>
      </c>
      <c r="L1857" s="43" t="s">
        <v>2982</v>
      </c>
      <c r="M1857" s="11" t="str">
        <f>VLOOKUP(N1857,'Mã NV'!$A$3:$B$196,2,0)</f>
        <v>BU37</v>
      </c>
      <c r="N1857" s="304" t="s">
        <v>2983</v>
      </c>
      <c r="O1857" s="380">
        <f>VLOOKUP(B1857,'Tổng hợp (3)'!$C$4:$E$985,3,0)</f>
        <v>44867</v>
      </c>
      <c r="P1857" s="378"/>
      <c r="Q1857" s="43"/>
      <c r="R1857" s="193"/>
    </row>
    <row r="1858" spans="1:18" ht="35.25" hidden="1" customHeight="1">
      <c r="A1858" s="15">
        <f t="shared" si="28"/>
        <v>1848</v>
      </c>
      <c r="B1858" s="146" t="s">
        <v>2890</v>
      </c>
      <c r="C1858" s="64" t="s">
        <v>2891</v>
      </c>
      <c r="D1858" s="19"/>
      <c r="E1858" s="19"/>
      <c r="F1858" s="19"/>
      <c r="G1858" s="64"/>
      <c r="H1858" s="141"/>
      <c r="I1858" s="158" t="s">
        <v>18</v>
      </c>
      <c r="J1858" s="158">
        <v>1</v>
      </c>
      <c r="K1858" s="142" t="s">
        <v>730</v>
      </c>
      <c r="L1858" s="43" t="s">
        <v>2982</v>
      </c>
      <c r="M1858" s="11" t="str">
        <f>VLOOKUP(N1858,'Mã NV'!$A$3:$B$196,2,0)</f>
        <v>BU37</v>
      </c>
      <c r="N1858" s="304" t="s">
        <v>2983</v>
      </c>
      <c r="O1858" s="380">
        <f>VLOOKUP(B1858,'Tổng hợp (3)'!$C$4:$E$985,3,0)</f>
        <v>44868</v>
      </c>
      <c r="P1858" s="378"/>
      <c r="Q1858" s="43"/>
      <c r="R1858" s="156"/>
    </row>
    <row r="1859" spans="1:18" ht="35.25" hidden="1" customHeight="1">
      <c r="A1859" s="15">
        <f t="shared" si="28"/>
        <v>1849</v>
      </c>
      <c r="B1859" s="66" t="s">
        <v>2892</v>
      </c>
      <c r="C1859" s="46" t="s">
        <v>2893</v>
      </c>
      <c r="D1859" s="19"/>
      <c r="E1859" s="19"/>
      <c r="F1859" s="19"/>
      <c r="G1859" s="64"/>
      <c r="H1859" s="141"/>
      <c r="I1859" s="158" t="s">
        <v>18</v>
      </c>
      <c r="J1859" s="158">
        <v>1</v>
      </c>
      <c r="K1859" s="142" t="s">
        <v>730</v>
      </c>
      <c r="L1859" s="43" t="s">
        <v>2982</v>
      </c>
      <c r="M1859" s="11" t="str">
        <f>VLOOKUP(N1859,'Mã NV'!$A$3:$B$196,2,0)</f>
        <v>BU37</v>
      </c>
      <c r="N1859" s="304" t="s">
        <v>2983</v>
      </c>
      <c r="O1859" s="380">
        <f>VLOOKUP(B1859,'Tổng hợp (3)'!$C$4:$E$985,3,0)</f>
        <v>44868</v>
      </c>
      <c r="P1859" s="378"/>
      <c r="Q1859" s="43"/>
      <c r="R1859" s="169" t="s">
        <v>2988</v>
      </c>
    </row>
    <row r="1860" spans="1:18" ht="35.25" hidden="1" customHeight="1">
      <c r="A1860" s="15">
        <f t="shared" si="28"/>
        <v>1850</v>
      </c>
      <c r="B1860" s="146" t="s">
        <v>2894</v>
      </c>
      <c r="C1860" s="64" t="s">
        <v>2895</v>
      </c>
      <c r="D1860" s="19"/>
      <c r="E1860" s="19"/>
      <c r="F1860" s="19"/>
      <c r="G1860" s="64"/>
      <c r="H1860" s="141"/>
      <c r="I1860" s="158" t="s">
        <v>18</v>
      </c>
      <c r="J1860" s="158">
        <v>1</v>
      </c>
      <c r="K1860" s="142" t="s">
        <v>730</v>
      </c>
      <c r="L1860" s="43" t="s">
        <v>2982</v>
      </c>
      <c r="M1860" s="11" t="str">
        <f>VLOOKUP(N1860,'Mã NV'!$A$3:$B$196,2,0)</f>
        <v>BU37</v>
      </c>
      <c r="N1860" s="304" t="s">
        <v>2983</v>
      </c>
      <c r="O1860" s="380">
        <f>VLOOKUP(B1860,'Tổng hợp (3)'!$C$4:$E$985,3,0)</f>
        <v>44868</v>
      </c>
      <c r="P1860" s="378"/>
      <c r="Q1860" s="43"/>
      <c r="R1860" s="156"/>
    </row>
    <row r="1861" spans="1:18" ht="35.25" hidden="1" customHeight="1">
      <c r="A1861" s="15">
        <f t="shared" si="28"/>
        <v>1851</v>
      </c>
      <c r="B1861" s="146" t="s">
        <v>2896</v>
      </c>
      <c r="C1861" s="64" t="s">
        <v>2897</v>
      </c>
      <c r="D1861" s="19"/>
      <c r="E1861" s="19"/>
      <c r="F1861" s="19"/>
      <c r="G1861" s="64"/>
      <c r="H1861" s="141"/>
      <c r="I1861" s="158" t="s">
        <v>18</v>
      </c>
      <c r="J1861" s="158">
        <v>1</v>
      </c>
      <c r="K1861" s="142" t="s">
        <v>730</v>
      </c>
      <c r="L1861" s="43" t="s">
        <v>2982</v>
      </c>
      <c r="M1861" s="11" t="str">
        <f>VLOOKUP(N1861,'Mã NV'!$A$3:$B$196,2,0)</f>
        <v>BU37</v>
      </c>
      <c r="N1861" s="304" t="s">
        <v>2983</v>
      </c>
      <c r="O1861" s="380">
        <f>VLOOKUP(B1861,'Tổng hợp (3)'!$C$4:$E$985,3,0)</f>
        <v>44868</v>
      </c>
      <c r="P1861" s="378"/>
      <c r="Q1861" s="43"/>
      <c r="R1861" s="156"/>
    </row>
    <row r="1862" spans="1:18" ht="35.25" hidden="1" customHeight="1">
      <c r="A1862" s="15">
        <f t="shared" si="28"/>
        <v>1852</v>
      </c>
      <c r="B1862" s="141" t="s">
        <v>2898</v>
      </c>
      <c r="C1862" s="64" t="s">
        <v>2899</v>
      </c>
      <c r="D1862" s="19"/>
      <c r="E1862" s="19"/>
      <c r="F1862" s="19"/>
      <c r="G1862" s="64"/>
      <c r="H1862" s="141"/>
      <c r="I1862" s="158" t="s">
        <v>181</v>
      </c>
      <c r="J1862" s="158">
        <v>1</v>
      </c>
      <c r="K1862" s="142" t="s">
        <v>730</v>
      </c>
      <c r="L1862" s="43" t="s">
        <v>2982</v>
      </c>
      <c r="M1862" s="11" t="str">
        <f>VLOOKUP(N1862,'Mã NV'!$A$3:$B$196,2,0)</f>
        <v>BU37</v>
      </c>
      <c r="N1862" s="304" t="s">
        <v>2983</v>
      </c>
      <c r="O1862" s="380">
        <f>VLOOKUP(B1862,'Tổng hợp (3)'!$C$4:$E$985,3,0)</f>
        <v>44869</v>
      </c>
      <c r="P1862" s="378"/>
      <c r="Q1862" s="43"/>
      <c r="R1862" s="193"/>
    </row>
    <row r="1863" spans="1:18" ht="35.25" hidden="1" customHeight="1">
      <c r="A1863" s="15">
        <f t="shared" si="28"/>
        <v>1853</v>
      </c>
      <c r="B1863" s="141" t="s">
        <v>2900</v>
      </c>
      <c r="C1863" s="64" t="s">
        <v>2901</v>
      </c>
      <c r="D1863" s="19"/>
      <c r="E1863" s="19"/>
      <c r="F1863" s="19"/>
      <c r="G1863" s="64"/>
      <c r="H1863" s="141"/>
      <c r="I1863" s="158" t="s">
        <v>18</v>
      </c>
      <c r="J1863" s="158">
        <v>1</v>
      </c>
      <c r="K1863" s="142" t="s">
        <v>730</v>
      </c>
      <c r="L1863" s="43" t="s">
        <v>2982</v>
      </c>
      <c r="M1863" s="11" t="str">
        <f>VLOOKUP(N1863,'Mã NV'!$A$3:$B$196,2,0)</f>
        <v>BU37</v>
      </c>
      <c r="N1863" s="304" t="s">
        <v>2983</v>
      </c>
      <c r="O1863" s="380">
        <f>VLOOKUP(B1863,'Tổng hợp (3)'!$C$4:$E$985,3,0)</f>
        <v>44872</v>
      </c>
      <c r="P1863" s="378"/>
      <c r="Q1863" s="43"/>
      <c r="R1863" s="193"/>
    </row>
    <row r="1864" spans="1:18" ht="35.25" hidden="1" customHeight="1">
      <c r="A1864" s="15">
        <f t="shared" si="28"/>
        <v>1854</v>
      </c>
      <c r="B1864" s="141" t="s">
        <v>27</v>
      </c>
      <c r="C1864" s="64" t="s">
        <v>2902</v>
      </c>
      <c r="D1864" s="19"/>
      <c r="E1864" s="19"/>
      <c r="F1864" s="19"/>
      <c r="G1864" s="64"/>
      <c r="H1864" s="141"/>
      <c r="I1864" s="158" t="s">
        <v>181</v>
      </c>
      <c r="J1864" s="158">
        <v>1</v>
      </c>
      <c r="K1864" s="142" t="s">
        <v>730</v>
      </c>
      <c r="L1864" s="43" t="s">
        <v>2982</v>
      </c>
      <c r="M1864" s="11" t="str">
        <f>VLOOKUP(N1864,'Mã NV'!$A$3:$B$196,2,0)</f>
        <v>BU37</v>
      </c>
      <c r="N1864" s="304" t="s">
        <v>2983</v>
      </c>
      <c r="O1864" s="380">
        <f>VLOOKUP(B1864,'Tổng hợp (3)'!$C$4:$E$985,3,0)</f>
        <v>44872</v>
      </c>
      <c r="P1864" s="378"/>
      <c r="Q1864" s="43"/>
      <c r="R1864" s="156"/>
    </row>
    <row r="1865" spans="1:18" ht="35.25" hidden="1" customHeight="1">
      <c r="A1865" s="15">
        <f t="shared" si="28"/>
        <v>1855</v>
      </c>
      <c r="B1865" s="141" t="s">
        <v>185</v>
      </c>
      <c r="C1865" s="64" t="s">
        <v>184</v>
      </c>
      <c r="D1865" s="19"/>
      <c r="E1865" s="19"/>
      <c r="F1865" s="19"/>
      <c r="G1865" s="64"/>
      <c r="H1865" s="141"/>
      <c r="I1865" s="158" t="s">
        <v>18</v>
      </c>
      <c r="J1865" s="158">
        <v>8</v>
      </c>
      <c r="K1865" s="142" t="s">
        <v>730</v>
      </c>
      <c r="L1865" s="43" t="s">
        <v>2982</v>
      </c>
      <c r="M1865" s="11" t="str">
        <f>VLOOKUP(N1865,'Mã NV'!$A$3:$B$196,2,0)</f>
        <v>BU37</v>
      </c>
      <c r="N1865" s="304" t="s">
        <v>2983</v>
      </c>
      <c r="O1865" s="380">
        <f>VLOOKUP(B1865,'Tổng hợp (3)'!$C$4:$E$985,3,0)</f>
        <v>44868</v>
      </c>
      <c r="P1865" s="378"/>
      <c r="Q1865" s="43"/>
      <c r="R1865" s="156"/>
    </row>
    <row r="1866" spans="1:18" ht="35.25" hidden="1" customHeight="1">
      <c r="A1866" s="15">
        <f t="shared" si="28"/>
        <v>1856</v>
      </c>
      <c r="B1866" s="141" t="s">
        <v>2903</v>
      </c>
      <c r="C1866" s="64" t="s">
        <v>2904</v>
      </c>
      <c r="D1866" s="19"/>
      <c r="E1866" s="19"/>
      <c r="F1866" s="19"/>
      <c r="G1866" s="64"/>
      <c r="H1866" s="141"/>
      <c r="I1866" s="158" t="s">
        <v>18</v>
      </c>
      <c r="J1866" s="158">
        <v>1</v>
      </c>
      <c r="K1866" s="142" t="s">
        <v>730</v>
      </c>
      <c r="L1866" s="43" t="s">
        <v>2982</v>
      </c>
      <c r="M1866" s="11" t="str">
        <f>VLOOKUP(N1866,'Mã NV'!$A$3:$B$196,2,0)</f>
        <v>BU37</v>
      </c>
      <c r="N1866" s="304" t="s">
        <v>2983</v>
      </c>
      <c r="O1866" s="380">
        <f>VLOOKUP(B1866,'Tổng hợp (3)'!$C$4:$E$985,3,0)</f>
        <v>44869</v>
      </c>
      <c r="P1866" s="378"/>
      <c r="Q1866" s="43"/>
      <c r="R1866" s="156" t="s">
        <v>176</v>
      </c>
    </row>
    <row r="1867" spans="1:18" ht="35.25" hidden="1" customHeight="1">
      <c r="A1867" s="15">
        <f t="shared" si="28"/>
        <v>1857</v>
      </c>
      <c r="B1867" s="141" t="s">
        <v>2905</v>
      </c>
      <c r="C1867" s="64" t="s">
        <v>2906</v>
      </c>
      <c r="D1867" s="19"/>
      <c r="E1867" s="19"/>
      <c r="F1867" s="19"/>
      <c r="G1867" s="64"/>
      <c r="H1867" s="141"/>
      <c r="I1867" s="158" t="s">
        <v>18</v>
      </c>
      <c r="J1867" s="158">
        <v>1</v>
      </c>
      <c r="K1867" s="142" t="s">
        <v>730</v>
      </c>
      <c r="L1867" s="43" t="s">
        <v>2982</v>
      </c>
      <c r="M1867" s="11" t="str">
        <f>VLOOKUP(N1867,'Mã NV'!$A$3:$B$196,2,0)</f>
        <v>BU37</v>
      </c>
      <c r="N1867" s="304" t="s">
        <v>2983</v>
      </c>
      <c r="O1867" s="380">
        <f>VLOOKUP(B1867,'Tổng hợp (3)'!$C$4:$E$985,3,0)</f>
        <v>44869</v>
      </c>
      <c r="P1867" s="378"/>
      <c r="Q1867" s="43"/>
      <c r="R1867" s="156" t="s">
        <v>176</v>
      </c>
    </row>
    <row r="1868" spans="1:18" ht="35.25" hidden="1" customHeight="1">
      <c r="A1868" s="15">
        <f t="shared" si="28"/>
        <v>1858</v>
      </c>
      <c r="B1868" s="141" t="s">
        <v>2907</v>
      </c>
      <c r="C1868" s="146" t="s">
        <v>2908</v>
      </c>
      <c r="D1868" s="19"/>
      <c r="E1868" s="19"/>
      <c r="F1868" s="19"/>
      <c r="G1868" s="64"/>
      <c r="H1868" s="141"/>
      <c r="I1868" s="158" t="s">
        <v>18</v>
      </c>
      <c r="J1868" s="158">
        <v>1</v>
      </c>
      <c r="K1868" s="142" t="s">
        <v>730</v>
      </c>
      <c r="L1868" s="43" t="s">
        <v>2982</v>
      </c>
      <c r="M1868" s="11" t="str">
        <f>VLOOKUP(N1868,'Mã NV'!$A$3:$B$196,2,0)</f>
        <v>BU37</v>
      </c>
      <c r="N1868" s="304" t="s">
        <v>2983</v>
      </c>
      <c r="O1868" s="380">
        <f>VLOOKUP(B1868,'Tổng hợp (3)'!$C$4:$E$985,3,0)</f>
        <v>44461</v>
      </c>
      <c r="P1868" s="378"/>
      <c r="Q1868" s="43"/>
      <c r="R1868" s="156"/>
    </row>
    <row r="1869" spans="1:18" ht="35.25" hidden="1" customHeight="1">
      <c r="A1869" s="15">
        <f t="shared" si="28"/>
        <v>1859</v>
      </c>
      <c r="B1869" s="141" t="s">
        <v>2909</v>
      </c>
      <c r="C1869" s="146" t="s">
        <v>2910</v>
      </c>
      <c r="D1869" s="19"/>
      <c r="E1869" s="19"/>
      <c r="F1869" s="19"/>
      <c r="G1869" s="64"/>
      <c r="H1869" s="141"/>
      <c r="I1869" s="158" t="s">
        <v>18</v>
      </c>
      <c r="J1869" s="158">
        <v>1</v>
      </c>
      <c r="K1869" s="142" t="s">
        <v>730</v>
      </c>
      <c r="L1869" s="43" t="s">
        <v>2982</v>
      </c>
      <c r="M1869" s="11" t="str">
        <f>VLOOKUP(N1869,'Mã NV'!$A$3:$B$196,2,0)</f>
        <v>BU37</v>
      </c>
      <c r="N1869" s="304" t="s">
        <v>2983</v>
      </c>
      <c r="O1869" s="380">
        <f>VLOOKUP(B1869,'Tổng hợp (3)'!$C$4:$E$985,3,0)</f>
        <v>44467</v>
      </c>
      <c r="P1869" s="378"/>
      <c r="Q1869" s="43"/>
      <c r="R1869" s="156"/>
    </row>
    <row r="1870" spans="1:18" ht="35.25" hidden="1" customHeight="1">
      <c r="A1870" s="15">
        <f t="shared" si="28"/>
        <v>1860</v>
      </c>
      <c r="B1870" s="141"/>
      <c r="C1870" s="64" t="s">
        <v>2911</v>
      </c>
      <c r="D1870" s="19"/>
      <c r="E1870" s="19"/>
      <c r="F1870" s="19"/>
      <c r="G1870" s="64"/>
      <c r="H1870" s="141"/>
      <c r="I1870" s="158" t="s">
        <v>18</v>
      </c>
      <c r="J1870" s="158">
        <v>2</v>
      </c>
      <c r="K1870" s="142" t="s">
        <v>730</v>
      </c>
      <c r="L1870" s="43" t="s">
        <v>2982</v>
      </c>
      <c r="M1870" s="11" t="str">
        <f>VLOOKUP(N1870,'Mã NV'!$A$3:$B$196,2,0)</f>
        <v>BU37</v>
      </c>
      <c r="N1870" s="304" t="s">
        <v>2983</v>
      </c>
      <c r="O1870" s="382" t="s">
        <v>4267</v>
      </c>
      <c r="P1870" s="371"/>
      <c r="Q1870" s="43"/>
      <c r="R1870" s="169" t="s">
        <v>2989</v>
      </c>
    </row>
    <row r="1871" spans="1:18" ht="35.25" hidden="1" customHeight="1">
      <c r="A1871" s="15">
        <f t="shared" si="28"/>
        <v>1861</v>
      </c>
      <c r="B1871" s="141"/>
      <c r="C1871" s="64" t="s">
        <v>2912</v>
      </c>
      <c r="D1871" s="19"/>
      <c r="E1871" s="19"/>
      <c r="F1871" s="19"/>
      <c r="G1871" s="64"/>
      <c r="H1871" s="141"/>
      <c r="I1871" s="158" t="s">
        <v>18</v>
      </c>
      <c r="J1871" s="158">
        <v>1</v>
      </c>
      <c r="K1871" s="142" t="s">
        <v>730</v>
      </c>
      <c r="L1871" s="43" t="s">
        <v>2982</v>
      </c>
      <c r="M1871" s="11" t="str">
        <f>VLOOKUP(N1871,'Mã NV'!$A$3:$B$196,2,0)</f>
        <v>BU37</v>
      </c>
      <c r="N1871" s="304" t="s">
        <v>2983</v>
      </c>
      <c r="O1871" s="382" t="s">
        <v>4267</v>
      </c>
      <c r="P1871" s="371"/>
      <c r="Q1871" s="43"/>
      <c r="R1871" s="156"/>
    </row>
    <row r="1872" spans="1:18" ht="35.25" hidden="1" customHeight="1">
      <c r="A1872" s="15">
        <f t="shared" si="28"/>
        <v>1862</v>
      </c>
      <c r="B1872" s="141"/>
      <c r="C1872" s="64" t="s">
        <v>2913</v>
      </c>
      <c r="D1872" s="19"/>
      <c r="E1872" s="19"/>
      <c r="F1872" s="19"/>
      <c r="G1872" s="64"/>
      <c r="H1872" s="141"/>
      <c r="I1872" s="158" t="s">
        <v>18</v>
      </c>
      <c r="J1872" s="158">
        <v>2</v>
      </c>
      <c r="K1872" s="142" t="s">
        <v>730</v>
      </c>
      <c r="L1872" s="43" t="s">
        <v>2982</v>
      </c>
      <c r="M1872" s="11" t="str">
        <f>VLOOKUP(N1872,'Mã NV'!$A$3:$B$196,2,0)</f>
        <v>BU37</v>
      </c>
      <c r="N1872" s="304" t="s">
        <v>2983</v>
      </c>
      <c r="O1872" s="382" t="s">
        <v>4267</v>
      </c>
      <c r="P1872" s="371"/>
      <c r="Q1872" s="43"/>
      <c r="R1872" s="156"/>
    </row>
    <row r="1873" spans="1:18" ht="35.25" hidden="1" customHeight="1">
      <c r="A1873" s="15">
        <f t="shared" si="28"/>
        <v>1863</v>
      </c>
      <c r="B1873" s="141"/>
      <c r="C1873" s="146" t="s">
        <v>2914</v>
      </c>
      <c r="D1873" s="19"/>
      <c r="E1873" s="19"/>
      <c r="F1873" s="19"/>
      <c r="G1873" s="64"/>
      <c r="H1873" s="141"/>
      <c r="I1873" s="158" t="s">
        <v>18</v>
      </c>
      <c r="J1873" s="158">
        <v>2</v>
      </c>
      <c r="K1873" s="142" t="s">
        <v>730</v>
      </c>
      <c r="L1873" s="43" t="s">
        <v>2982</v>
      </c>
      <c r="M1873" s="11" t="str">
        <f>VLOOKUP(N1873,'Mã NV'!$A$3:$B$196,2,0)</f>
        <v>BU37</v>
      </c>
      <c r="N1873" s="304" t="s">
        <v>2983</v>
      </c>
      <c r="O1873" s="382" t="s">
        <v>4267</v>
      </c>
      <c r="P1873" s="371"/>
      <c r="Q1873" s="43"/>
      <c r="R1873" s="156"/>
    </row>
    <row r="1874" spans="1:18" ht="35.25" hidden="1" customHeight="1">
      <c r="A1874" s="15">
        <f t="shared" si="28"/>
        <v>1864</v>
      </c>
      <c r="B1874" s="141" t="s">
        <v>2915</v>
      </c>
      <c r="C1874" s="64" t="s">
        <v>2916</v>
      </c>
      <c r="D1874" s="19"/>
      <c r="E1874" s="19"/>
      <c r="F1874" s="19"/>
      <c r="G1874" s="64"/>
      <c r="H1874" s="141"/>
      <c r="I1874" s="158" t="s">
        <v>18</v>
      </c>
      <c r="J1874" s="158">
        <v>1</v>
      </c>
      <c r="K1874" s="142" t="s">
        <v>730</v>
      </c>
      <c r="L1874" s="43" t="s">
        <v>2982</v>
      </c>
      <c r="M1874" s="11" t="str">
        <f>VLOOKUP(N1874,'Mã NV'!$A$3:$B$196,2,0)</f>
        <v>BU37</v>
      </c>
      <c r="N1874" s="304" t="s">
        <v>2983</v>
      </c>
      <c r="O1874" s="382" t="s">
        <v>4267</v>
      </c>
      <c r="P1874" s="371"/>
      <c r="Q1874" s="43"/>
      <c r="R1874" s="156"/>
    </row>
    <row r="1875" spans="1:18" ht="35.25" hidden="1" customHeight="1">
      <c r="A1875" s="15">
        <f t="shared" ref="A1875:A1938" si="29">A1874+1</f>
        <v>1865</v>
      </c>
      <c r="B1875" s="141" t="s">
        <v>2917</v>
      </c>
      <c r="C1875" s="64" t="s">
        <v>2918</v>
      </c>
      <c r="D1875" s="19"/>
      <c r="E1875" s="19"/>
      <c r="F1875" s="19"/>
      <c r="G1875" s="64"/>
      <c r="H1875" s="141"/>
      <c r="I1875" s="158" t="s">
        <v>18</v>
      </c>
      <c r="J1875" s="158">
        <v>1</v>
      </c>
      <c r="K1875" s="142" t="s">
        <v>730</v>
      </c>
      <c r="L1875" s="43" t="s">
        <v>2982</v>
      </c>
      <c r="M1875" s="11" t="str">
        <f>VLOOKUP(N1875,'Mã NV'!$A$3:$B$196,2,0)</f>
        <v>BU37</v>
      </c>
      <c r="N1875" s="304" t="s">
        <v>2983</v>
      </c>
      <c r="O1875" s="382" t="s">
        <v>4267</v>
      </c>
      <c r="P1875" s="371"/>
      <c r="Q1875" s="43"/>
      <c r="R1875" s="156"/>
    </row>
    <row r="1876" spans="1:18" ht="35.25" hidden="1" customHeight="1">
      <c r="A1876" s="15">
        <f t="shared" si="29"/>
        <v>1866</v>
      </c>
      <c r="B1876" s="141" t="s">
        <v>2919</v>
      </c>
      <c r="C1876" s="64" t="s">
        <v>2920</v>
      </c>
      <c r="D1876" s="19"/>
      <c r="E1876" s="19"/>
      <c r="F1876" s="19"/>
      <c r="G1876" s="64"/>
      <c r="H1876" s="141"/>
      <c r="I1876" s="158" t="s">
        <v>18</v>
      </c>
      <c r="J1876" s="158">
        <v>1</v>
      </c>
      <c r="K1876" s="142" t="s">
        <v>730</v>
      </c>
      <c r="L1876" s="43" t="s">
        <v>2982</v>
      </c>
      <c r="M1876" s="11" t="str">
        <f>VLOOKUP(N1876,'Mã NV'!$A$3:$B$196,2,0)</f>
        <v>BU37</v>
      </c>
      <c r="N1876" s="304" t="s">
        <v>2983</v>
      </c>
      <c r="O1876" s="382" t="s">
        <v>4267</v>
      </c>
      <c r="P1876" s="371"/>
      <c r="Q1876" s="43"/>
      <c r="R1876" s="169" t="s">
        <v>3221</v>
      </c>
    </row>
    <row r="1877" spans="1:18" ht="35.25" hidden="1" customHeight="1">
      <c r="A1877" s="15">
        <f t="shared" si="29"/>
        <v>1867</v>
      </c>
      <c r="B1877" s="9" t="s">
        <v>2921</v>
      </c>
      <c r="C1877" s="14" t="s">
        <v>2922</v>
      </c>
      <c r="D1877" s="19"/>
      <c r="E1877" s="19"/>
      <c r="F1877" s="19"/>
      <c r="G1877" s="64"/>
      <c r="H1877" s="141"/>
      <c r="I1877" s="158" t="s">
        <v>18</v>
      </c>
      <c r="J1877" s="158">
        <v>1</v>
      </c>
      <c r="K1877" s="142" t="s">
        <v>730</v>
      </c>
      <c r="L1877" s="43" t="s">
        <v>2982</v>
      </c>
      <c r="M1877" s="11" t="str">
        <f>VLOOKUP(N1877,'Mã NV'!$A$3:$B$196,2,0)</f>
        <v>BU37</v>
      </c>
      <c r="N1877" s="304" t="s">
        <v>2983</v>
      </c>
      <c r="O1877" s="380">
        <f>VLOOKUP(B1877,'Tổng hợp (3)'!$C$4:$E$985,3,0)</f>
        <v>44812</v>
      </c>
      <c r="P1877" s="378"/>
      <c r="Q1877" s="43"/>
      <c r="R1877" s="44"/>
    </row>
    <row r="1878" spans="1:18" ht="35.25" hidden="1" customHeight="1">
      <c r="A1878" s="15">
        <f t="shared" si="29"/>
        <v>1868</v>
      </c>
      <c r="B1878" s="9" t="s">
        <v>2923</v>
      </c>
      <c r="C1878" s="14" t="s">
        <v>2924</v>
      </c>
      <c r="D1878" s="19"/>
      <c r="E1878" s="19"/>
      <c r="F1878" s="19"/>
      <c r="G1878" s="64"/>
      <c r="H1878" s="141"/>
      <c r="I1878" s="158" t="s">
        <v>18</v>
      </c>
      <c r="J1878" s="158">
        <v>1</v>
      </c>
      <c r="K1878" s="142" t="s">
        <v>730</v>
      </c>
      <c r="L1878" s="43" t="s">
        <v>2982</v>
      </c>
      <c r="M1878" s="11" t="str">
        <f>VLOOKUP(N1878,'Mã NV'!$A$3:$B$196,2,0)</f>
        <v>BU37</v>
      </c>
      <c r="N1878" s="304" t="s">
        <v>2983</v>
      </c>
      <c r="O1878" s="380">
        <f>VLOOKUP(B1878,'Tổng hợp (3)'!$C$4:$E$985,3,0)</f>
        <v>44812</v>
      </c>
      <c r="P1878" s="378"/>
      <c r="Q1878" s="43"/>
      <c r="R1878" s="44"/>
    </row>
    <row r="1879" spans="1:18" ht="35.25" hidden="1" customHeight="1">
      <c r="A1879" s="15">
        <f t="shared" si="29"/>
        <v>1869</v>
      </c>
      <c r="B1879" s="9" t="s">
        <v>2925</v>
      </c>
      <c r="C1879" s="14" t="s">
        <v>234</v>
      </c>
      <c r="D1879" s="19"/>
      <c r="E1879" s="19"/>
      <c r="F1879" s="19"/>
      <c r="G1879" s="64"/>
      <c r="H1879" s="141"/>
      <c r="I1879" s="158" t="s">
        <v>18</v>
      </c>
      <c r="J1879" s="158">
        <v>1</v>
      </c>
      <c r="K1879" s="142" t="s">
        <v>730</v>
      </c>
      <c r="L1879" s="43" t="s">
        <v>2982</v>
      </c>
      <c r="M1879" s="11" t="str">
        <f>VLOOKUP(N1879,'Mã NV'!$A$3:$B$196,2,0)</f>
        <v>BU37</v>
      </c>
      <c r="N1879" s="304" t="s">
        <v>2983</v>
      </c>
      <c r="O1879" s="380">
        <f>VLOOKUP(B1879,'Tổng hợp (3)'!$C$4:$E$985,3,0)</f>
        <v>44812</v>
      </c>
      <c r="P1879" s="378"/>
      <c r="Q1879" s="43"/>
      <c r="R1879" s="44"/>
    </row>
    <row r="1880" spans="1:18" ht="35.25" hidden="1" customHeight="1">
      <c r="A1880" s="15">
        <f t="shared" si="29"/>
        <v>1870</v>
      </c>
      <c r="B1880" s="9" t="s">
        <v>2926</v>
      </c>
      <c r="C1880" s="14" t="s">
        <v>2927</v>
      </c>
      <c r="D1880" s="19"/>
      <c r="E1880" s="19"/>
      <c r="F1880" s="19"/>
      <c r="G1880" s="64"/>
      <c r="H1880" s="141"/>
      <c r="I1880" s="158" t="s">
        <v>18</v>
      </c>
      <c r="J1880" s="158">
        <v>1</v>
      </c>
      <c r="K1880" s="142" t="s">
        <v>730</v>
      </c>
      <c r="L1880" s="43" t="s">
        <v>2982</v>
      </c>
      <c r="M1880" s="11" t="str">
        <f>VLOOKUP(N1880,'Mã NV'!$A$3:$B$196,2,0)</f>
        <v>BU37</v>
      </c>
      <c r="N1880" s="304" t="s">
        <v>2983</v>
      </c>
      <c r="O1880" s="380">
        <f>VLOOKUP(B1880,'Tổng hợp (3)'!$C$4:$E$985,3,0)</f>
        <v>44867</v>
      </c>
      <c r="P1880" s="378"/>
      <c r="Q1880" s="43"/>
      <c r="R1880" s="44"/>
    </row>
    <row r="1881" spans="1:18" ht="35.25" hidden="1" customHeight="1">
      <c r="A1881" s="15">
        <f t="shared" si="29"/>
        <v>1871</v>
      </c>
      <c r="B1881" s="9" t="s">
        <v>2928</v>
      </c>
      <c r="C1881" s="14" t="s">
        <v>2929</v>
      </c>
      <c r="D1881" s="19"/>
      <c r="E1881" s="19"/>
      <c r="F1881" s="19"/>
      <c r="G1881" s="64"/>
      <c r="H1881" s="141"/>
      <c r="I1881" s="158" t="s">
        <v>18</v>
      </c>
      <c r="J1881" s="158">
        <v>1</v>
      </c>
      <c r="K1881" s="142" t="s">
        <v>730</v>
      </c>
      <c r="L1881" s="43" t="s">
        <v>2982</v>
      </c>
      <c r="M1881" s="11" t="str">
        <f>VLOOKUP(N1881,'Mã NV'!$A$3:$B$196,2,0)</f>
        <v>BU37</v>
      </c>
      <c r="N1881" s="304" t="s">
        <v>2983</v>
      </c>
      <c r="O1881" s="380">
        <f>VLOOKUP(B1881,'Tổng hợp (3)'!$C$4:$E$985,3,0)</f>
        <v>44867</v>
      </c>
      <c r="P1881" s="378"/>
      <c r="Q1881" s="43"/>
      <c r="R1881" s="44"/>
    </row>
    <row r="1882" spans="1:18" ht="35.25" hidden="1" customHeight="1">
      <c r="A1882" s="15">
        <f t="shared" si="29"/>
        <v>1872</v>
      </c>
      <c r="B1882" s="150" t="s">
        <v>2930</v>
      </c>
      <c r="C1882" s="150" t="s">
        <v>2931</v>
      </c>
      <c r="D1882" s="19"/>
      <c r="E1882" s="19"/>
      <c r="F1882" s="19"/>
      <c r="G1882" s="64"/>
      <c r="H1882" s="141"/>
      <c r="I1882" s="158" t="s">
        <v>18</v>
      </c>
      <c r="J1882" s="158">
        <v>1</v>
      </c>
      <c r="K1882" s="142" t="s">
        <v>730</v>
      </c>
      <c r="L1882" s="43" t="s">
        <v>2982</v>
      </c>
      <c r="M1882" s="11" t="str">
        <f>VLOOKUP(N1882,'Mã NV'!$A$3:$B$196,2,0)</f>
        <v>BU37</v>
      </c>
      <c r="N1882" s="304" t="s">
        <v>2983</v>
      </c>
      <c r="O1882" s="380">
        <f>VLOOKUP(B1882,'Tổng hợp (3)'!$C$4:$E$985,3,0)</f>
        <v>44894</v>
      </c>
      <c r="P1882" s="378"/>
      <c r="Q1882" s="43"/>
      <c r="R1882" s="44"/>
    </row>
    <row r="1883" spans="1:18" ht="35.25" hidden="1" customHeight="1">
      <c r="A1883" s="15">
        <f t="shared" si="29"/>
        <v>1873</v>
      </c>
      <c r="B1883" s="150" t="s">
        <v>2932</v>
      </c>
      <c r="C1883" s="150" t="s">
        <v>2933</v>
      </c>
      <c r="D1883" s="19"/>
      <c r="E1883" s="19"/>
      <c r="F1883" s="19"/>
      <c r="G1883" s="64"/>
      <c r="H1883" s="141"/>
      <c r="I1883" s="158" t="s">
        <v>18</v>
      </c>
      <c r="J1883" s="158">
        <v>1</v>
      </c>
      <c r="K1883" s="142" t="s">
        <v>730</v>
      </c>
      <c r="L1883" s="43" t="s">
        <v>2982</v>
      </c>
      <c r="M1883" s="11" t="str">
        <f>VLOOKUP(N1883,'Mã NV'!$A$3:$B$196,2,0)</f>
        <v>BU37</v>
      </c>
      <c r="N1883" s="304" t="s">
        <v>2983</v>
      </c>
      <c r="O1883" s="380">
        <f>VLOOKUP(B1883,'Tổng hợp (3)'!$C$4:$E$985,3,0)</f>
        <v>44902</v>
      </c>
      <c r="P1883" s="378"/>
      <c r="Q1883" s="43"/>
      <c r="R1883" s="44"/>
    </row>
    <row r="1884" spans="1:18" ht="35.25" hidden="1" customHeight="1">
      <c r="A1884" s="15">
        <f t="shared" si="29"/>
        <v>1874</v>
      </c>
      <c r="B1884" s="150" t="s">
        <v>2934</v>
      </c>
      <c r="C1884" s="150" t="s">
        <v>2935</v>
      </c>
      <c r="D1884" s="19"/>
      <c r="E1884" s="19"/>
      <c r="F1884" s="19"/>
      <c r="G1884" s="64"/>
      <c r="H1884" s="141"/>
      <c r="I1884" s="158" t="s">
        <v>18</v>
      </c>
      <c r="J1884" s="158">
        <v>1</v>
      </c>
      <c r="K1884" s="142" t="s">
        <v>730</v>
      </c>
      <c r="L1884" s="43" t="s">
        <v>2982</v>
      </c>
      <c r="M1884" s="11" t="str">
        <f>VLOOKUP(N1884,'Mã NV'!$A$3:$B$196,2,0)</f>
        <v>BU37</v>
      </c>
      <c r="N1884" s="304" t="s">
        <v>2983</v>
      </c>
      <c r="O1884" s="382" t="s">
        <v>4267</v>
      </c>
      <c r="P1884" s="371"/>
      <c r="Q1884" s="43"/>
      <c r="R1884" s="44"/>
    </row>
    <row r="1885" spans="1:18" ht="35.25" hidden="1" customHeight="1">
      <c r="A1885" s="15">
        <f t="shared" si="29"/>
        <v>1875</v>
      </c>
      <c r="B1885" s="150" t="s">
        <v>2936</v>
      </c>
      <c r="C1885" s="150" t="s">
        <v>2935</v>
      </c>
      <c r="D1885" s="19"/>
      <c r="E1885" s="19"/>
      <c r="F1885" s="19"/>
      <c r="G1885" s="64"/>
      <c r="H1885" s="141"/>
      <c r="I1885" s="158" t="s">
        <v>18</v>
      </c>
      <c r="J1885" s="158">
        <v>1</v>
      </c>
      <c r="K1885" s="142" t="s">
        <v>730</v>
      </c>
      <c r="L1885" s="43" t="s">
        <v>2982</v>
      </c>
      <c r="M1885" s="11" t="str">
        <f>VLOOKUP(N1885,'Mã NV'!$A$3:$B$196,2,0)</f>
        <v>BU37</v>
      </c>
      <c r="N1885" s="304" t="s">
        <v>2983</v>
      </c>
      <c r="O1885" s="382" t="s">
        <v>4267</v>
      </c>
      <c r="P1885" s="371"/>
      <c r="Q1885" s="43"/>
      <c r="R1885" s="44"/>
    </row>
    <row r="1886" spans="1:18" ht="35.25" hidden="1" customHeight="1">
      <c r="A1886" s="15">
        <f t="shared" si="29"/>
        <v>1876</v>
      </c>
      <c r="B1886" s="150" t="s">
        <v>2937</v>
      </c>
      <c r="C1886" s="150" t="s">
        <v>2935</v>
      </c>
      <c r="D1886" s="19"/>
      <c r="E1886" s="19"/>
      <c r="F1886" s="19"/>
      <c r="G1886" s="64"/>
      <c r="H1886" s="141"/>
      <c r="I1886" s="158" t="s">
        <v>18</v>
      </c>
      <c r="J1886" s="158">
        <v>1</v>
      </c>
      <c r="K1886" s="142" t="s">
        <v>730</v>
      </c>
      <c r="L1886" s="43" t="s">
        <v>2982</v>
      </c>
      <c r="M1886" s="11" t="str">
        <f>VLOOKUP(N1886,'Mã NV'!$A$3:$B$196,2,0)</f>
        <v>BU37</v>
      </c>
      <c r="N1886" s="304" t="s">
        <v>2983</v>
      </c>
      <c r="O1886" s="382" t="s">
        <v>4267</v>
      </c>
      <c r="P1886" s="371"/>
      <c r="Q1886" s="43"/>
      <c r="R1886" s="44"/>
    </row>
    <row r="1887" spans="1:18" ht="35.25" hidden="1" customHeight="1">
      <c r="A1887" s="15">
        <f t="shared" si="29"/>
        <v>1877</v>
      </c>
      <c r="B1887" s="150" t="s">
        <v>2938</v>
      </c>
      <c r="C1887" s="150" t="s">
        <v>2935</v>
      </c>
      <c r="D1887" s="19"/>
      <c r="E1887" s="19"/>
      <c r="F1887" s="19"/>
      <c r="G1887" s="64"/>
      <c r="H1887" s="141"/>
      <c r="I1887" s="158" t="s">
        <v>18</v>
      </c>
      <c r="J1887" s="158">
        <v>1</v>
      </c>
      <c r="K1887" s="142" t="s">
        <v>730</v>
      </c>
      <c r="L1887" s="43" t="s">
        <v>2982</v>
      </c>
      <c r="M1887" s="11" t="str">
        <f>VLOOKUP(N1887,'Mã NV'!$A$3:$B$196,2,0)</f>
        <v>BU37</v>
      </c>
      <c r="N1887" s="304" t="s">
        <v>2983</v>
      </c>
      <c r="O1887" s="382" t="s">
        <v>4267</v>
      </c>
      <c r="P1887" s="371"/>
      <c r="Q1887" s="43"/>
      <c r="R1887" s="44"/>
    </row>
    <row r="1888" spans="1:18" ht="35.25" hidden="1" customHeight="1">
      <c r="A1888" s="15">
        <f t="shared" si="29"/>
        <v>1878</v>
      </c>
      <c r="B1888" s="150" t="s">
        <v>2939</v>
      </c>
      <c r="C1888" s="150" t="s">
        <v>2935</v>
      </c>
      <c r="D1888" s="19"/>
      <c r="E1888" s="19"/>
      <c r="F1888" s="19"/>
      <c r="G1888" s="64"/>
      <c r="H1888" s="141"/>
      <c r="I1888" s="158" t="s">
        <v>18</v>
      </c>
      <c r="J1888" s="158">
        <v>1</v>
      </c>
      <c r="K1888" s="142" t="s">
        <v>730</v>
      </c>
      <c r="L1888" s="43" t="s">
        <v>2982</v>
      </c>
      <c r="M1888" s="11" t="str">
        <f>VLOOKUP(N1888,'Mã NV'!$A$3:$B$196,2,0)</f>
        <v>BU37</v>
      </c>
      <c r="N1888" s="304" t="s">
        <v>2983</v>
      </c>
      <c r="O1888" s="382" t="s">
        <v>4267</v>
      </c>
      <c r="P1888" s="371"/>
      <c r="Q1888" s="43"/>
      <c r="R1888" s="44"/>
    </row>
    <row r="1889" spans="1:18" ht="35.25" hidden="1" customHeight="1">
      <c r="A1889" s="15">
        <f t="shared" si="29"/>
        <v>1879</v>
      </c>
      <c r="B1889" s="150" t="s">
        <v>2940</v>
      </c>
      <c r="C1889" s="150" t="s">
        <v>2935</v>
      </c>
      <c r="D1889" s="19"/>
      <c r="E1889" s="19"/>
      <c r="F1889" s="19"/>
      <c r="G1889" s="64"/>
      <c r="H1889" s="141"/>
      <c r="I1889" s="158" t="s">
        <v>18</v>
      </c>
      <c r="J1889" s="158">
        <v>1</v>
      </c>
      <c r="K1889" s="142" t="s">
        <v>730</v>
      </c>
      <c r="L1889" s="43" t="s">
        <v>2982</v>
      </c>
      <c r="M1889" s="11" t="str">
        <f>VLOOKUP(N1889,'Mã NV'!$A$3:$B$196,2,0)</f>
        <v>BU37</v>
      </c>
      <c r="N1889" s="304" t="s">
        <v>2983</v>
      </c>
      <c r="O1889" s="382" t="s">
        <v>4267</v>
      </c>
      <c r="P1889" s="371"/>
      <c r="Q1889" s="43"/>
      <c r="R1889" s="44"/>
    </row>
    <row r="1890" spans="1:18" ht="35.25" hidden="1" customHeight="1">
      <c r="A1890" s="15">
        <f t="shared" si="29"/>
        <v>1880</v>
      </c>
      <c r="B1890" s="150" t="s">
        <v>2941</v>
      </c>
      <c r="C1890" s="150" t="s">
        <v>2935</v>
      </c>
      <c r="D1890" s="19"/>
      <c r="E1890" s="19"/>
      <c r="F1890" s="19"/>
      <c r="G1890" s="64"/>
      <c r="H1890" s="141"/>
      <c r="I1890" s="158" t="s">
        <v>18</v>
      </c>
      <c r="J1890" s="158">
        <v>1</v>
      </c>
      <c r="K1890" s="142" t="s">
        <v>730</v>
      </c>
      <c r="L1890" s="43" t="s">
        <v>2982</v>
      </c>
      <c r="M1890" s="11" t="str">
        <f>VLOOKUP(N1890,'Mã NV'!$A$3:$B$196,2,0)</f>
        <v>BU37</v>
      </c>
      <c r="N1890" s="304" t="s">
        <v>2983</v>
      </c>
      <c r="O1890" s="382" t="s">
        <v>4267</v>
      </c>
      <c r="P1890" s="371"/>
      <c r="Q1890" s="43"/>
      <c r="R1890" s="44"/>
    </row>
    <row r="1891" spans="1:18" ht="35.25" hidden="1" customHeight="1">
      <c r="A1891" s="15">
        <f t="shared" si="29"/>
        <v>1881</v>
      </c>
      <c r="B1891" s="150" t="s">
        <v>2942</v>
      </c>
      <c r="C1891" s="150" t="s">
        <v>2935</v>
      </c>
      <c r="D1891" s="19"/>
      <c r="E1891" s="19"/>
      <c r="F1891" s="19"/>
      <c r="G1891" s="64"/>
      <c r="H1891" s="141"/>
      <c r="I1891" s="158" t="s">
        <v>18</v>
      </c>
      <c r="J1891" s="158">
        <v>1</v>
      </c>
      <c r="K1891" s="142" t="s">
        <v>730</v>
      </c>
      <c r="L1891" s="43" t="s">
        <v>2982</v>
      </c>
      <c r="M1891" s="11" t="str">
        <f>VLOOKUP(N1891,'Mã NV'!$A$3:$B$196,2,0)</f>
        <v>BU37</v>
      </c>
      <c r="N1891" s="304" t="s">
        <v>2983</v>
      </c>
      <c r="O1891" s="382" t="s">
        <v>4267</v>
      </c>
      <c r="P1891" s="371"/>
      <c r="Q1891" s="43"/>
      <c r="R1891" s="44"/>
    </row>
    <row r="1892" spans="1:18" ht="35.25" hidden="1" customHeight="1">
      <c r="A1892" s="15">
        <f t="shared" si="29"/>
        <v>1882</v>
      </c>
      <c r="B1892" s="150" t="s">
        <v>2943</v>
      </c>
      <c r="C1892" s="150" t="s">
        <v>2935</v>
      </c>
      <c r="D1892" s="19"/>
      <c r="E1892" s="19"/>
      <c r="F1892" s="19"/>
      <c r="G1892" s="64"/>
      <c r="H1892" s="141"/>
      <c r="I1892" s="158" t="s">
        <v>18</v>
      </c>
      <c r="J1892" s="158">
        <v>1</v>
      </c>
      <c r="K1892" s="142" t="s">
        <v>730</v>
      </c>
      <c r="L1892" s="43" t="s">
        <v>2982</v>
      </c>
      <c r="M1892" s="11" t="str">
        <f>VLOOKUP(N1892,'Mã NV'!$A$3:$B$196,2,0)</f>
        <v>BU37</v>
      </c>
      <c r="N1892" s="304" t="s">
        <v>2983</v>
      </c>
      <c r="O1892" s="382" t="s">
        <v>4267</v>
      </c>
      <c r="P1892" s="371"/>
      <c r="Q1892" s="43"/>
      <c r="R1892" s="44"/>
    </row>
    <row r="1893" spans="1:18" ht="35.25" hidden="1" customHeight="1">
      <c r="A1893" s="15">
        <f t="shared" si="29"/>
        <v>1883</v>
      </c>
      <c r="B1893" s="150" t="s">
        <v>2944</v>
      </c>
      <c r="C1893" s="150" t="s">
        <v>2935</v>
      </c>
      <c r="D1893" s="19"/>
      <c r="E1893" s="19"/>
      <c r="F1893" s="19"/>
      <c r="G1893" s="64"/>
      <c r="H1893" s="141"/>
      <c r="I1893" s="158" t="s">
        <v>18</v>
      </c>
      <c r="J1893" s="158">
        <v>1</v>
      </c>
      <c r="K1893" s="142" t="s">
        <v>730</v>
      </c>
      <c r="L1893" s="43" t="s">
        <v>2982</v>
      </c>
      <c r="M1893" s="11" t="str">
        <f>VLOOKUP(N1893,'Mã NV'!$A$3:$B$196,2,0)</f>
        <v>BU37</v>
      </c>
      <c r="N1893" s="304" t="s">
        <v>2983</v>
      </c>
      <c r="O1893" s="382" t="s">
        <v>4267</v>
      </c>
      <c r="P1893" s="371"/>
      <c r="Q1893" s="43"/>
      <c r="R1893" s="44"/>
    </row>
    <row r="1894" spans="1:18" ht="35.25" hidden="1" customHeight="1">
      <c r="A1894" s="15">
        <f t="shared" si="29"/>
        <v>1884</v>
      </c>
      <c r="B1894" s="150" t="s">
        <v>2945</v>
      </c>
      <c r="C1894" s="150" t="s">
        <v>2946</v>
      </c>
      <c r="D1894" s="19"/>
      <c r="E1894" s="19"/>
      <c r="F1894" s="19"/>
      <c r="G1894" s="64"/>
      <c r="H1894" s="141"/>
      <c r="I1894" s="158" t="s">
        <v>18</v>
      </c>
      <c r="J1894" s="158">
        <v>1</v>
      </c>
      <c r="K1894" s="142" t="s">
        <v>730</v>
      </c>
      <c r="L1894" s="43" t="s">
        <v>2982</v>
      </c>
      <c r="M1894" s="11" t="str">
        <f>VLOOKUP(N1894,'Mã NV'!$A$3:$B$196,2,0)</f>
        <v>BU37</v>
      </c>
      <c r="N1894" s="304" t="s">
        <v>2983</v>
      </c>
      <c r="O1894" s="382" t="s">
        <v>4267</v>
      </c>
      <c r="P1894" s="371"/>
      <c r="Q1894" s="43"/>
      <c r="R1894" s="44"/>
    </row>
    <row r="1895" spans="1:18" ht="35.25" hidden="1" customHeight="1">
      <c r="A1895" s="15">
        <f t="shared" si="29"/>
        <v>1885</v>
      </c>
      <c r="B1895" s="150" t="s">
        <v>2947</v>
      </c>
      <c r="C1895" s="150" t="s">
        <v>2948</v>
      </c>
      <c r="D1895" s="19"/>
      <c r="E1895" s="19"/>
      <c r="F1895" s="19"/>
      <c r="G1895" s="64"/>
      <c r="H1895" s="141"/>
      <c r="I1895" s="158" t="s">
        <v>18</v>
      </c>
      <c r="J1895" s="158">
        <v>1</v>
      </c>
      <c r="K1895" s="142" t="s">
        <v>730</v>
      </c>
      <c r="L1895" s="43" t="s">
        <v>2982</v>
      </c>
      <c r="M1895" s="11" t="str">
        <f>VLOOKUP(N1895,'Mã NV'!$A$3:$B$196,2,0)</f>
        <v>BU37</v>
      </c>
      <c r="N1895" s="304" t="s">
        <v>2983</v>
      </c>
      <c r="O1895" s="382" t="s">
        <v>4267</v>
      </c>
      <c r="P1895" s="371"/>
      <c r="Q1895" s="43"/>
      <c r="R1895" s="44"/>
    </row>
    <row r="1896" spans="1:18" ht="35.25" hidden="1" customHeight="1">
      <c r="A1896" s="15">
        <f t="shared" si="29"/>
        <v>1886</v>
      </c>
      <c r="B1896" s="150" t="s">
        <v>2949</v>
      </c>
      <c r="C1896" s="150" t="s">
        <v>2948</v>
      </c>
      <c r="D1896" s="19"/>
      <c r="E1896" s="19"/>
      <c r="F1896" s="19"/>
      <c r="G1896" s="64"/>
      <c r="H1896" s="141"/>
      <c r="I1896" s="158" t="s">
        <v>18</v>
      </c>
      <c r="J1896" s="158">
        <v>1</v>
      </c>
      <c r="K1896" s="142" t="s">
        <v>730</v>
      </c>
      <c r="L1896" s="43" t="s">
        <v>2982</v>
      </c>
      <c r="M1896" s="11" t="str">
        <f>VLOOKUP(N1896,'Mã NV'!$A$3:$B$196,2,0)</f>
        <v>BU37</v>
      </c>
      <c r="N1896" s="304" t="s">
        <v>2983</v>
      </c>
      <c r="O1896" s="382" t="s">
        <v>4267</v>
      </c>
      <c r="P1896" s="371"/>
      <c r="Q1896" s="43"/>
      <c r="R1896" s="44"/>
    </row>
    <row r="1897" spans="1:18" ht="35.25" hidden="1" customHeight="1">
      <c r="A1897" s="15">
        <f t="shared" si="29"/>
        <v>1887</v>
      </c>
      <c r="B1897" s="144" t="s">
        <v>2950</v>
      </c>
      <c r="C1897" s="150" t="s">
        <v>2951</v>
      </c>
      <c r="D1897" s="19"/>
      <c r="E1897" s="19"/>
      <c r="F1897" s="19"/>
      <c r="G1897" s="64"/>
      <c r="H1897" s="141"/>
      <c r="I1897" s="153" t="s">
        <v>18</v>
      </c>
      <c r="J1897" s="153">
        <v>1</v>
      </c>
      <c r="K1897" s="142" t="s">
        <v>730</v>
      </c>
      <c r="L1897" s="43" t="s">
        <v>2982</v>
      </c>
      <c r="M1897" s="11" t="str">
        <f>VLOOKUP(N1897,'Mã NV'!$A$3:$B$196,2,0)</f>
        <v>BU35</v>
      </c>
      <c r="N1897" s="304" t="s">
        <v>2541</v>
      </c>
      <c r="O1897" s="390">
        <v>44987</v>
      </c>
      <c r="P1897" s="371"/>
      <c r="Q1897" s="43"/>
      <c r="R1897" s="44"/>
    </row>
    <row r="1898" spans="1:18" ht="35.25" hidden="1" customHeight="1">
      <c r="A1898" s="15">
        <f t="shared" si="29"/>
        <v>1888</v>
      </c>
      <c r="B1898" s="144" t="s">
        <v>2952</v>
      </c>
      <c r="C1898" s="150" t="s">
        <v>2951</v>
      </c>
      <c r="D1898" s="19"/>
      <c r="E1898" s="19"/>
      <c r="F1898" s="19"/>
      <c r="G1898" s="64"/>
      <c r="H1898" s="141"/>
      <c r="I1898" s="153" t="s">
        <v>18</v>
      </c>
      <c r="J1898" s="153">
        <v>1</v>
      </c>
      <c r="K1898" s="142" t="s">
        <v>730</v>
      </c>
      <c r="L1898" s="43" t="s">
        <v>2982</v>
      </c>
      <c r="M1898" s="11" t="str">
        <f>VLOOKUP(N1898,'Mã NV'!$A$3:$B$196,2,0)</f>
        <v>BU35</v>
      </c>
      <c r="N1898" s="304" t="s">
        <v>2541</v>
      </c>
      <c r="O1898" s="390">
        <v>44987</v>
      </c>
      <c r="P1898" s="371"/>
      <c r="Q1898" s="43"/>
      <c r="R1898" s="44"/>
    </row>
    <row r="1899" spans="1:18" ht="35.25" hidden="1" customHeight="1">
      <c r="A1899" s="15">
        <f t="shared" si="29"/>
        <v>1889</v>
      </c>
      <c r="B1899" s="144" t="s">
        <v>2953</v>
      </c>
      <c r="C1899" s="150" t="s">
        <v>2951</v>
      </c>
      <c r="D1899" s="19"/>
      <c r="E1899" s="19"/>
      <c r="F1899" s="19"/>
      <c r="G1899" s="64"/>
      <c r="H1899" s="141"/>
      <c r="I1899" s="153" t="s">
        <v>18</v>
      </c>
      <c r="J1899" s="153">
        <v>1</v>
      </c>
      <c r="K1899" s="142" t="s">
        <v>730</v>
      </c>
      <c r="L1899" s="43" t="s">
        <v>2982</v>
      </c>
      <c r="M1899" s="11" t="str">
        <f>VLOOKUP(N1899,'Mã NV'!$A$3:$B$196,2,0)</f>
        <v>BU35</v>
      </c>
      <c r="N1899" s="304" t="s">
        <v>2541</v>
      </c>
      <c r="O1899" s="390">
        <v>44987</v>
      </c>
      <c r="P1899" s="371"/>
      <c r="Q1899" s="43"/>
      <c r="R1899" s="44"/>
    </row>
    <row r="1900" spans="1:18" ht="35.25" hidden="1" customHeight="1">
      <c r="A1900" s="15">
        <f t="shared" si="29"/>
        <v>1890</v>
      </c>
      <c r="B1900" s="144" t="s">
        <v>2954</v>
      </c>
      <c r="C1900" s="150" t="s">
        <v>2955</v>
      </c>
      <c r="D1900" s="19"/>
      <c r="E1900" s="19"/>
      <c r="F1900" s="19"/>
      <c r="G1900" s="64"/>
      <c r="H1900" s="141"/>
      <c r="I1900" s="153" t="s">
        <v>18</v>
      </c>
      <c r="J1900" s="153">
        <v>1</v>
      </c>
      <c r="K1900" s="142" t="s">
        <v>730</v>
      </c>
      <c r="L1900" s="43" t="s">
        <v>2982</v>
      </c>
      <c r="M1900" s="11" t="str">
        <f>VLOOKUP(N1900,'Mã NV'!$A$3:$B$196,2,0)</f>
        <v>BU35</v>
      </c>
      <c r="N1900" s="304" t="s">
        <v>2541</v>
      </c>
      <c r="O1900" s="390">
        <v>44987</v>
      </c>
      <c r="P1900" s="371"/>
      <c r="Q1900" s="43"/>
      <c r="R1900" s="44"/>
    </row>
    <row r="1901" spans="1:18" ht="35.25" hidden="1" customHeight="1">
      <c r="A1901" s="15">
        <f t="shared" si="29"/>
        <v>1891</v>
      </c>
      <c r="B1901" s="144" t="s">
        <v>2956</v>
      </c>
      <c r="C1901" s="150" t="s">
        <v>2955</v>
      </c>
      <c r="D1901" s="19"/>
      <c r="E1901" s="19"/>
      <c r="F1901" s="19"/>
      <c r="G1901" s="64"/>
      <c r="H1901" s="141"/>
      <c r="I1901" s="153" t="s">
        <v>18</v>
      </c>
      <c r="J1901" s="153">
        <v>1</v>
      </c>
      <c r="K1901" s="142" t="s">
        <v>730</v>
      </c>
      <c r="L1901" s="43" t="s">
        <v>2982</v>
      </c>
      <c r="M1901" s="11" t="str">
        <f>VLOOKUP(N1901,'Mã NV'!$A$3:$B$196,2,0)</f>
        <v>BU35</v>
      </c>
      <c r="N1901" s="304" t="s">
        <v>2541</v>
      </c>
      <c r="O1901" s="390">
        <v>44987</v>
      </c>
      <c r="P1901" s="371"/>
      <c r="Q1901" s="43"/>
      <c r="R1901" s="44"/>
    </row>
    <row r="1902" spans="1:18" ht="35.25" hidden="1" customHeight="1">
      <c r="A1902" s="15">
        <f t="shared" si="29"/>
        <v>1892</v>
      </c>
      <c r="B1902" s="144" t="s">
        <v>2957</v>
      </c>
      <c r="C1902" s="150" t="s">
        <v>2955</v>
      </c>
      <c r="D1902" s="19"/>
      <c r="E1902" s="19"/>
      <c r="F1902" s="19"/>
      <c r="G1902" s="64"/>
      <c r="H1902" s="141"/>
      <c r="I1902" s="153" t="s">
        <v>18</v>
      </c>
      <c r="J1902" s="153">
        <v>1</v>
      </c>
      <c r="K1902" s="142" t="s">
        <v>730</v>
      </c>
      <c r="L1902" s="43" t="s">
        <v>2982</v>
      </c>
      <c r="M1902" s="11" t="str">
        <f>VLOOKUP(N1902,'Mã NV'!$A$3:$B$196,2,0)</f>
        <v>BU35</v>
      </c>
      <c r="N1902" s="304" t="s">
        <v>2541</v>
      </c>
      <c r="O1902" s="390">
        <v>44987</v>
      </c>
      <c r="P1902" s="371"/>
      <c r="Q1902" s="43"/>
      <c r="R1902" s="44"/>
    </row>
    <row r="1903" spans="1:18" ht="35.25" hidden="1" customHeight="1">
      <c r="A1903" s="15">
        <f t="shared" si="29"/>
        <v>1893</v>
      </c>
      <c r="B1903" s="152" t="s">
        <v>2958</v>
      </c>
      <c r="C1903" s="150" t="s">
        <v>2959</v>
      </c>
      <c r="D1903" s="19"/>
      <c r="E1903" s="19"/>
      <c r="F1903" s="19"/>
      <c r="G1903" s="64"/>
      <c r="H1903" s="141"/>
      <c r="I1903" s="153" t="s">
        <v>18</v>
      </c>
      <c r="J1903" s="153">
        <v>1</v>
      </c>
      <c r="K1903" s="142" t="s">
        <v>730</v>
      </c>
      <c r="L1903" s="43" t="s">
        <v>2982</v>
      </c>
      <c r="M1903" s="11" t="str">
        <f>VLOOKUP(N1903,'Mã NV'!$A$3:$B$196,2,0)</f>
        <v>BU35</v>
      </c>
      <c r="N1903" s="304" t="s">
        <v>2541</v>
      </c>
      <c r="O1903" s="390">
        <v>44987</v>
      </c>
      <c r="P1903" s="371"/>
      <c r="Q1903" s="43"/>
      <c r="R1903" s="44"/>
    </row>
    <row r="1904" spans="1:18" ht="35.25" hidden="1" customHeight="1">
      <c r="A1904" s="15">
        <f t="shared" si="29"/>
        <v>1894</v>
      </c>
      <c r="B1904" s="152" t="s">
        <v>2960</v>
      </c>
      <c r="C1904" s="150" t="s">
        <v>2959</v>
      </c>
      <c r="D1904" s="19"/>
      <c r="E1904" s="19"/>
      <c r="F1904" s="19"/>
      <c r="G1904" s="64"/>
      <c r="H1904" s="141"/>
      <c r="I1904" s="153" t="s">
        <v>18</v>
      </c>
      <c r="J1904" s="153">
        <v>1</v>
      </c>
      <c r="K1904" s="142" t="s">
        <v>730</v>
      </c>
      <c r="L1904" s="43" t="s">
        <v>2982</v>
      </c>
      <c r="M1904" s="11" t="str">
        <f>VLOOKUP(N1904,'Mã NV'!$A$3:$B$196,2,0)</f>
        <v>BU35</v>
      </c>
      <c r="N1904" s="304" t="s">
        <v>2541</v>
      </c>
      <c r="O1904" s="390">
        <v>44987</v>
      </c>
      <c r="P1904" s="371"/>
      <c r="Q1904" s="43"/>
      <c r="R1904" s="44"/>
    </row>
    <row r="1905" spans="1:18" ht="35.25" hidden="1" customHeight="1">
      <c r="A1905" s="15">
        <f t="shared" si="29"/>
        <v>1895</v>
      </c>
      <c r="B1905" s="152" t="s">
        <v>2961</v>
      </c>
      <c r="C1905" s="150" t="s">
        <v>2959</v>
      </c>
      <c r="D1905" s="19"/>
      <c r="E1905" s="19"/>
      <c r="F1905" s="19"/>
      <c r="G1905" s="64"/>
      <c r="H1905" s="141"/>
      <c r="I1905" s="153" t="s">
        <v>18</v>
      </c>
      <c r="J1905" s="153">
        <v>1</v>
      </c>
      <c r="K1905" s="142" t="s">
        <v>730</v>
      </c>
      <c r="L1905" s="43" t="s">
        <v>2982</v>
      </c>
      <c r="M1905" s="11" t="str">
        <f>VLOOKUP(N1905,'Mã NV'!$A$3:$B$196,2,0)</f>
        <v>BU35</v>
      </c>
      <c r="N1905" s="304" t="s">
        <v>2541</v>
      </c>
      <c r="O1905" s="390">
        <v>44987</v>
      </c>
      <c r="P1905" s="371"/>
      <c r="Q1905" s="43"/>
      <c r="R1905" s="44"/>
    </row>
    <row r="1906" spans="1:18" ht="35.25" hidden="1" customHeight="1">
      <c r="A1906" s="15">
        <f t="shared" si="29"/>
        <v>1896</v>
      </c>
      <c r="B1906" s="152" t="s">
        <v>2962</v>
      </c>
      <c r="C1906" s="150" t="s">
        <v>2963</v>
      </c>
      <c r="D1906" s="19"/>
      <c r="E1906" s="19"/>
      <c r="F1906" s="19"/>
      <c r="G1906" s="64"/>
      <c r="H1906" s="141"/>
      <c r="I1906" s="153" t="s">
        <v>18</v>
      </c>
      <c r="J1906" s="153">
        <v>1</v>
      </c>
      <c r="K1906" s="142" t="s">
        <v>730</v>
      </c>
      <c r="L1906" s="43" t="s">
        <v>2982</v>
      </c>
      <c r="M1906" s="11" t="str">
        <f>VLOOKUP(N1906,'Mã NV'!$A$3:$B$196,2,0)</f>
        <v>BU35</v>
      </c>
      <c r="N1906" s="304" t="s">
        <v>2541</v>
      </c>
      <c r="O1906" s="390">
        <v>44987</v>
      </c>
      <c r="P1906" s="371"/>
      <c r="Q1906" s="43"/>
      <c r="R1906" s="44"/>
    </row>
    <row r="1907" spans="1:18" ht="35.25" hidden="1" customHeight="1">
      <c r="A1907" s="15">
        <f t="shared" si="29"/>
        <v>1897</v>
      </c>
      <c r="B1907" s="152" t="s">
        <v>2964</v>
      </c>
      <c r="C1907" s="150" t="s">
        <v>2965</v>
      </c>
      <c r="D1907" s="19"/>
      <c r="E1907" s="19"/>
      <c r="F1907" s="19"/>
      <c r="G1907" s="64"/>
      <c r="H1907" s="141"/>
      <c r="I1907" s="153" t="s">
        <v>18</v>
      </c>
      <c r="J1907" s="153">
        <v>1</v>
      </c>
      <c r="K1907" s="142" t="s">
        <v>730</v>
      </c>
      <c r="L1907" s="43" t="s">
        <v>2982</v>
      </c>
      <c r="M1907" s="11" t="str">
        <f>VLOOKUP(N1907,'Mã NV'!$A$3:$B$196,2,0)</f>
        <v>BU35</v>
      </c>
      <c r="N1907" s="304" t="s">
        <v>2541</v>
      </c>
      <c r="O1907" s="390">
        <v>44987</v>
      </c>
      <c r="P1907" s="371"/>
      <c r="Q1907" s="43"/>
      <c r="R1907" s="44"/>
    </row>
    <row r="1908" spans="1:18" ht="35.25" hidden="1" customHeight="1">
      <c r="A1908" s="15">
        <f t="shared" si="29"/>
        <v>1898</v>
      </c>
      <c r="B1908" s="152" t="s">
        <v>2966</v>
      </c>
      <c r="C1908" s="150" t="s">
        <v>2967</v>
      </c>
      <c r="D1908" s="19"/>
      <c r="E1908" s="19"/>
      <c r="F1908" s="19"/>
      <c r="G1908" s="64"/>
      <c r="H1908" s="141"/>
      <c r="I1908" s="153" t="s">
        <v>18</v>
      </c>
      <c r="J1908" s="153">
        <v>1</v>
      </c>
      <c r="K1908" s="142" t="s">
        <v>730</v>
      </c>
      <c r="L1908" s="43" t="s">
        <v>2982</v>
      </c>
      <c r="M1908" s="11" t="str">
        <f>VLOOKUP(N1908,'Mã NV'!$A$3:$B$196,2,0)</f>
        <v>BU35</v>
      </c>
      <c r="N1908" s="304" t="s">
        <v>2541</v>
      </c>
      <c r="O1908" s="390">
        <v>44987</v>
      </c>
      <c r="P1908" s="371"/>
      <c r="Q1908" s="43"/>
      <c r="R1908" s="44"/>
    </row>
    <row r="1909" spans="1:18" ht="35.25" hidden="1" customHeight="1">
      <c r="A1909" s="15">
        <f t="shared" si="29"/>
        <v>1899</v>
      </c>
      <c r="B1909" s="211" t="s">
        <v>2968</v>
      </c>
      <c r="C1909" s="120" t="s">
        <v>2969</v>
      </c>
      <c r="D1909" s="19"/>
      <c r="E1909" s="19"/>
      <c r="F1909" s="19"/>
      <c r="G1909" s="64"/>
      <c r="H1909" s="141"/>
      <c r="I1909" s="153" t="s">
        <v>18</v>
      </c>
      <c r="J1909" s="153">
        <v>1</v>
      </c>
      <c r="K1909" s="142" t="s">
        <v>730</v>
      </c>
      <c r="L1909" s="43" t="s">
        <v>2982</v>
      </c>
      <c r="M1909" s="11" t="str">
        <f>VLOOKUP(N1909,'Mã NV'!$A$3:$B$196,2,0)</f>
        <v>BU35</v>
      </c>
      <c r="N1909" s="304" t="s">
        <v>2541</v>
      </c>
      <c r="O1909" s="390">
        <v>45006</v>
      </c>
      <c r="P1909" s="371"/>
      <c r="Q1909" s="43"/>
      <c r="R1909" s="399" t="s">
        <v>2990</v>
      </c>
    </row>
    <row r="1910" spans="1:18" ht="35.25" hidden="1" customHeight="1">
      <c r="A1910" s="15">
        <f t="shared" si="29"/>
        <v>1900</v>
      </c>
      <c r="B1910" s="211" t="s">
        <v>2970</v>
      </c>
      <c r="C1910" s="120" t="s">
        <v>2971</v>
      </c>
      <c r="D1910" s="19"/>
      <c r="E1910" s="19"/>
      <c r="F1910" s="19"/>
      <c r="G1910" s="64"/>
      <c r="H1910" s="141"/>
      <c r="I1910" s="153" t="s">
        <v>18</v>
      </c>
      <c r="J1910" s="153">
        <v>1</v>
      </c>
      <c r="K1910" s="142" t="s">
        <v>730</v>
      </c>
      <c r="L1910" s="43" t="s">
        <v>2982</v>
      </c>
      <c r="M1910" s="11" t="str">
        <f>VLOOKUP(N1910,'Mã NV'!$A$3:$B$196,2,0)</f>
        <v>BU35</v>
      </c>
      <c r="N1910" s="304" t="s">
        <v>2541</v>
      </c>
      <c r="O1910" s="390">
        <v>45006</v>
      </c>
      <c r="P1910" s="371"/>
      <c r="Q1910" s="43"/>
      <c r="R1910" s="399"/>
    </row>
    <row r="1911" spans="1:18" ht="35.25" hidden="1" customHeight="1">
      <c r="A1911" s="15">
        <f t="shared" si="29"/>
        <v>1901</v>
      </c>
      <c r="B1911" s="211" t="s">
        <v>2972</v>
      </c>
      <c r="C1911" s="120" t="s">
        <v>2973</v>
      </c>
      <c r="D1911" s="19"/>
      <c r="E1911" s="19"/>
      <c r="F1911" s="19"/>
      <c r="G1911" s="64"/>
      <c r="H1911" s="141"/>
      <c r="I1911" s="153" t="s">
        <v>18</v>
      </c>
      <c r="J1911" s="153">
        <v>1</v>
      </c>
      <c r="K1911" s="142" t="s">
        <v>730</v>
      </c>
      <c r="L1911" s="43" t="s">
        <v>2982</v>
      </c>
      <c r="M1911" s="11" t="str">
        <f>VLOOKUP(N1911,'Mã NV'!$A$3:$B$196,2,0)</f>
        <v>BU35</v>
      </c>
      <c r="N1911" s="304" t="s">
        <v>2541</v>
      </c>
      <c r="O1911" s="390">
        <v>45006</v>
      </c>
      <c r="P1911" s="371"/>
      <c r="Q1911" s="43"/>
      <c r="R1911" s="399"/>
    </row>
    <row r="1912" spans="1:18" ht="35.25" hidden="1" customHeight="1">
      <c r="A1912" s="15">
        <f t="shared" si="29"/>
        <v>1902</v>
      </c>
      <c r="B1912" s="211" t="s">
        <v>2974</v>
      </c>
      <c r="C1912" s="120" t="s">
        <v>2975</v>
      </c>
      <c r="D1912" s="19"/>
      <c r="E1912" s="19"/>
      <c r="F1912" s="19"/>
      <c r="G1912" s="64"/>
      <c r="H1912" s="141"/>
      <c r="I1912" s="153" t="s">
        <v>18</v>
      </c>
      <c r="J1912" s="153">
        <v>1</v>
      </c>
      <c r="K1912" s="142" t="s">
        <v>730</v>
      </c>
      <c r="L1912" s="43" t="s">
        <v>2982</v>
      </c>
      <c r="M1912" s="11" t="str">
        <f>VLOOKUP(N1912,'Mã NV'!$A$3:$B$196,2,0)</f>
        <v>BU35</v>
      </c>
      <c r="N1912" s="304" t="s">
        <v>2541</v>
      </c>
      <c r="O1912" s="390">
        <v>45006</v>
      </c>
      <c r="P1912" s="371"/>
      <c r="Q1912" s="43"/>
      <c r="R1912" s="399"/>
    </row>
    <row r="1913" spans="1:18" ht="35.25" hidden="1" customHeight="1">
      <c r="A1913" s="15">
        <f t="shared" si="29"/>
        <v>1903</v>
      </c>
      <c r="B1913" s="211" t="s">
        <v>2976</v>
      </c>
      <c r="C1913" s="120" t="s">
        <v>2977</v>
      </c>
      <c r="D1913" s="19"/>
      <c r="E1913" s="19"/>
      <c r="F1913" s="19"/>
      <c r="G1913" s="64"/>
      <c r="H1913" s="141"/>
      <c r="I1913" s="153" t="s">
        <v>18</v>
      </c>
      <c r="J1913" s="153">
        <v>1</v>
      </c>
      <c r="K1913" s="142" t="s">
        <v>730</v>
      </c>
      <c r="L1913" s="43" t="s">
        <v>2982</v>
      </c>
      <c r="M1913" s="11" t="str">
        <f>VLOOKUP(N1913,'Mã NV'!$A$3:$B$196,2,0)</f>
        <v>BU35</v>
      </c>
      <c r="N1913" s="304" t="s">
        <v>2541</v>
      </c>
      <c r="O1913" s="390">
        <v>45006</v>
      </c>
      <c r="P1913" s="371"/>
      <c r="Q1913" s="43"/>
      <c r="R1913" s="399"/>
    </row>
    <row r="1914" spans="1:18" ht="35.25" hidden="1" customHeight="1">
      <c r="A1914" s="15">
        <f t="shared" si="29"/>
        <v>1904</v>
      </c>
      <c r="B1914" s="211" t="s">
        <v>2978</v>
      </c>
      <c r="C1914" s="120" t="s">
        <v>2979</v>
      </c>
      <c r="D1914" s="19"/>
      <c r="E1914" s="19"/>
      <c r="F1914" s="19"/>
      <c r="G1914" s="64"/>
      <c r="H1914" s="141"/>
      <c r="I1914" s="153" t="s">
        <v>18</v>
      </c>
      <c r="J1914" s="153">
        <v>1</v>
      </c>
      <c r="K1914" s="142" t="s">
        <v>730</v>
      </c>
      <c r="L1914" s="43" t="s">
        <v>2982</v>
      </c>
      <c r="M1914" s="11" t="str">
        <f>VLOOKUP(N1914,'Mã NV'!$A$3:$B$196,2,0)</f>
        <v>BU35</v>
      </c>
      <c r="N1914" s="304" t="s">
        <v>2541</v>
      </c>
      <c r="O1914" s="390">
        <v>45006</v>
      </c>
      <c r="P1914" s="371"/>
      <c r="Q1914" s="43"/>
      <c r="R1914" s="399"/>
    </row>
    <row r="1915" spans="1:18" ht="35.25" hidden="1" customHeight="1">
      <c r="A1915" s="15">
        <f t="shared" si="29"/>
        <v>1905</v>
      </c>
      <c r="B1915" s="211" t="s">
        <v>2980</v>
      </c>
      <c r="C1915" s="120" t="s">
        <v>2981</v>
      </c>
      <c r="D1915" s="19"/>
      <c r="E1915" s="19"/>
      <c r="F1915" s="19"/>
      <c r="G1915" s="64"/>
      <c r="H1915" s="141"/>
      <c r="I1915" s="153" t="s">
        <v>18</v>
      </c>
      <c r="J1915" s="153">
        <v>1</v>
      </c>
      <c r="K1915" s="142" t="s">
        <v>730</v>
      </c>
      <c r="L1915" s="43" t="s">
        <v>2982</v>
      </c>
      <c r="M1915" s="11" t="str">
        <f>VLOOKUP(N1915,'Mã NV'!$A$3:$B$196,2,0)</f>
        <v>BU35</v>
      </c>
      <c r="N1915" s="304" t="s">
        <v>2541</v>
      </c>
      <c r="O1915" s="390">
        <v>45006</v>
      </c>
      <c r="P1915" s="371"/>
      <c r="Q1915" s="43"/>
      <c r="R1915" s="399"/>
    </row>
    <row r="1916" spans="1:18" ht="35.25" hidden="1" customHeight="1">
      <c r="A1916" s="15">
        <f t="shared" si="29"/>
        <v>1906</v>
      </c>
      <c r="B1916" s="223" t="s">
        <v>2991</v>
      </c>
      <c r="C1916" s="211" t="s">
        <v>132</v>
      </c>
      <c r="D1916" s="19"/>
      <c r="E1916" s="19"/>
      <c r="F1916" s="19"/>
      <c r="G1916" s="222" t="s">
        <v>2471</v>
      </c>
      <c r="H1916" s="141"/>
      <c r="I1916" s="230" t="s">
        <v>18</v>
      </c>
      <c r="J1916" s="207">
        <v>1</v>
      </c>
      <c r="K1916" s="142" t="s">
        <v>730</v>
      </c>
      <c r="L1916" s="275" t="s">
        <v>3209</v>
      </c>
      <c r="M1916" s="11" t="str">
        <f>VLOOKUP(N1916,'Mã NV'!$A$3:$B$196,2,0)</f>
        <v>TE74</v>
      </c>
      <c r="N1916" s="319" t="s">
        <v>3210</v>
      </c>
      <c r="O1916" s="382" t="s">
        <v>4267</v>
      </c>
      <c r="P1916" s="371"/>
      <c r="Q1916" s="43"/>
      <c r="R1916" s="207"/>
    </row>
    <row r="1917" spans="1:18" ht="35.25" hidden="1" customHeight="1">
      <c r="A1917" s="15">
        <f t="shared" si="29"/>
        <v>1907</v>
      </c>
      <c r="B1917" s="223" t="s">
        <v>2992</v>
      </c>
      <c r="C1917" s="211" t="s">
        <v>1176</v>
      </c>
      <c r="D1917" s="19"/>
      <c r="E1917" s="19"/>
      <c r="F1917" s="19"/>
      <c r="G1917" s="222" t="s">
        <v>2454</v>
      </c>
      <c r="H1917" s="141"/>
      <c r="I1917" s="230" t="s">
        <v>18</v>
      </c>
      <c r="J1917" s="207">
        <v>1</v>
      </c>
      <c r="K1917" s="142" t="s">
        <v>730</v>
      </c>
      <c r="L1917" s="275" t="s">
        <v>3209</v>
      </c>
      <c r="M1917" s="11" t="str">
        <f>VLOOKUP(N1917,'Mã NV'!$A$3:$B$196,2,0)</f>
        <v>TE74</v>
      </c>
      <c r="N1917" s="303" t="s">
        <v>3210</v>
      </c>
      <c r="O1917" s="382" t="s">
        <v>4267</v>
      </c>
      <c r="P1917" s="371"/>
      <c r="Q1917" s="43"/>
      <c r="R1917" s="207"/>
    </row>
    <row r="1918" spans="1:18" ht="35.25" hidden="1" customHeight="1">
      <c r="A1918" s="15">
        <f t="shared" si="29"/>
        <v>1908</v>
      </c>
      <c r="B1918" s="226" t="s">
        <v>2993</v>
      </c>
      <c r="C1918" s="251" t="s">
        <v>2181</v>
      </c>
      <c r="D1918" s="19"/>
      <c r="E1918" s="19"/>
      <c r="F1918" s="19"/>
      <c r="G1918" s="227" t="s">
        <v>2490</v>
      </c>
      <c r="H1918" s="141"/>
      <c r="I1918" s="230" t="s">
        <v>18</v>
      </c>
      <c r="J1918" s="230">
        <v>1</v>
      </c>
      <c r="K1918" s="142" t="s">
        <v>730</v>
      </c>
      <c r="L1918" s="275" t="s">
        <v>3209</v>
      </c>
      <c r="M1918" s="11" t="str">
        <f>VLOOKUP(N1918,'Mã NV'!$A$3:$B$196,2,0)</f>
        <v>BU06</v>
      </c>
      <c r="N1918" s="303" t="s">
        <v>3213</v>
      </c>
      <c r="O1918" s="382" t="s">
        <v>4268</v>
      </c>
      <c r="P1918" s="371"/>
      <c r="Q1918" s="43"/>
      <c r="R1918" s="271" t="s">
        <v>3245</v>
      </c>
    </row>
    <row r="1919" spans="1:18" ht="35.25" hidden="1" customHeight="1">
      <c r="A1919" s="15">
        <f t="shared" si="29"/>
        <v>1909</v>
      </c>
      <c r="B1919" s="226" t="s">
        <v>2994</v>
      </c>
      <c r="C1919" s="251" t="s">
        <v>2183</v>
      </c>
      <c r="D1919" s="19"/>
      <c r="E1919" s="19"/>
      <c r="F1919" s="19"/>
      <c r="G1919" s="227" t="s">
        <v>2491</v>
      </c>
      <c r="H1919" s="141"/>
      <c r="I1919" s="230" t="s">
        <v>18</v>
      </c>
      <c r="J1919" s="230">
        <v>1</v>
      </c>
      <c r="K1919" s="142" t="s">
        <v>730</v>
      </c>
      <c r="L1919" s="275" t="s">
        <v>3209</v>
      </c>
      <c r="M1919" s="11" t="str">
        <f>VLOOKUP(N1919,'Mã NV'!$A$3:$B$196,2,0)</f>
        <v>BU06</v>
      </c>
      <c r="N1919" s="303" t="s">
        <v>3213</v>
      </c>
      <c r="O1919" s="382" t="s">
        <v>4268</v>
      </c>
      <c r="P1919" s="371"/>
      <c r="Q1919" s="43"/>
      <c r="R1919" s="271" t="s">
        <v>3245</v>
      </c>
    </row>
    <row r="1920" spans="1:18" ht="35.25" hidden="1" customHeight="1">
      <c r="A1920" s="15">
        <f t="shared" si="29"/>
        <v>1910</v>
      </c>
      <c r="B1920" s="211" t="s">
        <v>2995</v>
      </c>
      <c r="C1920" s="206" t="s">
        <v>2996</v>
      </c>
      <c r="D1920" s="19"/>
      <c r="E1920" s="19"/>
      <c r="F1920" s="19"/>
      <c r="G1920" s="206"/>
      <c r="H1920" s="141"/>
      <c r="I1920" s="207" t="s">
        <v>18</v>
      </c>
      <c r="J1920" s="207">
        <v>1</v>
      </c>
      <c r="K1920" s="142" t="s">
        <v>730</v>
      </c>
      <c r="L1920" s="275" t="s">
        <v>3209</v>
      </c>
      <c r="M1920" s="11" t="str">
        <f>VLOOKUP(N1920,'Mã NV'!$A$3:$B$196,2,0)</f>
        <v>BU06</v>
      </c>
      <c r="N1920" s="304" t="s">
        <v>3213</v>
      </c>
      <c r="O1920" s="382" t="s">
        <v>4268</v>
      </c>
      <c r="P1920" s="371"/>
      <c r="Q1920" s="43"/>
      <c r="R1920" s="209"/>
    </row>
    <row r="1921" spans="1:18" ht="35.25" hidden="1" customHeight="1">
      <c r="A1921" s="15">
        <f t="shared" si="29"/>
        <v>1911</v>
      </c>
      <c r="B1921" s="211" t="s">
        <v>2997</v>
      </c>
      <c r="C1921" s="206" t="s">
        <v>2996</v>
      </c>
      <c r="D1921" s="19"/>
      <c r="E1921" s="19"/>
      <c r="F1921" s="19"/>
      <c r="G1921" s="206"/>
      <c r="H1921" s="141"/>
      <c r="I1921" s="207" t="s">
        <v>18</v>
      </c>
      <c r="J1921" s="207">
        <v>1</v>
      </c>
      <c r="K1921" s="142" t="s">
        <v>730</v>
      </c>
      <c r="L1921" s="275" t="s">
        <v>3209</v>
      </c>
      <c r="M1921" s="11" t="str">
        <f>VLOOKUP(N1921,'Mã NV'!$A$3:$B$196,2,0)</f>
        <v>BU06</v>
      </c>
      <c r="N1921" s="304" t="s">
        <v>3213</v>
      </c>
      <c r="O1921" s="382" t="s">
        <v>4268</v>
      </c>
      <c r="P1921" s="371"/>
      <c r="Q1921" s="43"/>
      <c r="R1921" s="209"/>
    </row>
    <row r="1922" spans="1:18" ht="35.25" hidden="1" customHeight="1">
      <c r="A1922" s="15">
        <f t="shared" si="29"/>
        <v>1912</v>
      </c>
      <c r="B1922" s="211" t="s">
        <v>2998</v>
      </c>
      <c r="C1922" s="206" t="s">
        <v>2999</v>
      </c>
      <c r="D1922" s="19"/>
      <c r="E1922" s="19"/>
      <c r="F1922" s="19"/>
      <c r="G1922" s="206"/>
      <c r="H1922" s="141"/>
      <c r="I1922" s="207" t="s">
        <v>18</v>
      </c>
      <c r="J1922" s="207">
        <v>1</v>
      </c>
      <c r="K1922" s="142" t="s">
        <v>730</v>
      </c>
      <c r="L1922" s="275" t="s">
        <v>3209</v>
      </c>
      <c r="M1922" s="11" t="str">
        <f>VLOOKUP(N1922,'Mã NV'!$A$3:$B$196,2,0)</f>
        <v>BU06</v>
      </c>
      <c r="N1922" s="304" t="s">
        <v>3213</v>
      </c>
      <c r="O1922" s="382" t="s">
        <v>4268</v>
      </c>
      <c r="P1922" s="371"/>
      <c r="Q1922" s="43"/>
      <c r="R1922" s="209"/>
    </row>
    <row r="1923" spans="1:18" ht="35.25" hidden="1" customHeight="1">
      <c r="A1923" s="15">
        <f t="shared" si="29"/>
        <v>1913</v>
      </c>
      <c r="B1923" s="246" t="s">
        <v>3000</v>
      </c>
      <c r="C1923" s="206" t="s">
        <v>2999</v>
      </c>
      <c r="D1923" s="19"/>
      <c r="E1923" s="19"/>
      <c r="F1923" s="19"/>
      <c r="G1923" s="206"/>
      <c r="H1923" s="141"/>
      <c r="I1923" s="207" t="s">
        <v>18</v>
      </c>
      <c r="J1923" s="207">
        <v>1</v>
      </c>
      <c r="K1923" s="142" t="s">
        <v>730</v>
      </c>
      <c r="L1923" s="275" t="s">
        <v>3209</v>
      </c>
      <c r="M1923" s="11" t="str">
        <f>VLOOKUP(N1923,'Mã NV'!$A$3:$B$196,2,0)</f>
        <v>BU06</v>
      </c>
      <c r="N1923" s="304" t="s">
        <v>3213</v>
      </c>
      <c r="O1923" s="382" t="s">
        <v>4268</v>
      </c>
      <c r="P1923" s="371"/>
      <c r="Q1923" s="43"/>
      <c r="R1923" s="209"/>
    </row>
    <row r="1924" spans="1:18" ht="35.25" hidden="1" customHeight="1">
      <c r="A1924" s="15">
        <f t="shared" si="29"/>
        <v>1914</v>
      </c>
      <c r="B1924" s="211" t="s">
        <v>3001</v>
      </c>
      <c r="C1924" s="206" t="s">
        <v>3002</v>
      </c>
      <c r="D1924" s="19"/>
      <c r="E1924" s="19"/>
      <c r="F1924" s="19"/>
      <c r="G1924" s="206"/>
      <c r="H1924" s="141"/>
      <c r="I1924" s="207" t="s">
        <v>18</v>
      </c>
      <c r="J1924" s="207">
        <v>1</v>
      </c>
      <c r="K1924" s="142" t="s">
        <v>730</v>
      </c>
      <c r="L1924" s="275" t="s">
        <v>3209</v>
      </c>
      <c r="M1924" s="11" t="str">
        <f>VLOOKUP(N1924,'Mã NV'!$A$3:$B$196,2,0)</f>
        <v>BU06</v>
      </c>
      <c r="N1924" s="304" t="s">
        <v>3213</v>
      </c>
      <c r="O1924" s="382" t="s">
        <v>4268</v>
      </c>
      <c r="P1924" s="371"/>
      <c r="Q1924" s="43"/>
      <c r="R1924" s="209"/>
    </row>
    <row r="1925" spans="1:18" ht="35.25" hidden="1" customHeight="1">
      <c r="A1925" s="15">
        <f t="shared" si="29"/>
        <v>1915</v>
      </c>
      <c r="B1925" s="211" t="s">
        <v>3003</v>
      </c>
      <c r="C1925" s="206" t="s">
        <v>3004</v>
      </c>
      <c r="D1925" s="19"/>
      <c r="E1925" s="19"/>
      <c r="F1925" s="19"/>
      <c r="G1925" s="206"/>
      <c r="H1925" s="141"/>
      <c r="I1925" s="207" t="s">
        <v>18</v>
      </c>
      <c r="J1925" s="207">
        <v>1</v>
      </c>
      <c r="K1925" s="142" t="s">
        <v>730</v>
      </c>
      <c r="L1925" s="275" t="s">
        <v>3209</v>
      </c>
      <c r="M1925" s="11" t="str">
        <f>VLOOKUP(N1925,'Mã NV'!$A$3:$B$196,2,0)</f>
        <v>BU06</v>
      </c>
      <c r="N1925" s="304" t="s">
        <v>3213</v>
      </c>
      <c r="O1925" s="382" t="s">
        <v>4268</v>
      </c>
      <c r="P1925" s="371"/>
      <c r="Q1925" s="43"/>
      <c r="R1925" s="209"/>
    </row>
    <row r="1926" spans="1:18" ht="35.25" hidden="1" customHeight="1">
      <c r="A1926" s="15">
        <f t="shared" si="29"/>
        <v>1916</v>
      </c>
      <c r="B1926" s="211" t="s">
        <v>3005</v>
      </c>
      <c r="C1926" s="206" t="s">
        <v>3006</v>
      </c>
      <c r="D1926" s="19"/>
      <c r="E1926" s="19"/>
      <c r="F1926" s="19"/>
      <c r="G1926" s="206"/>
      <c r="H1926" s="141"/>
      <c r="I1926" s="207" t="s">
        <v>18</v>
      </c>
      <c r="J1926" s="207">
        <v>1</v>
      </c>
      <c r="K1926" s="142" t="s">
        <v>730</v>
      </c>
      <c r="L1926" s="275" t="s">
        <v>3209</v>
      </c>
      <c r="M1926" s="11" t="str">
        <f>VLOOKUP(N1926,'Mã NV'!$A$3:$B$196,2,0)</f>
        <v>BU06</v>
      </c>
      <c r="N1926" s="304" t="s">
        <v>3213</v>
      </c>
      <c r="O1926" s="380">
        <f>VLOOKUP(B1926,'Tổng hợp (3)'!$C$4:$E$985,3,0)</f>
        <v>44902</v>
      </c>
      <c r="P1926" s="378"/>
      <c r="Q1926" s="43"/>
      <c r="R1926" s="209"/>
    </row>
    <row r="1927" spans="1:18" ht="35.25" hidden="1" customHeight="1">
      <c r="A1927" s="15">
        <f t="shared" si="29"/>
        <v>1917</v>
      </c>
      <c r="B1927" s="211" t="s">
        <v>3007</v>
      </c>
      <c r="C1927" s="206" t="s">
        <v>3006</v>
      </c>
      <c r="D1927" s="19"/>
      <c r="E1927" s="19"/>
      <c r="F1927" s="19"/>
      <c r="G1927" s="206"/>
      <c r="H1927" s="141"/>
      <c r="I1927" s="207" t="s">
        <v>18</v>
      </c>
      <c r="J1927" s="207">
        <v>1</v>
      </c>
      <c r="K1927" s="142" t="s">
        <v>730</v>
      </c>
      <c r="L1927" s="275" t="s">
        <v>3209</v>
      </c>
      <c r="M1927" s="11" t="str">
        <f>VLOOKUP(N1927,'Mã NV'!$A$3:$B$196,2,0)</f>
        <v>BU06</v>
      </c>
      <c r="N1927" s="304" t="s">
        <v>3213</v>
      </c>
      <c r="O1927" s="380">
        <f>VLOOKUP(B1927,'Tổng hợp (3)'!$C$4:$E$985,3,0)</f>
        <v>44902</v>
      </c>
      <c r="P1927" s="378"/>
      <c r="Q1927" s="43"/>
      <c r="R1927" s="209"/>
    </row>
    <row r="1928" spans="1:18" ht="35.25" hidden="1" customHeight="1">
      <c r="A1928" s="15">
        <f t="shared" si="29"/>
        <v>1918</v>
      </c>
      <c r="B1928" s="211" t="s">
        <v>3008</v>
      </c>
      <c r="C1928" s="206" t="s">
        <v>3006</v>
      </c>
      <c r="D1928" s="19"/>
      <c r="E1928" s="19"/>
      <c r="F1928" s="19"/>
      <c r="G1928" s="206"/>
      <c r="H1928" s="141"/>
      <c r="I1928" s="207" t="s">
        <v>18</v>
      </c>
      <c r="J1928" s="207">
        <v>1</v>
      </c>
      <c r="K1928" s="142" t="s">
        <v>730</v>
      </c>
      <c r="L1928" s="275" t="s">
        <v>3209</v>
      </c>
      <c r="M1928" s="11" t="str">
        <f>VLOOKUP(N1928,'Mã NV'!$A$3:$B$196,2,0)</f>
        <v>BU06</v>
      </c>
      <c r="N1928" s="304" t="s">
        <v>3213</v>
      </c>
      <c r="O1928" s="380">
        <f>VLOOKUP(B1928,'Tổng hợp (3)'!$C$4:$E$985,3,0)</f>
        <v>44902</v>
      </c>
      <c r="P1928" s="378"/>
      <c r="Q1928" s="43"/>
      <c r="R1928" s="209"/>
    </row>
    <row r="1929" spans="1:18" ht="35.25" hidden="1" customHeight="1">
      <c r="A1929" s="15">
        <f t="shared" si="29"/>
        <v>1919</v>
      </c>
      <c r="B1929" s="211" t="s">
        <v>3009</v>
      </c>
      <c r="C1929" s="206" t="s">
        <v>685</v>
      </c>
      <c r="D1929" s="19"/>
      <c r="E1929" s="19"/>
      <c r="F1929" s="19"/>
      <c r="G1929" s="206"/>
      <c r="H1929" s="141"/>
      <c r="I1929" s="207" t="s">
        <v>18</v>
      </c>
      <c r="J1929" s="207">
        <v>1</v>
      </c>
      <c r="K1929" s="142" t="s">
        <v>730</v>
      </c>
      <c r="L1929" s="275" t="s">
        <v>3209</v>
      </c>
      <c r="M1929" s="11" t="str">
        <f>VLOOKUP(N1929,'Mã NV'!$A$3:$B$196,2,0)</f>
        <v>BU06</v>
      </c>
      <c r="N1929" s="304" t="s">
        <v>3213</v>
      </c>
      <c r="O1929" s="380">
        <f>VLOOKUP(B1929,'Tổng hợp (3)'!$C$4:$E$985,3,0)</f>
        <v>44902</v>
      </c>
      <c r="P1929" s="378"/>
      <c r="Q1929" s="43"/>
      <c r="R1929" s="209"/>
    </row>
    <row r="1930" spans="1:18" ht="35.25" hidden="1" customHeight="1">
      <c r="A1930" s="15">
        <f t="shared" si="29"/>
        <v>1920</v>
      </c>
      <c r="B1930" s="211" t="s">
        <v>3010</v>
      </c>
      <c r="C1930" s="206" t="s">
        <v>3011</v>
      </c>
      <c r="D1930" s="19"/>
      <c r="E1930" s="19"/>
      <c r="F1930" s="19"/>
      <c r="G1930" s="206"/>
      <c r="H1930" s="141"/>
      <c r="I1930" s="207" t="s">
        <v>18</v>
      </c>
      <c r="J1930" s="207">
        <v>1</v>
      </c>
      <c r="K1930" s="142" t="s">
        <v>730</v>
      </c>
      <c r="L1930" s="275" t="s">
        <v>3209</v>
      </c>
      <c r="M1930" s="11" t="str">
        <f>VLOOKUP(N1930,'Mã NV'!$A$3:$B$196,2,0)</f>
        <v>BU06</v>
      </c>
      <c r="N1930" s="304" t="s">
        <v>3213</v>
      </c>
      <c r="O1930" s="389">
        <v>44902</v>
      </c>
      <c r="P1930" s="371"/>
      <c r="Q1930" s="43"/>
      <c r="R1930" s="209"/>
    </row>
    <row r="1931" spans="1:18" ht="35.25" hidden="1" customHeight="1">
      <c r="A1931" s="15">
        <f t="shared" si="29"/>
        <v>1921</v>
      </c>
      <c r="B1931" s="211" t="s">
        <v>3012</v>
      </c>
      <c r="C1931" s="206" t="s">
        <v>3011</v>
      </c>
      <c r="D1931" s="19"/>
      <c r="E1931" s="19"/>
      <c r="F1931" s="19"/>
      <c r="G1931" s="206"/>
      <c r="H1931" s="141"/>
      <c r="I1931" s="207" t="s">
        <v>18</v>
      </c>
      <c r="J1931" s="207">
        <v>1</v>
      </c>
      <c r="K1931" s="142" t="s">
        <v>730</v>
      </c>
      <c r="L1931" s="275" t="s">
        <v>3209</v>
      </c>
      <c r="M1931" s="11" t="str">
        <f>VLOOKUP(N1931,'Mã NV'!$A$3:$B$196,2,0)</f>
        <v>BU06</v>
      </c>
      <c r="N1931" s="304" t="s">
        <v>3213</v>
      </c>
      <c r="O1931" s="389">
        <v>44902</v>
      </c>
      <c r="P1931" s="371"/>
      <c r="Q1931" s="43"/>
      <c r="R1931" s="209"/>
    </row>
    <row r="1932" spans="1:18" ht="35.25" hidden="1" customHeight="1">
      <c r="A1932" s="15">
        <f t="shared" si="29"/>
        <v>1922</v>
      </c>
      <c r="B1932" s="211" t="s">
        <v>3013</v>
      </c>
      <c r="C1932" s="206" t="s">
        <v>3011</v>
      </c>
      <c r="D1932" s="19"/>
      <c r="E1932" s="19"/>
      <c r="F1932" s="19"/>
      <c r="G1932" s="206"/>
      <c r="H1932" s="141"/>
      <c r="I1932" s="207" t="s">
        <v>18</v>
      </c>
      <c r="J1932" s="207">
        <v>1</v>
      </c>
      <c r="K1932" s="142" t="s">
        <v>730</v>
      </c>
      <c r="L1932" s="275" t="s">
        <v>3209</v>
      </c>
      <c r="M1932" s="11" t="str">
        <f>VLOOKUP(N1932,'Mã NV'!$A$3:$B$196,2,0)</f>
        <v>BU06</v>
      </c>
      <c r="N1932" s="304" t="s">
        <v>3213</v>
      </c>
      <c r="O1932" s="389">
        <v>44902</v>
      </c>
      <c r="P1932" s="371"/>
      <c r="Q1932" s="43"/>
      <c r="R1932" s="209"/>
    </row>
    <row r="1933" spans="1:18" ht="35.25" hidden="1" customHeight="1">
      <c r="A1933" s="15">
        <f t="shared" si="29"/>
        <v>1923</v>
      </c>
      <c r="B1933" s="211" t="s">
        <v>3014</v>
      </c>
      <c r="C1933" s="206" t="s">
        <v>3011</v>
      </c>
      <c r="D1933" s="19"/>
      <c r="E1933" s="19"/>
      <c r="F1933" s="19"/>
      <c r="G1933" s="206"/>
      <c r="H1933" s="141"/>
      <c r="I1933" s="207" t="s">
        <v>18</v>
      </c>
      <c r="J1933" s="207">
        <v>1</v>
      </c>
      <c r="K1933" s="142" t="s">
        <v>730</v>
      </c>
      <c r="L1933" s="275" t="s">
        <v>3209</v>
      </c>
      <c r="M1933" s="11" t="str">
        <f>VLOOKUP(N1933,'Mã NV'!$A$3:$B$196,2,0)</f>
        <v>BU06</v>
      </c>
      <c r="N1933" s="304" t="s">
        <v>3213</v>
      </c>
      <c r="O1933" s="389">
        <v>44902</v>
      </c>
      <c r="P1933" s="371"/>
      <c r="Q1933" s="43"/>
      <c r="R1933" s="209"/>
    </row>
    <row r="1934" spans="1:18" ht="35.25" hidden="1" customHeight="1">
      <c r="A1934" s="15">
        <f t="shared" si="29"/>
        <v>1924</v>
      </c>
      <c r="B1934" s="211" t="s">
        <v>3015</v>
      </c>
      <c r="C1934" s="206" t="s">
        <v>3011</v>
      </c>
      <c r="D1934" s="19"/>
      <c r="E1934" s="19"/>
      <c r="F1934" s="19"/>
      <c r="G1934" s="206"/>
      <c r="H1934" s="141"/>
      <c r="I1934" s="207" t="s">
        <v>18</v>
      </c>
      <c r="J1934" s="207">
        <v>1</v>
      </c>
      <c r="K1934" s="142" t="s">
        <v>730</v>
      </c>
      <c r="L1934" s="275" t="s">
        <v>3209</v>
      </c>
      <c r="M1934" s="11" t="str">
        <f>VLOOKUP(N1934,'Mã NV'!$A$3:$B$196,2,0)</f>
        <v>BU06</v>
      </c>
      <c r="N1934" s="304" t="s">
        <v>3213</v>
      </c>
      <c r="O1934" s="389">
        <v>44902</v>
      </c>
      <c r="P1934" s="371"/>
      <c r="Q1934" s="43"/>
      <c r="R1934" s="209"/>
    </row>
    <row r="1935" spans="1:18" ht="35.25" hidden="1" customHeight="1">
      <c r="A1935" s="15">
        <f t="shared" si="29"/>
        <v>1925</v>
      </c>
      <c r="B1935" s="211" t="s">
        <v>3016</v>
      </c>
      <c r="C1935" s="206" t="s">
        <v>3011</v>
      </c>
      <c r="D1935" s="19"/>
      <c r="E1935" s="19"/>
      <c r="F1935" s="19"/>
      <c r="G1935" s="206"/>
      <c r="H1935" s="141"/>
      <c r="I1935" s="207" t="s">
        <v>18</v>
      </c>
      <c r="J1935" s="207">
        <v>1</v>
      </c>
      <c r="K1935" s="142" t="s">
        <v>730</v>
      </c>
      <c r="L1935" s="275" t="s">
        <v>3209</v>
      </c>
      <c r="M1935" s="11" t="str">
        <f>VLOOKUP(N1935,'Mã NV'!$A$3:$B$196,2,0)</f>
        <v>BU06</v>
      </c>
      <c r="N1935" s="304" t="s">
        <v>3213</v>
      </c>
      <c r="O1935" s="389">
        <v>44902</v>
      </c>
      <c r="P1935" s="371"/>
      <c r="Q1935" s="43"/>
      <c r="R1935" s="209"/>
    </row>
    <row r="1936" spans="1:18" ht="35.25" hidden="1" customHeight="1">
      <c r="A1936" s="15">
        <f t="shared" si="29"/>
        <v>1926</v>
      </c>
      <c r="B1936" s="211" t="s">
        <v>3017</v>
      </c>
      <c r="C1936" s="206" t="s">
        <v>3011</v>
      </c>
      <c r="D1936" s="19"/>
      <c r="E1936" s="19"/>
      <c r="F1936" s="19"/>
      <c r="G1936" s="206"/>
      <c r="H1936" s="141"/>
      <c r="I1936" s="207" t="s">
        <v>18</v>
      </c>
      <c r="J1936" s="207">
        <v>1</v>
      </c>
      <c r="K1936" s="142" t="s">
        <v>730</v>
      </c>
      <c r="L1936" s="275" t="s">
        <v>3209</v>
      </c>
      <c r="M1936" s="11" t="str">
        <f>VLOOKUP(N1936,'Mã NV'!$A$3:$B$196,2,0)</f>
        <v>BU06</v>
      </c>
      <c r="N1936" s="304" t="s">
        <v>3213</v>
      </c>
      <c r="O1936" s="389">
        <v>44902</v>
      </c>
      <c r="P1936" s="371"/>
      <c r="Q1936" s="43"/>
      <c r="R1936" s="209"/>
    </row>
    <row r="1937" spans="1:18" ht="35.25" hidden="1" customHeight="1">
      <c r="A1937" s="15">
        <f t="shared" si="29"/>
        <v>1927</v>
      </c>
      <c r="B1937" s="211" t="s">
        <v>3018</v>
      </c>
      <c r="C1937" s="206" t="s">
        <v>3011</v>
      </c>
      <c r="D1937" s="19"/>
      <c r="E1937" s="19"/>
      <c r="F1937" s="19"/>
      <c r="G1937" s="206"/>
      <c r="H1937" s="141"/>
      <c r="I1937" s="207" t="s">
        <v>18</v>
      </c>
      <c r="J1937" s="207">
        <v>1</v>
      </c>
      <c r="K1937" s="142" t="s">
        <v>730</v>
      </c>
      <c r="L1937" s="275" t="s">
        <v>3209</v>
      </c>
      <c r="M1937" s="11" t="str">
        <f>VLOOKUP(N1937,'Mã NV'!$A$3:$B$196,2,0)</f>
        <v>BU06</v>
      </c>
      <c r="N1937" s="304" t="s">
        <v>3213</v>
      </c>
      <c r="O1937" s="389">
        <v>44902</v>
      </c>
      <c r="P1937" s="371"/>
      <c r="Q1937" s="43"/>
      <c r="R1937" s="209"/>
    </row>
    <row r="1938" spans="1:18" ht="35.25" hidden="1" customHeight="1">
      <c r="A1938" s="15">
        <f t="shared" si="29"/>
        <v>1928</v>
      </c>
      <c r="B1938" s="211" t="s">
        <v>3019</v>
      </c>
      <c r="C1938" s="206" t="s">
        <v>3011</v>
      </c>
      <c r="D1938" s="19"/>
      <c r="E1938" s="19"/>
      <c r="F1938" s="19"/>
      <c r="G1938" s="206"/>
      <c r="H1938" s="141"/>
      <c r="I1938" s="207" t="s">
        <v>18</v>
      </c>
      <c r="J1938" s="207">
        <v>1</v>
      </c>
      <c r="K1938" s="142" t="s">
        <v>730</v>
      </c>
      <c r="L1938" s="275" t="s">
        <v>3209</v>
      </c>
      <c r="M1938" s="11" t="str">
        <f>VLOOKUP(N1938,'Mã NV'!$A$3:$B$196,2,0)</f>
        <v>BU06</v>
      </c>
      <c r="N1938" s="304" t="s">
        <v>3213</v>
      </c>
      <c r="O1938" s="389">
        <v>44902</v>
      </c>
      <c r="P1938" s="371"/>
      <c r="Q1938" s="43"/>
      <c r="R1938" s="209"/>
    </row>
    <row r="1939" spans="1:18" ht="35.25" hidden="1" customHeight="1">
      <c r="A1939" s="15">
        <f t="shared" ref="A1939:A2002" si="30">A1938+1</f>
        <v>1929</v>
      </c>
      <c r="B1939" s="211" t="s">
        <v>3020</v>
      </c>
      <c r="C1939" s="206" t="s">
        <v>3011</v>
      </c>
      <c r="D1939" s="19"/>
      <c r="E1939" s="19"/>
      <c r="F1939" s="19"/>
      <c r="G1939" s="206"/>
      <c r="H1939" s="141"/>
      <c r="I1939" s="207" t="s">
        <v>18</v>
      </c>
      <c r="J1939" s="207">
        <v>1</v>
      </c>
      <c r="K1939" s="142" t="s">
        <v>730</v>
      </c>
      <c r="L1939" s="275" t="s">
        <v>3209</v>
      </c>
      <c r="M1939" s="11" t="str">
        <f>VLOOKUP(N1939,'Mã NV'!$A$3:$B$196,2,0)</f>
        <v>BU06</v>
      </c>
      <c r="N1939" s="304" t="s">
        <v>3213</v>
      </c>
      <c r="O1939" s="389">
        <v>44902</v>
      </c>
      <c r="P1939" s="371"/>
      <c r="Q1939" s="43"/>
      <c r="R1939" s="209"/>
    </row>
    <row r="1940" spans="1:18" ht="35.25" hidden="1" customHeight="1">
      <c r="A1940" s="15">
        <f t="shared" si="30"/>
        <v>1930</v>
      </c>
      <c r="B1940" s="211" t="s">
        <v>3021</v>
      </c>
      <c r="C1940" s="206" t="s">
        <v>3011</v>
      </c>
      <c r="D1940" s="19"/>
      <c r="E1940" s="19"/>
      <c r="F1940" s="19"/>
      <c r="G1940" s="206"/>
      <c r="H1940" s="141"/>
      <c r="I1940" s="207" t="s">
        <v>18</v>
      </c>
      <c r="J1940" s="207">
        <v>1</v>
      </c>
      <c r="K1940" s="142" t="s">
        <v>730</v>
      </c>
      <c r="L1940" s="275" t="s">
        <v>3209</v>
      </c>
      <c r="M1940" s="11" t="str">
        <f>VLOOKUP(N1940,'Mã NV'!$A$3:$B$196,2,0)</f>
        <v>BU06</v>
      </c>
      <c r="N1940" s="304" t="s">
        <v>3213</v>
      </c>
      <c r="O1940" s="389">
        <v>44902</v>
      </c>
      <c r="P1940" s="371"/>
      <c r="Q1940" s="43"/>
      <c r="R1940" s="209"/>
    </row>
    <row r="1941" spans="1:18" ht="35.25" hidden="1" customHeight="1">
      <c r="A1941" s="15">
        <f t="shared" si="30"/>
        <v>1931</v>
      </c>
      <c r="B1941" s="211" t="s">
        <v>3022</v>
      </c>
      <c r="C1941" s="206" t="s">
        <v>3011</v>
      </c>
      <c r="D1941" s="19"/>
      <c r="E1941" s="19"/>
      <c r="F1941" s="19"/>
      <c r="G1941" s="206"/>
      <c r="H1941" s="141"/>
      <c r="I1941" s="207" t="s">
        <v>18</v>
      </c>
      <c r="J1941" s="207">
        <v>1</v>
      </c>
      <c r="K1941" s="142" t="s">
        <v>730</v>
      </c>
      <c r="L1941" s="275" t="s">
        <v>3209</v>
      </c>
      <c r="M1941" s="11" t="str">
        <f>VLOOKUP(N1941,'Mã NV'!$A$3:$B$196,2,0)</f>
        <v>BU06</v>
      </c>
      <c r="N1941" s="304" t="s">
        <v>3213</v>
      </c>
      <c r="O1941" s="389">
        <v>44902</v>
      </c>
      <c r="P1941" s="371"/>
      <c r="Q1941" s="43"/>
      <c r="R1941" s="209"/>
    </row>
    <row r="1942" spans="1:18" ht="35.25" hidden="1" customHeight="1">
      <c r="A1942" s="15">
        <f t="shared" si="30"/>
        <v>1932</v>
      </c>
      <c r="B1942" s="211" t="s">
        <v>3023</v>
      </c>
      <c r="C1942" s="206" t="s">
        <v>3011</v>
      </c>
      <c r="D1942" s="19"/>
      <c r="E1942" s="19"/>
      <c r="F1942" s="19"/>
      <c r="G1942" s="206"/>
      <c r="H1942" s="141"/>
      <c r="I1942" s="207" t="s">
        <v>18</v>
      </c>
      <c r="J1942" s="207">
        <v>1</v>
      </c>
      <c r="K1942" s="142" t="s">
        <v>730</v>
      </c>
      <c r="L1942" s="275" t="s">
        <v>3209</v>
      </c>
      <c r="M1942" s="11" t="str">
        <f>VLOOKUP(N1942,'Mã NV'!$A$3:$B$196,2,0)</f>
        <v>BU06</v>
      </c>
      <c r="N1942" s="304" t="s">
        <v>3213</v>
      </c>
      <c r="O1942" s="389">
        <v>44902</v>
      </c>
      <c r="P1942" s="371"/>
      <c r="Q1942" s="43"/>
      <c r="R1942" s="209"/>
    </row>
    <row r="1943" spans="1:18" ht="35.25" hidden="1" customHeight="1">
      <c r="A1943" s="15">
        <f t="shared" si="30"/>
        <v>1933</v>
      </c>
      <c r="B1943" s="211" t="s">
        <v>3024</v>
      </c>
      <c r="C1943" s="206" t="s">
        <v>3025</v>
      </c>
      <c r="D1943" s="19"/>
      <c r="E1943" s="19"/>
      <c r="F1943" s="19"/>
      <c r="G1943" s="206"/>
      <c r="H1943" s="141"/>
      <c r="I1943" s="207" t="s">
        <v>18</v>
      </c>
      <c r="J1943" s="207">
        <v>1</v>
      </c>
      <c r="K1943" s="142" t="s">
        <v>730</v>
      </c>
      <c r="L1943" s="275" t="s">
        <v>3209</v>
      </c>
      <c r="M1943" s="11" t="str">
        <f>VLOOKUP(N1943,'Mã NV'!$A$3:$B$196,2,0)</f>
        <v>BU06</v>
      </c>
      <c r="N1943" s="304" t="s">
        <v>3213</v>
      </c>
      <c r="O1943" s="380">
        <f>VLOOKUP(B1943,'Tổng hợp (3)'!$C$4:$E$985,3,0)</f>
        <v>44902</v>
      </c>
      <c r="P1943" s="378"/>
      <c r="Q1943" s="43"/>
      <c r="R1943" s="209"/>
    </row>
    <row r="1944" spans="1:18" ht="35.25" hidden="1" customHeight="1">
      <c r="A1944" s="15">
        <f t="shared" si="30"/>
        <v>1934</v>
      </c>
      <c r="B1944" s="211" t="s">
        <v>3026</v>
      </c>
      <c r="C1944" s="206" t="s">
        <v>3025</v>
      </c>
      <c r="D1944" s="19"/>
      <c r="E1944" s="19"/>
      <c r="F1944" s="19"/>
      <c r="G1944" s="206"/>
      <c r="H1944" s="141"/>
      <c r="I1944" s="207" t="s">
        <v>18</v>
      </c>
      <c r="J1944" s="207">
        <v>1</v>
      </c>
      <c r="K1944" s="142" t="s">
        <v>730</v>
      </c>
      <c r="L1944" s="275" t="s">
        <v>3209</v>
      </c>
      <c r="M1944" s="11" t="str">
        <f>VLOOKUP(N1944,'Mã NV'!$A$3:$B$196,2,0)</f>
        <v>BU06</v>
      </c>
      <c r="N1944" s="304" t="s">
        <v>3213</v>
      </c>
      <c r="O1944" s="380">
        <f>VLOOKUP(B1944,'Tổng hợp (3)'!$C$4:$E$985,3,0)</f>
        <v>44902</v>
      </c>
      <c r="P1944" s="378"/>
      <c r="Q1944" s="43"/>
      <c r="R1944" s="209"/>
    </row>
    <row r="1945" spans="1:18" ht="35.25" hidden="1" customHeight="1">
      <c r="A1945" s="15">
        <f t="shared" si="30"/>
        <v>1935</v>
      </c>
      <c r="B1945" s="211" t="s">
        <v>3027</v>
      </c>
      <c r="C1945" s="206" t="s">
        <v>3025</v>
      </c>
      <c r="D1945" s="19"/>
      <c r="E1945" s="19"/>
      <c r="F1945" s="19"/>
      <c r="G1945" s="206"/>
      <c r="H1945" s="141"/>
      <c r="I1945" s="207" t="s">
        <v>18</v>
      </c>
      <c r="J1945" s="207">
        <v>1</v>
      </c>
      <c r="K1945" s="142" t="s">
        <v>730</v>
      </c>
      <c r="L1945" s="275" t="s">
        <v>3209</v>
      </c>
      <c r="M1945" s="11" t="str">
        <f>VLOOKUP(N1945,'Mã NV'!$A$3:$B$196,2,0)</f>
        <v>BU06</v>
      </c>
      <c r="N1945" s="304" t="s">
        <v>3213</v>
      </c>
      <c r="O1945" s="380">
        <f>VLOOKUP(B1945,'Tổng hợp (3)'!$C$4:$E$985,3,0)</f>
        <v>44902</v>
      </c>
      <c r="P1945" s="378"/>
      <c r="Q1945" s="43"/>
      <c r="R1945" s="209"/>
    </row>
    <row r="1946" spans="1:18" ht="35.25" hidden="1" customHeight="1">
      <c r="A1946" s="15">
        <f t="shared" si="30"/>
        <v>1936</v>
      </c>
      <c r="B1946" s="211" t="s">
        <v>3028</v>
      </c>
      <c r="C1946" s="206" t="s">
        <v>3006</v>
      </c>
      <c r="D1946" s="19"/>
      <c r="E1946" s="19"/>
      <c r="F1946" s="19"/>
      <c r="G1946" s="206"/>
      <c r="H1946" s="141"/>
      <c r="I1946" s="207" t="s">
        <v>18</v>
      </c>
      <c r="J1946" s="207">
        <v>1</v>
      </c>
      <c r="K1946" s="142" t="s">
        <v>730</v>
      </c>
      <c r="L1946" s="275" t="s">
        <v>3209</v>
      </c>
      <c r="M1946" s="11" t="str">
        <f>VLOOKUP(N1946,'Mã NV'!$A$3:$B$196,2,0)</f>
        <v>BU06</v>
      </c>
      <c r="N1946" s="304" t="s">
        <v>3213</v>
      </c>
      <c r="O1946" s="380">
        <f>VLOOKUP(B1946,'Tổng hợp (3)'!$C$4:$E$985,3,0)</f>
        <v>44905</v>
      </c>
      <c r="P1946" s="378"/>
      <c r="Q1946" s="43"/>
      <c r="R1946" s="209"/>
    </row>
    <row r="1947" spans="1:18" ht="35.25" hidden="1" customHeight="1">
      <c r="A1947" s="15">
        <f t="shared" si="30"/>
        <v>1937</v>
      </c>
      <c r="B1947" s="211" t="s">
        <v>3029</v>
      </c>
      <c r="C1947" s="206" t="s">
        <v>3006</v>
      </c>
      <c r="D1947" s="19"/>
      <c r="E1947" s="19"/>
      <c r="F1947" s="19"/>
      <c r="G1947" s="206"/>
      <c r="H1947" s="141"/>
      <c r="I1947" s="207" t="s">
        <v>18</v>
      </c>
      <c r="J1947" s="207">
        <v>1</v>
      </c>
      <c r="K1947" s="142" t="s">
        <v>730</v>
      </c>
      <c r="L1947" s="275" t="s">
        <v>3209</v>
      </c>
      <c r="M1947" s="11" t="str">
        <f>VLOOKUP(N1947,'Mã NV'!$A$3:$B$196,2,0)</f>
        <v>BU06</v>
      </c>
      <c r="N1947" s="304" t="s">
        <v>3213</v>
      </c>
      <c r="O1947" s="380">
        <f>VLOOKUP(B1947,'Tổng hợp (3)'!$C$4:$E$985,3,0)</f>
        <v>44905</v>
      </c>
      <c r="P1947" s="378"/>
      <c r="Q1947" s="43"/>
      <c r="R1947" s="209"/>
    </row>
    <row r="1948" spans="1:18" ht="35.25" hidden="1" customHeight="1">
      <c r="A1948" s="15">
        <f t="shared" si="30"/>
        <v>1938</v>
      </c>
      <c r="B1948" s="211" t="s">
        <v>3030</v>
      </c>
      <c r="C1948" s="206" t="s">
        <v>3031</v>
      </c>
      <c r="D1948" s="19"/>
      <c r="E1948" s="19"/>
      <c r="F1948" s="19"/>
      <c r="G1948" s="206"/>
      <c r="H1948" s="141"/>
      <c r="I1948" s="207" t="s">
        <v>181</v>
      </c>
      <c r="J1948" s="207">
        <v>1</v>
      </c>
      <c r="K1948" s="142" t="s">
        <v>730</v>
      </c>
      <c r="L1948" s="275" t="s">
        <v>3209</v>
      </c>
      <c r="M1948" s="11" t="str">
        <f>VLOOKUP(N1948,'Mã NV'!$A$3:$B$196,2,0)</f>
        <v>BU06</v>
      </c>
      <c r="N1948" s="304" t="s">
        <v>3213</v>
      </c>
      <c r="O1948" s="380">
        <f>VLOOKUP(B1948,'Tổng hợp (3)'!$C$4:$E$985,3,0)</f>
        <v>44905</v>
      </c>
      <c r="P1948" s="378"/>
      <c r="Q1948" s="43"/>
      <c r="R1948" s="209"/>
    </row>
    <row r="1949" spans="1:18" ht="35.25" hidden="1" customHeight="1">
      <c r="A1949" s="15">
        <f t="shared" si="30"/>
        <v>1939</v>
      </c>
      <c r="B1949" s="211" t="s">
        <v>3032</v>
      </c>
      <c r="C1949" s="206" t="s">
        <v>3033</v>
      </c>
      <c r="D1949" s="19"/>
      <c r="E1949" s="19"/>
      <c r="F1949" s="19"/>
      <c r="G1949" s="206"/>
      <c r="H1949" s="141"/>
      <c r="I1949" s="207" t="s">
        <v>18</v>
      </c>
      <c r="J1949" s="207">
        <v>1</v>
      </c>
      <c r="K1949" s="142" t="s">
        <v>730</v>
      </c>
      <c r="L1949" s="275" t="s">
        <v>3209</v>
      </c>
      <c r="M1949" s="11" t="str">
        <f>VLOOKUP(N1949,'Mã NV'!$A$3:$B$196,2,0)</f>
        <v>BU06</v>
      </c>
      <c r="N1949" s="304" t="s">
        <v>3213</v>
      </c>
      <c r="O1949" s="380">
        <f>VLOOKUP(B1949,'Tổng hợp (3)'!$C$4:$E$985,3,0)</f>
        <v>44905</v>
      </c>
      <c r="P1949" s="378"/>
      <c r="Q1949" s="43"/>
      <c r="R1949" s="209"/>
    </row>
    <row r="1950" spans="1:18" ht="35.25" hidden="1" customHeight="1">
      <c r="A1950" s="15">
        <f t="shared" si="30"/>
        <v>1940</v>
      </c>
      <c r="B1950" s="211" t="s">
        <v>3034</v>
      </c>
      <c r="C1950" s="206" t="s">
        <v>3035</v>
      </c>
      <c r="D1950" s="19"/>
      <c r="E1950" s="19"/>
      <c r="F1950" s="19"/>
      <c r="G1950" s="206"/>
      <c r="H1950" s="141"/>
      <c r="I1950" s="207" t="s">
        <v>18</v>
      </c>
      <c r="J1950" s="207">
        <v>1</v>
      </c>
      <c r="K1950" s="142" t="s">
        <v>730</v>
      </c>
      <c r="L1950" s="275" t="s">
        <v>3209</v>
      </c>
      <c r="M1950" s="11" t="str">
        <f>VLOOKUP(N1950,'Mã NV'!$A$3:$B$196,2,0)</f>
        <v>BU06</v>
      </c>
      <c r="N1950" s="304" t="s">
        <v>3213</v>
      </c>
      <c r="O1950" s="389">
        <v>44905</v>
      </c>
      <c r="P1950" s="371"/>
      <c r="Q1950" s="43"/>
      <c r="R1950" s="209"/>
    </row>
    <row r="1951" spans="1:18" ht="35.25" hidden="1" customHeight="1">
      <c r="A1951" s="15">
        <f t="shared" si="30"/>
        <v>1941</v>
      </c>
      <c r="B1951" s="211" t="s">
        <v>3036</v>
      </c>
      <c r="C1951" s="206" t="s">
        <v>3035</v>
      </c>
      <c r="D1951" s="19"/>
      <c r="E1951" s="19"/>
      <c r="F1951" s="19"/>
      <c r="G1951" s="206"/>
      <c r="H1951" s="141"/>
      <c r="I1951" s="207" t="s">
        <v>18</v>
      </c>
      <c r="J1951" s="207">
        <v>1</v>
      </c>
      <c r="K1951" s="142" t="s">
        <v>730</v>
      </c>
      <c r="L1951" s="275" t="s">
        <v>3209</v>
      </c>
      <c r="M1951" s="11" t="str">
        <f>VLOOKUP(N1951,'Mã NV'!$A$3:$B$196,2,0)</f>
        <v>BU06</v>
      </c>
      <c r="N1951" s="304" t="s">
        <v>3213</v>
      </c>
      <c r="O1951" s="389">
        <v>44905</v>
      </c>
      <c r="P1951" s="371"/>
      <c r="Q1951" s="43"/>
      <c r="R1951" s="209"/>
    </row>
    <row r="1952" spans="1:18" ht="35.25" hidden="1" customHeight="1">
      <c r="A1952" s="15">
        <f t="shared" si="30"/>
        <v>1942</v>
      </c>
      <c r="B1952" s="211" t="s">
        <v>3037</v>
      </c>
      <c r="C1952" s="206" t="s">
        <v>3035</v>
      </c>
      <c r="D1952" s="19"/>
      <c r="E1952" s="19"/>
      <c r="F1952" s="19"/>
      <c r="G1952" s="206"/>
      <c r="H1952" s="141"/>
      <c r="I1952" s="207" t="s">
        <v>18</v>
      </c>
      <c r="J1952" s="207">
        <v>1</v>
      </c>
      <c r="K1952" s="142" t="s">
        <v>730</v>
      </c>
      <c r="L1952" s="275" t="s">
        <v>3209</v>
      </c>
      <c r="M1952" s="11" t="str">
        <f>VLOOKUP(N1952,'Mã NV'!$A$3:$B$196,2,0)</f>
        <v>BU06</v>
      </c>
      <c r="N1952" s="304" t="s">
        <v>3213</v>
      </c>
      <c r="O1952" s="389">
        <v>44905</v>
      </c>
      <c r="P1952" s="371"/>
      <c r="Q1952" s="43"/>
      <c r="R1952" s="209"/>
    </row>
    <row r="1953" spans="1:18" ht="35.25" hidden="1" customHeight="1">
      <c r="A1953" s="15">
        <f t="shared" si="30"/>
        <v>1943</v>
      </c>
      <c r="B1953" s="211" t="s">
        <v>3038</v>
      </c>
      <c r="C1953" s="206" t="s">
        <v>3035</v>
      </c>
      <c r="D1953" s="19"/>
      <c r="E1953" s="19"/>
      <c r="F1953" s="19"/>
      <c r="G1953" s="206"/>
      <c r="H1953" s="141"/>
      <c r="I1953" s="207" t="s">
        <v>18</v>
      </c>
      <c r="J1953" s="207">
        <v>1</v>
      </c>
      <c r="K1953" s="142" t="s">
        <v>730</v>
      </c>
      <c r="L1953" s="275" t="s">
        <v>3209</v>
      </c>
      <c r="M1953" s="11" t="str">
        <f>VLOOKUP(N1953,'Mã NV'!$A$3:$B$196,2,0)</f>
        <v>BU06</v>
      </c>
      <c r="N1953" s="304" t="s">
        <v>3213</v>
      </c>
      <c r="O1953" s="389">
        <v>44905</v>
      </c>
      <c r="P1953" s="371"/>
      <c r="Q1953" s="43"/>
      <c r="R1953" s="209"/>
    </row>
    <row r="1954" spans="1:18" ht="35.25" hidden="1" customHeight="1">
      <c r="A1954" s="15">
        <f t="shared" si="30"/>
        <v>1944</v>
      </c>
      <c r="B1954" s="211" t="s">
        <v>3039</v>
      </c>
      <c r="C1954" s="206" t="s">
        <v>3035</v>
      </c>
      <c r="D1954" s="19"/>
      <c r="E1954" s="19"/>
      <c r="F1954" s="19"/>
      <c r="G1954" s="206"/>
      <c r="H1954" s="141"/>
      <c r="I1954" s="207" t="s">
        <v>18</v>
      </c>
      <c r="J1954" s="207">
        <v>1</v>
      </c>
      <c r="K1954" s="142" t="s">
        <v>730</v>
      </c>
      <c r="L1954" s="275" t="s">
        <v>3209</v>
      </c>
      <c r="M1954" s="11" t="str">
        <f>VLOOKUP(N1954,'Mã NV'!$A$3:$B$196,2,0)</f>
        <v>BU06</v>
      </c>
      <c r="N1954" s="304" t="s">
        <v>3213</v>
      </c>
      <c r="O1954" s="389">
        <v>44905</v>
      </c>
      <c r="P1954" s="371"/>
      <c r="Q1954" s="43"/>
      <c r="R1954" s="209"/>
    </row>
    <row r="1955" spans="1:18" ht="35.25" hidden="1" customHeight="1">
      <c r="A1955" s="15">
        <f t="shared" si="30"/>
        <v>1945</v>
      </c>
      <c r="B1955" s="211" t="s">
        <v>3040</v>
      </c>
      <c r="C1955" s="206" t="s">
        <v>3035</v>
      </c>
      <c r="D1955" s="19"/>
      <c r="E1955" s="19"/>
      <c r="F1955" s="19"/>
      <c r="G1955" s="206"/>
      <c r="H1955" s="141"/>
      <c r="I1955" s="207" t="s">
        <v>18</v>
      </c>
      <c r="J1955" s="207">
        <v>1</v>
      </c>
      <c r="K1955" s="142" t="s">
        <v>730</v>
      </c>
      <c r="L1955" s="275" t="s">
        <v>3209</v>
      </c>
      <c r="M1955" s="11" t="str">
        <f>VLOOKUP(N1955,'Mã NV'!$A$3:$B$196,2,0)</f>
        <v>BU06</v>
      </c>
      <c r="N1955" s="304" t="s">
        <v>3213</v>
      </c>
      <c r="O1955" s="389">
        <v>44905</v>
      </c>
      <c r="P1955" s="371"/>
      <c r="Q1955" s="43"/>
      <c r="R1955" s="209"/>
    </row>
    <row r="1956" spans="1:18" ht="35.25" hidden="1" customHeight="1">
      <c r="A1956" s="15">
        <f t="shared" si="30"/>
        <v>1946</v>
      </c>
      <c r="B1956" s="211" t="s">
        <v>3041</v>
      </c>
      <c r="C1956" s="206" t="s">
        <v>3035</v>
      </c>
      <c r="D1956" s="19"/>
      <c r="E1956" s="19"/>
      <c r="F1956" s="19"/>
      <c r="G1956" s="206"/>
      <c r="H1956" s="141"/>
      <c r="I1956" s="207" t="s">
        <v>18</v>
      </c>
      <c r="J1956" s="207">
        <v>1</v>
      </c>
      <c r="K1956" s="142" t="s">
        <v>730</v>
      </c>
      <c r="L1956" s="275" t="s">
        <v>3209</v>
      </c>
      <c r="M1956" s="11" t="str">
        <f>VLOOKUP(N1956,'Mã NV'!$A$3:$B$196,2,0)</f>
        <v>BU06</v>
      </c>
      <c r="N1956" s="304" t="s">
        <v>3213</v>
      </c>
      <c r="O1956" s="389">
        <v>44905</v>
      </c>
      <c r="P1956" s="371"/>
      <c r="Q1956" s="43"/>
      <c r="R1956" s="209"/>
    </row>
    <row r="1957" spans="1:18" ht="35.25" hidden="1" customHeight="1">
      <c r="A1957" s="15">
        <f t="shared" si="30"/>
        <v>1947</v>
      </c>
      <c r="B1957" s="211" t="s">
        <v>3042</v>
      </c>
      <c r="C1957" s="206" t="s">
        <v>3043</v>
      </c>
      <c r="D1957" s="19"/>
      <c r="E1957" s="19"/>
      <c r="F1957" s="19"/>
      <c r="G1957" s="206"/>
      <c r="H1957" s="141"/>
      <c r="I1957" s="207" t="s">
        <v>18</v>
      </c>
      <c r="J1957" s="207">
        <v>1</v>
      </c>
      <c r="K1957" s="142" t="s">
        <v>730</v>
      </c>
      <c r="L1957" s="275" t="s">
        <v>3209</v>
      </c>
      <c r="M1957" s="11" t="str">
        <f>VLOOKUP(N1957,'Mã NV'!$A$3:$B$196,2,0)</f>
        <v>BU06</v>
      </c>
      <c r="N1957" s="304" t="s">
        <v>3213</v>
      </c>
      <c r="O1957" s="389">
        <v>44905</v>
      </c>
      <c r="P1957" s="371"/>
      <c r="Q1957" s="43"/>
      <c r="R1957" s="209"/>
    </row>
    <row r="1958" spans="1:18" ht="35.25" hidden="1" customHeight="1">
      <c r="A1958" s="15">
        <f t="shared" si="30"/>
        <v>1948</v>
      </c>
      <c r="B1958" s="211" t="s">
        <v>3044</v>
      </c>
      <c r="C1958" s="206" t="s">
        <v>3043</v>
      </c>
      <c r="D1958" s="19"/>
      <c r="E1958" s="19"/>
      <c r="F1958" s="19"/>
      <c r="G1958" s="206"/>
      <c r="H1958" s="141"/>
      <c r="I1958" s="207" t="s">
        <v>18</v>
      </c>
      <c r="J1958" s="207">
        <v>1</v>
      </c>
      <c r="K1958" s="142" t="s">
        <v>730</v>
      </c>
      <c r="L1958" s="275" t="s">
        <v>3209</v>
      </c>
      <c r="M1958" s="11" t="str">
        <f>VLOOKUP(N1958,'Mã NV'!$A$3:$B$196,2,0)</f>
        <v>BU06</v>
      </c>
      <c r="N1958" s="304" t="s">
        <v>3213</v>
      </c>
      <c r="O1958" s="389">
        <v>44905</v>
      </c>
      <c r="P1958" s="371"/>
      <c r="Q1958" s="43"/>
      <c r="R1958" s="209"/>
    </row>
    <row r="1959" spans="1:18" ht="35.25" hidden="1" customHeight="1">
      <c r="A1959" s="15">
        <f t="shared" si="30"/>
        <v>1949</v>
      </c>
      <c r="B1959" s="211" t="s">
        <v>3045</v>
      </c>
      <c r="C1959" s="206" t="s">
        <v>3043</v>
      </c>
      <c r="D1959" s="19"/>
      <c r="E1959" s="19"/>
      <c r="F1959" s="19"/>
      <c r="G1959" s="206"/>
      <c r="H1959" s="141"/>
      <c r="I1959" s="207" t="s">
        <v>18</v>
      </c>
      <c r="J1959" s="207">
        <v>1</v>
      </c>
      <c r="K1959" s="142" t="s">
        <v>730</v>
      </c>
      <c r="L1959" s="275" t="s">
        <v>3209</v>
      </c>
      <c r="M1959" s="11" t="str">
        <f>VLOOKUP(N1959,'Mã NV'!$A$3:$B$196,2,0)</f>
        <v>BU06</v>
      </c>
      <c r="N1959" s="304" t="s">
        <v>3213</v>
      </c>
      <c r="O1959" s="389">
        <v>44905</v>
      </c>
      <c r="P1959" s="371"/>
      <c r="Q1959" s="43"/>
      <c r="R1959" s="209"/>
    </row>
    <row r="1960" spans="1:18" ht="35.25" hidden="1" customHeight="1">
      <c r="A1960" s="15">
        <f t="shared" si="30"/>
        <v>1950</v>
      </c>
      <c r="B1960" s="211" t="s">
        <v>3046</v>
      </c>
      <c r="C1960" s="206" t="s">
        <v>3043</v>
      </c>
      <c r="D1960" s="19"/>
      <c r="E1960" s="19"/>
      <c r="F1960" s="19"/>
      <c r="G1960" s="206"/>
      <c r="H1960" s="141"/>
      <c r="I1960" s="207" t="s">
        <v>18</v>
      </c>
      <c r="J1960" s="207">
        <v>1</v>
      </c>
      <c r="K1960" s="142" t="s">
        <v>730</v>
      </c>
      <c r="L1960" s="275" t="s">
        <v>3209</v>
      </c>
      <c r="M1960" s="11" t="str">
        <f>VLOOKUP(N1960,'Mã NV'!$A$3:$B$196,2,0)</f>
        <v>BU06</v>
      </c>
      <c r="N1960" s="304" t="s">
        <v>3213</v>
      </c>
      <c r="O1960" s="389">
        <v>44905</v>
      </c>
      <c r="P1960" s="371"/>
      <c r="Q1960" s="43"/>
      <c r="R1960" s="209"/>
    </row>
    <row r="1961" spans="1:18" ht="35.25" hidden="1" customHeight="1">
      <c r="A1961" s="15">
        <f t="shared" si="30"/>
        <v>1951</v>
      </c>
      <c r="B1961" s="211" t="s">
        <v>3047</v>
      </c>
      <c r="C1961" s="206" t="s">
        <v>3043</v>
      </c>
      <c r="D1961" s="19"/>
      <c r="E1961" s="19"/>
      <c r="F1961" s="19"/>
      <c r="G1961" s="206"/>
      <c r="H1961" s="141"/>
      <c r="I1961" s="207" t="s">
        <v>18</v>
      </c>
      <c r="J1961" s="207">
        <v>1</v>
      </c>
      <c r="K1961" s="142" t="s">
        <v>730</v>
      </c>
      <c r="L1961" s="275" t="s">
        <v>3209</v>
      </c>
      <c r="M1961" s="11" t="str">
        <f>VLOOKUP(N1961,'Mã NV'!$A$3:$B$196,2,0)</f>
        <v>BU06</v>
      </c>
      <c r="N1961" s="304" t="s">
        <v>3213</v>
      </c>
      <c r="O1961" s="389">
        <v>44905</v>
      </c>
      <c r="P1961" s="371"/>
      <c r="Q1961" s="43"/>
      <c r="R1961" s="209"/>
    </row>
    <row r="1962" spans="1:18" ht="35.25" hidden="1" customHeight="1">
      <c r="A1962" s="15">
        <f t="shared" si="30"/>
        <v>1952</v>
      </c>
      <c r="B1962" s="211" t="s">
        <v>3048</v>
      </c>
      <c r="C1962" s="206" t="s">
        <v>3043</v>
      </c>
      <c r="D1962" s="19"/>
      <c r="E1962" s="19"/>
      <c r="F1962" s="19"/>
      <c r="G1962" s="206"/>
      <c r="H1962" s="141"/>
      <c r="I1962" s="207" t="s">
        <v>18</v>
      </c>
      <c r="J1962" s="207">
        <v>1</v>
      </c>
      <c r="K1962" s="142" t="s">
        <v>730</v>
      </c>
      <c r="L1962" s="275" t="s">
        <v>3209</v>
      </c>
      <c r="M1962" s="11" t="str">
        <f>VLOOKUP(N1962,'Mã NV'!$A$3:$B$196,2,0)</f>
        <v>BU06</v>
      </c>
      <c r="N1962" s="304" t="s">
        <v>3213</v>
      </c>
      <c r="O1962" s="389">
        <v>44905</v>
      </c>
      <c r="P1962" s="371"/>
      <c r="Q1962" s="43"/>
      <c r="R1962" s="209"/>
    </row>
    <row r="1963" spans="1:18" ht="35.25" hidden="1" customHeight="1">
      <c r="A1963" s="15">
        <f t="shared" si="30"/>
        <v>1953</v>
      </c>
      <c r="B1963" s="211" t="s">
        <v>3049</v>
      </c>
      <c r="C1963" s="206" t="s">
        <v>3043</v>
      </c>
      <c r="D1963" s="19"/>
      <c r="E1963" s="19"/>
      <c r="F1963" s="19"/>
      <c r="G1963" s="206"/>
      <c r="H1963" s="141"/>
      <c r="I1963" s="207" t="s">
        <v>18</v>
      </c>
      <c r="J1963" s="207">
        <v>1</v>
      </c>
      <c r="K1963" s="142" t="s">
        <v>730</v>
      </c>
      <c r="L1963" s="275" t="s">
        <v>3209</v>
      </c>
      <c r="M1963" s="11" t="str">
        <f>VLOOKUP(N1963,'Mã NV'!$A$3:$B$196,2,0)</f>
        <v>BU06</v>
      </c>
      <c r="N1963" s="304" t="s">
        <v>3213</v>
      </c>
      <c r="O1963" s="389">
        <v>44905</v>
      </c>
      <c r="P1963" s="371"/>
      <c r="Q1963" s="43"/>
      <c r="R1963" s="209"/>
    </row>
    <row r="1964" spans="1:18" ht="35.25" hidden="1" customHeight="1">
      <c r="A1964" s="15">
        <f t="shared" si="30"/>
        <v>1954</v>
      </c>
      <c r="B1964" s="211" t="s">
        <v>3050</v>
      </c>
      <c r="C1964" s="206" t="s">
        <v>3051</v>
      </c>
      <c r="D1964" s="19"/>
      <c r="E1964" s="19"/>
      <c r="F1964" s="19"/>
      <c r="G1964" s="206"/>
      <c r="H1964" s="141"/>
      <c r="I1964" s="207" t="s">
        <v>18</v>
      </c>
      <c r="J1964" s="207">
        <v>1</v>
      </c>
      <c r="K1964" s="142" t="s">
        <v>730</v>
      </c>
      <c r="L1964" s="275" t="s">
        <v>3209</v>
      </c>
      <c r="M1964" s="11" t="str">
        <f>VLOOKUP(N1964,'Mã NV'!$A$3:$B$196,2,0)</f>
        <v>BU06</v>
      </c>
      <c r="N1964" s="304" t="s">
        <v>3213</v>
      </c>
      <c r="O1964" s="380">
        <f>VLOOKUP(B1964,'Tổng hợp (3)'!$C$4:$E$985,3,0)</f>
        <v>44905</v>
      </c>
      <c r="P1964" s="378"/>
      <c r="Q1964" s="43"/>
      <c r="R1964" s="209"/>
    </row>
    <row r="1965" spans="1:18" ht="35.25" hidden="1" customHeight="1">
      <c r="A1965" s="15">
        <f t="shared" si="30"/>
        <v>1955</v>
      </c>
      <c r="B1965" s="211" t="s">
        <v>3052</v>
      </c>
      <c r="C1965" s="206" t="s">
        <v>3053</v>
      </c>
      <c r="D1965" s="19"/>
      <c r="E1965" s="19"/>
      <c r="F1965" s="19"/>
      <c r="G1965" s="206"/>
      <c r="H1965" s="141"/>
      <c r="I1965" s="207" t="s">
        <v>18</v>
      </c>
      <c r="J1965" s="210">
        <v>1</v>
      </c>
      <c r="K1965" s="142" t="s">
        <v>730</v>
      </c>
      <c r="L1965" s="275" t="s">
        <v>3209</v>
      </c>
      <c r="M1965" s="11" t="str">
        <f>VLOOKUP(N1965,'Mã NV'!$A$3:$B$196,2,0)</f>
        <v>BU06</v>
      </c>
      <c r="N1965" s="304" t="s">
        <v>3213</v>
      </c>
      <c r="O1965" s="389">
        <v>44905</v>
      </c>
      <c r="P1965" s="371"/>
      <c r="Q1965" s="43"/>
      <c r="R1965" s="209"/>
    </row>
    <row r="1966" spans="1:18" ht="35.25" hidden="1" customHeight="1">
      <c r="A1966" s="15">
        <f t="shared" si="30"/>
        <v>1956</v>
      </c>
      <c r="B1966" s="211" t="s">
        <v>3054</v>
      </c>
      <c r="C1966" s="206" t="s">
        <v>3053</v>
      </c>
      <c r="D1966" s="19"/>
      <c r="E1966" s="19"/>
      <c r="F1966" s="19"/>
      <c r="G1966" s="206"/>
      <c r="H1966" s="141"/>
      <c r="I1966" s="207" t="s">
        <v>18</v>
      </c>
      <c r="J1966" s="207">
        <v>1</v>
      </c>
      <c r="K1966" s="142" t="s">
        <v>730</v>
      </c>
      <c r="L1966" s="275" t="s">
        <v>3209</v>
      </c>
      <c r="M1966" s="11" t="str">
        <f>VLOOKUP(N1966,'Mã NV'!$A$3:$B$196,2,0)</f>
        <v>BU06</v>
      </c>
      <c r="N1966" s="304" t="s">
        <v>3213</v>
      </c>
      <c r="O1966" s="389">
        <v>44905</v>
      </c>
      <c r="P1966" s="371"/>
      <c r="Q1966" s="43"/>
      <c r="R1966" s="209"/>
    </row>
    <row r="1967" spans="1:18" ht="35.25" hidden="1" customHeight="1">
      <c r="A1967" s="15">
        <f t="shared" si="30"/>
        <v>1957</v>
      </c>
      <c r="B1967" s="211" t="s">
        <v>3055</v>
      </c>
      <c r="C1967" s="206" t="s">
        <v>3053</v>
      </c>
      <c r="D1967" s="19"/>
      <c r="E1967" s="19"/>
      <c r="F1967" s="19"/>
      <c r="G1967" s="206"/>
      <c r="H1967" s="141"/>
      <c r="I1967" s="207" t="s">
        <v>18</v>
      </c>
      <c r="J1967" s="210">
        <v>1</v>
      </c>
      <c r="K1967" s="142" t="s">
        <v>730</v>
      </c>
      <c r="L1967" s="275" t="s">
        <v>3209</v>
      </c>
      <c r="M1967" s="11" t="str">
        <f>VLOOKUP(N1967,'Mã NV'!$A$3:$B$196,2,0)</f>
        <v>BU06</v>
      </c>
      <c r="N1967" s="304" t="s">
        <v>3213</v>
      </c>
      <c r="O1967" s="389">
        <v>44905</v>
      </c>
      <c r="P1967" s="371"/>
      <c r="Q1967" s="43"/>
      <c r="R1967" s="209"/>
    </row>
    <row r="1968" spans="1:18" ht="35.25" hidden="1" customHeight="1">
      <c r="A1968" s="15">
        <f t="shared" si="30"/>
        <v>1958</v>
      </c>
      <c r="B1968" s="211" t="s">
        <v>3056</v>
      </c>
      <c r="C1968" s="206" t="s">
        <v>3053</v>
      </c>
      <c r="D1968" s="19"/>
      <c r="E1968" s="19"/>
      <c r="F1968" s="19"/>
      <c r="G1968" s="206"/>
      <c r="H1968" s="141"/>
      <c r="I1968" s="207" t="s">
        <v>18</v>
      </c>
      <c r="J1968" s="207">
        <v>1</v>
      </c>
      <c r="K1968" s="142" t="s">
        <v>730</v>
      </c>
      <c r="L1968" s="275" t="s">
        <v>3209</v>
      </c>
      <c r="M1968" s="11" t="str">
        <f>VLOOKUP(N1968,'Mã NV'!$A$3:$B$196,2,0)</f>
        <v>BU06</v>
      </c>
      <c r="N1968" s="304" t="s">
        <v>3213</v>
      </c>
      <c r="O1968" s="389">
        <v>44905</v>
      </c>
      <c r="P1968" s="371"/>
      <c r="Q1968" s="43"/>
      <c r="R1968" s="209"/>
    </row>
    <row r="1969" spans="1:18" ht="35.25" hidden="1" customHeight="1">
      <c r="A1969" s="15">
        <f t="shared" si="30"/>
        <v>1959</v>
      </c>
      <c r="B1969" s="211" t="s">
        <v>3057</v>
      </c>
      <c r="C1969" s="206" t="s">
        <v>3053</v>
      </c>
      <c r="D1969" s="19"/>
      <c r="E1969" s="19"/>
      <c r="F1969" s="19"/>
      <c r="G1969" s="206"/>
      <c r="H1969" s="141"/>
      <c r="I1969" s="207" t="s">
        <v>18</v>
      </c>
      <c r="J1969" s="210">
        <v>1</v>
      </c>
      <c r="K1969" s="142" t="s">
        <v>730</v>
      </c>
      <c r="L1969" s="275" t="s">
        <v>3209</v>
      </c>
      <c r="M1969" s="11" t="str">
        <f>VLOOKUP(N1969,'Mã NV'!$A$3:$B$196,2,0)</f>
        <v>BU06</v>
      </c>
      <c r="N1969" s="304" t="s">
        <v>3213</v>
      </c>
      <c r="O1969" s="389">
        <v>44905</v>
      </c>
      <c r="P1969" s="371"/>
      <c r="Q1969" s="43"/>
      <c r="R1969" s="209"/>
    </row>
    <row r="1970" spans="1:18" ht="35.25" hidden="1" customHeight="1">
      <c r="A1970" s="15">
        <f t="shared" si="30"/>
        <v>1960</v>
      </c>
      <c r="B1970" s="211" t="s">
        <v>3058</v>
      </c>
      <c r="C1970" s="206" t="s">
        <v>3053</v>
      </c>
      <c r="D1970" s="19"/>
      <c r="E1970" s="19"/>
      <c r="F1970" s="19"/>
      <c r="G1970" s="206"/>
      <c r="H1970" s="141"/>
      <c r="I1970" s="207" t="s">
        <v>18</v>
      </c>
      <c r="J1970" s="207">
        <v>1</v>
      </c>
      <c r="K1970" s="142" t="s">
        <v>730</v>
      </c>
      <c r="L1970" s="275" t="s">
        <v>3209</v>
      </c>
      <c r="M1970" s="11" t="str">
        <f>VLOOKUP(N1970,'Mã NV'!$A$3:$B$196,2,0)</f>
        <v>BU06</v>
      </c>
      <c r="N1970" s="304" t="s">
        <v>3213</v>
      </c>
      <c r="O1970" s="389">
        <v>44905</v>
      </c>
      <c r="P1970" s="371"/>
      <c r="Q1970" s="43"/>
      <c r="R1970" s="209"/>
    </row>
    <row r="1971" spans="1:18" ht="35.25" hidden="1" customHeight="1">
      <c r="A1971" s="15">
        <f t="shared" si="30"/>
        <v>1961</v>
      </c>
      <c r="B1971" s="211" t="s">
        <v>3059</v>
      </c>
      <c r="C1971" s="206" t="s">
        <v>3060</v>
      </c>
      <c r="D1971" s="19"/>
      <c r="E1971" s="19"/>
      <c r="F1971" s="19"/>
      <c r="G1971" s="206"/>
      <c r="H1971" s="141"/>
      <c r="I1971" s="207" t="s">
        <v>18</v>
      </c>
      <c r="J1971" s="210">
        <v>1</v>
      </c>
      <c r="K1971" s="142" t="s">
        <v>730</v>
      </c>
      <c r="L1971" s="275" t="s">
        <v>3209</v>
      </c>
      <c r="M1971" s="11" t="str">
        <f>VLOOKUP(N1971,'Mã NV'!$A$3:$B$196,2,0)</f>
        <v>BU06</v>
      </c>
      <c r="N1971" s="304" t="s">
        <v>3213</v>
      </c>
      <c r="O1971" s="389">
        <v>44905</v>
      </c>
      <c r="P1971" s="371"/>
      <c r="Q1971" s="43"/>
      <c r="R1971" s="209"/>
    </row>
    <row r="1972" spans="1:18" ht="35.25" hidden="1" customHeight="1">
      <c r="A1972" s="15">
        <f t="shared" si="30"/>
        <v>1962</v>
      </c>
      <c r="B1972" s="211" t="s">
        <v>3061</v>
      </c>
      <c r="C1972" s="206" t="s">
        <v>3060</v>
      </c>
      <c r="D1972" s="19"/>
      <c r="E1972" s="19"/>
      <c r="F1972" s="19"/>
      <c r="G1972" s="206"/>
      <c r="H1972" s="141"/>
      <c r="I1972" s="207" t="s">
        <v>18</v>
      </c>
      <c r="J1972" s="210">
        <v>1</v>
      </c>
      <c r="K1972" s="142" t="s">
        <v>730</v>
      </c>
      <c r="L1972" s="275" t="s">
        <v>3209</v>
      </c>
      <c r="M1972" s="11" t="str">
        <f>VLOOKUP(N1972,'Mã NV'!$A$3:$B$196,2,0)</f>
        <v>BU06</v>
      </c>
      <c r="N1972" s="304" t="s">
        <v>3213</v>
      </c>
      <c r="O1972" s="389">
        <v>44905</v>
      </c>
      <c r="P1972" s="371"/>
      <c r="Q1972" s="43"/>
      <c r="R1972" s="209"/>
    </row>
    <row r="1973" spans="1:18" ht="35.25" hidden="1" customHeight="1">
      <c r="A1973" s="15">
        <f t="shared" si="30"/>
        <v>1963</v>
      </c>
      <c r="B1973" s="211" t="s">
        <v>3062</v>
      </c>
      <c r="C1973" s="206" t="s">
        <v>3060</v>
      </c>
      <c r="D1973" s="19"/>
      <c r="E1973" s="19"/>
      <c r="F1973" s="19"/>
      <c r="G1973" s="206"/>
      <c r="H1973" s="141"/>
      <c r="I1973" s="207" t="s">
        <v>18</v>
      </c>
      <c r="J1973" s="210">
        <v>1</v>
      </c>
      <c r="K1973" s="142" t="s">
        <v>730</v>
      </c>
      <c r="L1973" s="275" t="s">
        <v>3209</v>
      </c>
      <c r="M1973" s="11" t="str">
        <f>VLOOKUP(N1973,'Mã NV'!$A$3:$B$196,2,0)</f>
        <v>BU06</v>
      </c>
      <c r="N1973" s="304" t="s">
        <v>3213</v>
      </c>
      <c r="O1973" s="389">
        <v>44905</v>
      </c>
      <c r="P1973" s="371"/>
      <c r="Q1973" s="43"/>
      <c r="R1973" s="209"/>
    </row>
    <row r="1974" spans="1:18" ht="35.25" hidden="1" customHeight="1">
      <c r="A1974" s="15">
        <f t="shared" si="30"/>
        <v>1964</v>
      </c>
      <c r="B1974" s="211" t="s">
        <v>3063</v>
      </c>
      <c r="C1974" s="206" t="s">
        <v>3060</v>
      </c>
      <c r="D1974" s="19"/>
      <c r="E1974" s="19"/>
      <c r="F1974" s="19"/>
      <c r="G1974" s="206"/>
      <c r="H1974" s="141"/>
      <c r="I1974" s="207" t="s">
        <v>18</v>
      </c>
      <c r="J1974" s="210">
        <v>1</v>
      </c>
      <c r="K1974" s="142" t="s">
        <v>730</v>
      </c>
      <c r="L1974" s="275" t="s">
        <v>3209</v>
      </c>
      <c r="M1974" s="11" t="str">
        <f>VLOOKUP(N1974,'Mã NV'!$A$3:$B$196,2,0)</f>
        <v>BU06</v>
      </c>
      <c r="N1974" s="304" t="s">
        <v>3213</v>
      </c>
      <c r="O1974" s="389">
        <v>44905</v>
      </c>
      <c r="P1974" s="371"/>
      <c r="Q1974" s="43"/>
      <c r="R1974" s="209"/>
    </row>
    <row r="1975" spans="1:18" ht="35.25" hidden="1" customHeight="1">
      <c r="A1975" s="15">
        <f t="shared" si="30"/>
        <v>1965</v>
      </c>
      <c r="B1975" s="211" t="s">
        <v>3064</v>
      </c>
      <c r="C1975" s="206" t="s">
        <v>3060</v>
      </c>
      <c r="D1975" s="19"/>
      <c r="E1975" s="19"/>
      <c r="F1975" s="19"/>
      <c r="G1975" s="206"/>
      <c r="H1975" s="141"/>
      <c r="I1975" s="207" t="s">
        <v>18</v>
      </c>
      <c r="J1975" s="210">
        <v>1</v>
      </c>
      <c r="K1975" s="142" t="s">
        <v>730</v>
      </c>
      <c r="L1975" s="275" t="s">
        <v>3209</v>
      </c>
      <c r="M1975" s="11" t="str">
        <f>VLOOKUP(N1975,'Mã NV'!$A$3:$B$196,2,0)</f>
        <v>BU06</v>
      </c>
      <c r="N1975" s="304" t="s">
        <v>3213</v>
      </c>
      <c r="O1975" s="389">
        <v>44905</v>
      </c>
      <c r="P1975" s="371"/>
      <c r="Q1975" s="43"/>
      <c r="R1975" s="209"/>
    </row>
    <row r="1976" spans="1:18" ht="35.25" hidden="1" customHeight="1">
      <c r="A1976" s="15">
        <f t="shared" si="30"/>
        <v>1966</v>
      </c>
      <c r="B1976" s="211" t="s">
        <v>3065</v>
      </c>
      <c r="C1976" s="206" t="s">
        <v>3060</v>
      </c>
      <c r="D1976" s="19"/>
      <c r="E1976" s="19"/>
      <c r="F1976" s="19"/>
      <c r="G1976" s="206"/>
      <c r="H1976" s="141"/>
      <c r="I1976" s="207" t="s">
        <v>18</v>
      </c>
      <c r="J1976" s="210">
        <v>1</v>
      </c>
      <c r="K1976" s="142" t="s">
        <v>730</v>
      </c>
      <c r="L1976" s="275" t="s">
        <v>3209</v>
      </c>
      <c r="M1976" s="11" t="str">
        <f>VLOOKUP(N1976,'Mã NV'!$A$3:$B$196,2,0)</f>
        <v>BU06</v>
      </c>
      <c r="N1976" s="304" t="s">
        <v>3213</v>
      </c>
      <c r="O1976" s="389">
        <v>44905</v>
      </c>
      <c r="P1976" s="371"/>
      <c r="Q1976" s="43"/>
      <c r="R1976" s="209"/>
    </row>
    <row r="1977" spans="1:18" ht="35.25" hidden="1" customHeight="1">
      <c r="A1977" s="15">
        <f t="shared" si="30"/>
        <v>1967</v>
      </c>
      <c r="B1977" s="211" t="s">
        <v>3066</v>
      </c>
      <c r="C1977" s="206" t="s">
        <v>3060</v>
      </c>
      <c r="D1977" s="19"/>
      <c r="E1977" s="19"/>
      <c r="F1977" s="19"/>
      <c r="G1977" s="206"/>
      <c r="H1977" s="141"/>
      <c r="I1977" s="207" t="s">
        <v>18</v>
      </c>
      <c r="J1977" s="210">
        <v>1</v>
      </c>
      <c r="K1977" s="142" t="s">
        <v>730</v>
      </c>
      <c r="L1977" s="275" t="s">
        <v>3209</v>
      </c>
      <c r="M1977" s="11" t="str">
        <f>VLOOKUP(N1977,'Mã NV'!$A$3:$B$196,2,0)</f>
        <v>BU06</v>
      </c>
      <c r="N1977" s="304" t="s">
        <v>3213</v>
      </c>
      <c r="O1977" s="389">
        <v>44905</v>
      </c>
      <c r="P1977" s="371"/>
      <c r="Q1977" s="43"/>
      <c r="R1977" s="209"/>
    </row>
    <row r="1978" spans="1:18" ht="35.25" hidden="1" customHeight="1">
      <c r="A1978" s="15">
        <f t="shared" si="30"/>
        <v>1968</v>
      </c>
      <c r="B1978" s="211" t="s">
        <v>3067</v>
      </c>
      <c r="C1978" s="206" t="s">
        <v>3060</v>
      </c>
      <c r="D1978" s="19"/>
      <c r="E1978" s="19"/>
      <c r="F1978" s="19"/>
      <c r="G1978" s="206"/>
      <c r="H1978" s="141"/>
      <c r="I1978" s="207" t="s">
        <v>18</v>
      </c>
      <c r="J1978" s="210">
        <v>1</v>
      </c>
      <c r="K1978" s="142" t="s">
        <v>730</v>
      </c>
      <c r="L1978" s="275" t="s">
        <v>3209</v>
      </c>
      <c r="M1978" s="11" t="str">
        <f>VLOOKUP(N1978,'Mã NV'!$A$3:$B$196,2,0)</f>
        <v>BU06</v>
      </c>
      <c r="N1978" s="304" t="s">
        <v>3213</v>
      </c>
      <c r="O1978" s="389">
        <v>44905</v>
      </c>
      <c r="P1978" s="371"/>
      <c r="Q1978" s="43"/>
      <c r="R1978" s="209"/>
    </row>
    <row r="1979" spans="1:18" ht="35.25" hidden="1" customHeight="1">
      <c r="A1979" s="15">
        <f t="shared" si="30"/>
        <v>1969</v>
      </c>
      <c r="B1979" s="211" t="s">
        <v>3068</v>
      </c>
      <c r="C1979" s="206" t="s">
        <v>3060</v>
      </c>
      <c r="D1979" s="19"/>
      <c r="E1979" s="19"/>
      <c r="F1979" s="19"/>
      <c r="G1979" s="206"/>
      <c r="H1979" s="141"/>
      <c r="I1979" s="207" t="s">
        <v>18</v>
      </c>
      <c r="J1979" s="210">
        <v>1</v>
      </c>
      <c r="K1979" s="142" t="s">
        <v>730</v>
      </c>
      <c r="L1979" s="275" t="s">
        <v>3209</v>
      </c>
      <c r="M1979" s="11" t="str">
        <f>VLOOKUP(N1979,'Mã NV'!$A$3:$B$196,2,0)</f>
        <v>BU06</v>
      </c>
      <c r="N1979" s="304" t="s">
        <v>3213</v>
      </c>
      <c r="O1979" s="389">
        <v>44905</v>
      </c>
      <c r="P1979" s="371"/>
      <c r="Q1979" s="43"/>
      <c r="R1979" s="209"/>
    </row>
    <row r="1980" spans="1:18" ht="35.25" hidden="1" customHeight="1">
      <c r="A1980" s="15">
        <f t="shared" si="30"/>
        <v>1970</v>
      </c>
      <c r="B1980" s="211" t="s">
        <v>3069</v>
      </c>
      <c r="C1980" s="206" t="s">
        <v>3060</v>
      </c>
      <c r="D1980" s="19"/>
      <c r="E1980" s="19"/>
      <c r="F1980" s="19"/>
      <c r="G1980" s="206"/>
      <c r="H1980" s="141"/>
      <c r="I1980" s="207" t="s">
        <v>18</v>
      </c>
      <c r="J1980" s="210">
        <v>1</v>
      </c>
      <c r="K1980" s="142" t="s">
        <v>730</v>
      </c>
      <c r="L1980" s="275" t="s">
        <v>3209</v>
      </c>
      <c r="M1980" s="11" t="str">
        <f>VLOOKUP(N1980,'Mã NV'!$A$3:$B$196,2,0)</f>
        <v>BU06</v>
      </c>
      <c r="N1980" s="304" t="s">
        <v>3213</v>
      </c>
      <c r="O1980" s="389">
        <v>44905</v>
      </c>
      <c r="P1980" s="371"/>
      <c r="Q1980" s="43"/>
      <c r="R1980" s="209"/>
    </row>
    <row r="1981" spans="1:18" ht="35.25" hidden="1" customHeight="1">
      <c r="A1981" s="15">
        <f t="shared" si="30"/>
        <v>1971</v>
      </c>
      <c r="B1981" s="211" t="s">
        <v>3070</v>
      </c>
      <c r="C1981" s="206" t="s">
        <v>3060</v>
      </c>
      <c r="D1981" s="19"/>
      <c r="E1981" s="19"/>
      <c r="F1981" s="19"/>
      <c r="G1981" s="206"/>
      <c r="H1981" s="141"/>
      <c r="I1981" s="207" t="s">
        <v>18</v>
      </c>
      <c r="J1981" s="210">
        <v>1</v>
      </c>
      <c r="K1981" s="142" t="s">
        <v>730</v>
      </c>
      <c r="L1981" s="275" t="s">
        <v>3209</v>
      </c>
      <c r="M1981" s="11" t="str">
        <f>VLOOKUP(N1981,'Mã NV'!$A$3:$B$196,2,0)</f>
        <v>BU06</v>
      </c>
      <c r="N1981" s="304" t="s">
        <v>3213</v>
      </c>
      <c r="O1981" s="389">
        <v>44905</v>
      </c>
      <c r="P1981" s="371"/>
      <c r="Q1981" s="43"/>
      <c r="R1981" s="209"/>
    </row>
    <row r="1982" spans="1:18" ht="35.25" hidden="1" customHeight="1">
      <c r="A1982" s="15">
        <f t="shared" si="30"/>
        <v>1972</v>
      </c>
      <c r="B1982" s="211" t="s">
        <v>3071</v>
      </c>
      <c r="C1982" s="206" t="s">
        <v>3060</v>
      </c>
      <c r="D1982" s="19"/>
      <c r="E1982" s="19"/>
      <c r="F1982" s="19"/>
      <c r="G1982" s="206"/>
      <c r="H1982" s="141"/>
      <c r="I1982" s="207" t="s">
        <v>18</v>
      </c>
      <c r="J1982" s="210">
        <v>1</v>
      </c>
      <c r="K1982" s="142" t="s">
        <v>730</v>
      </c>
      <c r="L1982" s="275" t="s">
        <v>3209</v>
      </c>
      <c r="M1982" s="11" t="str">
        <f>VLOOKUP(N1982,'Mã NV'!$A$3:$B$196,2,0)</f>
        <v>BU06</v>
      </c>
      <c r="N1982" s="304" t="s">
        <v>3213</v>
      </c>
      <c r="O1982" s="389">
        <v>44905</v>
      </c>
      <c r="P1982" s="371"/>
      <c r="Q1982" s="43"/>
      <c r="R1982" s="209"/>
    </row>
    <row r="1983" spans="1:18" ht="35.25" hidden="1" customHeight="1">
      <c r="A1983" s="15">
        <f t="shared" si="30"/>
        <v>1973</v>
      </c>
      <c r="B1983" s="211" t="s">
        <v>3072</v>
      </c>
      <c r="C1983" s="206" t="s">
        <v>3073</v>
      </c>
      <c r="D1983" s="19"/>
      <c r="E1983" s="19"/>
      <c r="F1983" s="19"/>
      <c r="G1983" s="206"/>
      <c r="H1983" s="141"/>
      <c r="I1983" s="207" t="s">
        <v>18</v>
      </c>
      <c r="J1983" s="210">
        <v>1</v>
      </c>
      <c r="K1983" s="142" t="s">
        <v>730</v>
      </c>
      <c r="L1983" s="275" t="s">
        <v>3209</v>
      </c>
      <c r="M1983" s="11" t="str">
        <f>VLOOKUP(N1983,'Mã NV'!$A$3:$B$196,2,0)</f>
        <v>BU06</v>
      </c>
      <c r="N1983" s="304" t="s">
        <v>3213</v>
      </c>
      <c r="O1983" s="389">
        <v>44905</v>
      </c>
      <c r="P1983" s="371"/>
      <c r="Q1983" s="43"/>
      <c r="R1983" s="209"/>
    </row>
    <row r="1984" spans="1:18" ht="35.25" hidden="1" customHeight="1">
      <c r="A1984" s="15">
        <f t="shared" si="30"/>
        <v>1974</v>
      </c>
      <c r="B1984" s="211" t="s">
        <v>3074</v>
      </c>
      <c r="C1984" s="206" t="s">
        <v>3073</v>
      </c>
      <c r="D1984" s="19"/>
      <c r="E1984" s="19"/>
      <c r="F1984" s="19"/>
      <c r="G1984" s="206"/>
      <c r="H1984" s="141"/>
      <c r="I1984" s="207" t="s">
        <v>18</v>
      </c>
      <c r="J1984" s="210">
        <v>1</v>
      </c>
      <c r="K1984" s="142" t="s">
        <v>730</v>
      </c>
      <c r="L1984" s="275" t="s">
        <v>3209</v>
      </c>
      <c r="M1984" s="11" t="str">
        <f>VLOOKUP(N1984,'Mã NV'!$A$3:$B$196,2,0)</f>
        <v>BU06</v>
      </c>
      <c r="N1984" s="304" t="s">
        <v>3213</v>
      </c>
      <c r="O1984" s="389">
        <v>44905</v>
      </c>
      <c r="P1984" s="371"/>
      <c r="Q1984" s="43"/>
      <c r="R1984" s="209"/>
    </row>
    <row r="1985" spans="1:18" ht="35.25" hidden="1" customHeight="1">
      <c r="A1985" s="15">
        <f t="shared" si="30"/>
        <v>1975</v>
      </c>
      <c r="B1985" s="211" t="s">
        <v>3075</v>
      </c>
      <c r="C1985" s="206" t="s">
        <v>3073</v>
      </c>
      <c r="D1985" s="19"/>
      <c r="E1985" s="19"/>
      <c r="F1985" s="19"/>
      <c r="G1985" s="206"/>
      <c r="H1985" s="141"/>
      <c r="I1985" s="207" t="s">
        <v>18</v>
      </c>
      <c r="J1985" s="210">
        <v>1</v>
      </c>
      <c r="K1985" s="142" t="s">
        <v>730</v>
      </c>
      <c r="L1985" s="275" t="s">
        <v>3209</v>
      </c>
      <c r="M1985" s="11" t="str">
        <f>VLOOKUP(N1985,'Mã NV'!$A$3:$B$196,2,0)</f>
        <v>BU06</v>
      </c>
      <c r="N1985" s="304" t="s">
        <v>3213</v>
      </c>
      <c r="O1985" s="389">
        <v>44905</v>
      </c>
      <c r="P1985" s="371"/>
      <c r="Q1985" s="43"/>
      <c r="R1985" s="209"/>
    </row>
    <row r="1986" spans="1:18" ht="35.25" hidden="1" customHeight="1">
      <c r="A1986" s="15">
        <f t="shared" si="30"/>
        <v>1976</v>
      </c>
      <c r="B1986" s="211" t="s">
        <v>3076</v>
      </c>
      <c r="C1986" s="206" t="s">
        <v>3073</v>
      </c>
      <c r="D1986" s="19"/>
      <c r="E1986" s="19"/>
      <c r="F1986" s="19"/>
      <c r="G1986" s="206"/>
      <c r="H1986" s="141"/>
      <c r="I1986" s="207" t="s">
        <v>18</v>
      </c>
      <c r="J1986" s="210">
        <v>1</v>
      </c>
      <c r="K1986" s="142" t="s">
        <v>730</v>
      </c>
      <c r="L1986" s="275" t="s">
        <v>3209</v>
      </c>
      <c r="M1986" s="11" t="str">
        <f>VLOOKUP(N1986,'Mã NV'!$A$3:$B$196,2,0)</f>
        <v>BU06</v>
      </c>
      <c r="N1986" s="304" t="s">
        <v>3213</v>
      </c>
      <c r="O1986" s="389">
        <v>44905</v>
      </c>
      <c r="P1986" s="371"/>
      <c r="Q1986" s="43"/>
      <c r="R1986" s="209"/>
    </row>
    <row r="1987" spans="1:18" ht="35.25" hidden="1" customHeight="1">
      <c r="A1987" s="15">
        <f t="shared" si="30"/>
        <v>1977</v>
      </c>
      <c r="B1987" s="211" t="s">
        <v>3077</v>
      </c>
      <c r="C1987" s="206" t="s">
        <v>3073</v>
      </c>
      <c r="D1987" s="19"/>
      <c r="E1987" s="19"/>
      <c r="F1987" s="19"/>
      <c r="G1987" s="206"/>
      <c r="H1987" s="141"/>
      <c r="I1987" s="207" t="s">
        <v>18</v>
      </c>
      <c r="J1987" s="210">
        <v>1</v>
      </c>
      <c r="K1987" s="142" t="s">
        <v>730</v>
      </c>
      <c r="L1987" s="275" t="s">
        <v>3209</v>
      </c>
      <c r="M1987" s="11" t="str">
        <f>VLOOKUP(N1987,'Mã NV'!$A$3:$B$196,2,0)</f>
        <v>BU06</v>
      </c>
      <c r="N1987" s="304" t="s">
        <v>3213</v>
      </c>
      <c r="O1987" s="389">
        <v>44905</v>
      </c>
      <c r="P1987" s="371"/>
      <c r="Q1987" s="43"/>
      <c r="R1987" s="209"/>
    </row>
    <row r="1988" spans="1:18" ht="35.25" hidden="1" customHeight="1">
      <c r="A1988" s="15">
        <f t="shared" si="30"/>
        <v>1978</v>
      </c>
      <c r="B1988" s="211" t="s">
        <v>3078</v>
      </c>
      <c r="C1988" s="206" t="s">
        <v>3073</v>
      </c>
      <c r="D1988" s="19"/>
      <c r="E1988" s="19"/>
      <c r="F1988" s="19"/>
      <c r="G1988" s="206"/>
      <c r="H1988" s="141"/>
      <c r="I1988" s="207" t="s">
        <v>18</v>
      </c>
      <c r="J1988" s="210">
        <v>1</v>
      </c>
      <c r="K1988" s="142" t="s">
        <v>730</v>
      </c>
      <c r="L1988" s="275" t="s">
        <v>3209</v>
      </c>
      <c r="M1988" s="11" t="str">
        <f>VLOOKUP(N1988,'Mã NV'!$A$3:$B$196,2,0)</f>
        <v>BU06</v>
      </c>
      <c r="N1988" s="304" t="s">
        <v>3213</v>
      </c>
      <c r="O1988" s="389">
        <v>44905</v>
      </c>
      <c r="P1988" s="371"/>
      <c r="Q1988" s="43"/>
      <c r="R1988" s="209"/>
    </row>
    <row r="1989" spans="1:18" ht="35.25" hidden="1" customHeight="1">
      <c r="A1989" s="15">
        <f t="shared" si="30"/>
        <v>1979</v>
      </c>
      <c r="B1989" s="211" t="s">
        <v>3079</v>
      </c>
      <c r="C1989" s="206" t="s">
        <v>3073</v>
      </c>
      <c r="D1989" s="19"/>
      <c r="E1989" s="19"/>
      <c r="F1989" s="19"/>
      <c r="G1989" s="206"/>
      <c r="H1989" s="141"/>
      <c r="I1989" s="207" t="s">
        <v>18</v>
      </c>
      <c r="J1989" s="210">
        <v>1</v>
      </c>
      <c r="K1989" s="142" t="s">
        <v>730</v>
      </c>
      <c r="L1989" s="275" t="s">
        <v>3209</v>
      </c>
      <c r="M1989" s="11" t="str">
        <f>VLOOKUP(N1989,'Mã NV'!$A$3:$B$196,2,0)</f>
        <v>BU06</v>
      </c>
      <c r="N1989" s="304" t="s">
        <v>3213</v>
      </c>
      <c r="O1989" s="389">
        <v>44905</v>
      </c>
      <c r="P1989" s="371"/>
      <c r="Q1989" s="43"/>
      <c r="R1989" s="209"/>
    </row>
    <row r="1990" spans="1:18" ht="35.25" hidden="1" customHeight="1">
      <c r="A1990" s="15">
        <f t="shared" si="30"/>
        <v>1980</v>
      </c>
      <c r="B1990" s="211" t="s">
        <v>3080</v>
      </c>
      <c r="C1990" s="206" t="s">
        <v>3081</v>
      </c>
      <c r="D1990" s="19"/>
      <c r="E1990" s="19"/>
      <c r="F1990" s="19"/>
      <c r="G1990" s="206"/>
      <c r="H1990" s="141"/>
      <c r="I1990" s="207" t="s">
        <v>18</v>
      </c>
      <c r="J1990" s="207">
        <v>1</v>
      </c>
      <c r="K1990" s="142" t="s">
        <v>730</v>
      </c>
      <c r="L1990" s="275" t="s">
        <v>3209</v>
      </c>
      <c r="M1990" s="11" t="str">
        <f>VLOOKUP(N1990,'Mã NV'!$A$3:$B$196,2,0)</f>
        <v>BU06</v>
      </c>
      <c r="N1990" s="304" t="s">
        <v>3213</v>
      </c>
      <c r="O1990" s="380">
        <f>VLOOKUP(B1990,'Tổng hợp (3)'!$C$4:$E$985,3,0)</f>
        <v>44905</v>
      </c>
      <c r="P1990" s="378"/>
      <c r="Q1990" s="43"/>
      <c r="R1990" s="209"/>
    </row>
    <row r="1991" spans="1:18" ht="35.25" hidden="1" customHeight="1">
      <c r="A1991" s="15">
        <f t="shared" si="30"/>
        <v>1981</v>
      </c>
      <c r="B1991" s="211" t="s">
        <v>3082</v>
      </c>
      <c r="C1991" s="206" t="s">
        <v>3083</v>
      </c>
      <c r="D1991" s="19"/>
      <c r="E1991" s="19"/>
      <c r="F1991" s="19"/>
      <c r="G1991" s="206"/>
      <c r="H1991" s="141"/>
      <c r="I1991" s="207" t="s">
        <v>18</v>
      </c>
      <c r="J1991" s="207">
        <v>1</v>
      </c>
      <c r="K1991" s="142" t="s">
        <v>730</v>
      </c>
      <c r="L1991" s="275" t="s">
        <v>3209</v>
      </c>
      <c r="M1991" s="11" t="str">
        <f>VLOOKUP(N1991,'Mã NV'!$A$3:$B$196,2,0)</f>
        <v>BU16</v>
      </c>
      <c r="N1991" s="304" t="s">
        <v>3214</v>
      </c>
      <c r="O1991" s="380">
        <f>VLOOKUP(B1991,'Tổng hợp (3)'!$C$4:$E$985,3,0)</f>
        <v>44905</v>
      </c>
      <c r="P1991" s="378"/>
      <c r="Q1991" s="43"/>
      <c r="R1991" s="209"/>
    </row>
    <row r="1992" spans="1:18" ht="35.25" hidden="1" customHeight="1">
      <c r="A1992" s="15">
        <f t="shared" si="30"/>
        <v>1982</v>
      </c>
      <c r="B1992" s="211" t="s">
        <v>3084</v>
      </c>
      <c r="C1992" s="206" t="s">
        <v>3085</v>
      </c>
      <c r="D1992" s="19"/>
      <c r="E1992" s="19"/>
      <c r="F1992" s="19"/>
      <c r="G1992" s="206"/>
      <c r="H1992" s="141"/>
      <c r="I1992" s="207" t="s">
        <v>18</v>
      </c>
      <c r="J1992" s="207">
        <v>1</v>
      </c>
      <c r="K1992" s="142" t="s">
        <v>730</v>
      </c>
      <c r="L1992" s="275" t="s">
        <v>3209</v>
      </c>
      <c r="M1992" s="11" t="str">
        <f>VLOOKUP(N1992,'Mã NV'!$A$3:$B$196,2,0)</f>
        <v>BU16</v>
      </c>
      <c r="N1992" s="304" t="s">
        <v>3214</v>
      </c>
      <c r="O1992" s="380">
        <f>VLOOKUP(B1992,'Tổng hợp (3)'!$C$4:$E$985,3,0)</f>
        <v>44905</v>
      </c>
      <c r="P1992" s="378"/>
      <c r="Q1992" s="43"/>
      <c r="R1992" s="209"/>
    </row>
    <row r="1993" spans="1:18" ht="35.25" hidden="1" customHeight="1">
      <c r="A1993" s="15">
        <f t="shared" si="30"/>
        <v>1983</v>
      </c>
      <c r="B1993" s="211" t="s">
        <v>3086</v>
      </c>
      <c r="C1993" s="206" t="s">
        <v>3087</v>
      </c>
      <c r="D1993" s="19"/>
      <c r="E1993" s="19"/>
      <c r="F1993" s="19"/>
      <c r="G1993" s="206"/>
      <c r="H1993" s="141"/>
      <c r="I1993" s="207" t="s">
        <v>18</v>
      </c>
      <c r="J1993" s="207">
        <v>1</v>
      </c>
      <c r="K1993" s="142" t="s">
        <v>730</v>
      </c>
      <c r="L1993" s="275" t="s">
        <v>3209</v>
      </c>
      <c r="M1993" s="11" t="str">
        <f>VLOOKUP(N1993,'Mã NV'!$A$3:$B$196,2,0)</f>
        <v>BU06</v>
      </c>
      <c r="N1993" s="304" t="s">
        <v>3213</v>
      </c>
      <c r="O1993" s="380">
        <f>VLOOKUP(B1993,'Tổng hợp (3)'!$C$4:$E$985,3,0)</f>
        <v>44905</v>
      </c>
      <c r="P1993" s="378"/>
      <c r="Q1993" s="43"/>
      <c r="R1993" s="209"/>
    </row>
    <row r="1994" spans="1:18" ht="35.25" hidden="1" customHeight="1">
      <c r="A1994" s="15">
        <f t="shared" si="30"/>
        <v>1984</v>
      </c>
      <c r="B1994" s="211" t="s">
        <v>1867</v>
      </c>
      <c r="C1994" s="206" t="s">
        <v>3088</v>
      </c>
      <c r="D1994" s="19"/>
      <c r="E1994" s="19"/>
      <c r="F1994" s="19"/>
      <c r="G1994" s="206"/>
      <c r="H1994" s="141"/>
      <c r="I1994" s="207" t="s">
        <v>18</v>
      </c>
      <c r="J1994" s="207">
        <v>1</v>
      </c>
      <c r="K1994" s="142" t="s">
        <v>730</v>
      </c>
      <c r="L1994" s="275" t="s">
        <v>3209</v>
      </c>
      <c r="M1994" s="11" t="str">
        <f>VLOOKUP(N1994,'Mã NV'!$A$3:$B$196,2,0)</f>
        <v>BU06</v>
      </c>
      <c r="N1994" s="304" t="s">
        <v>3213</v>
      </c>
      <c r="O1994" s="389">
        <v>44905</v>
      </c>
      <c r="P1994" s="371"/>
      <c r="Q1994" s="43"/>
      <c r="R1994" s="209"/>
    </row>
    <row r="1995" spans="1:18" ht="35.25" hidden="1" customHeight="1">
      <c r="A1995" s="15">
        <f t="shared" si="30"/>
        <v>1985</v>
      </c>
      <c r="B1995" s="211" t="s">
        <v>3089</v>
      </c>
      <c r="C1995" s="206" t="s">
        <v>3088</v>
      </c>
      <c r="D1995" s="19"/>
      <c r="E1995" s="19"/>
      <c r="F1995" s="19"/>
      <c r="G1995" s="206"/>
      <c r="H1995" s="141"/>
      <c r="I1995" s="207" t="s">
        <v>18</v>
      </c>
      <c r="J1995" s="207">
        <v>1</v>
      </c>
      <c r="K1995" s="142" t="s">
        <v>730</v>
      </c>
      <c r="L1995" s="275" t="s">
        <v>3209</v>
      </c>
      <c r="M1995" s="11" t="str">
        <f>VLOOKUP(N1995,'Mã NV'!$A$3:$B$196,2,0)</f>
        <v>BU06</v>
      </c>
      <c r="N1995" s="304" t="s">
        <v>3213</v>
      </c>
      <c r="O1995" s="389">
        <v>44905</v>
      </c>
      <c r="P1995" s="371"/>
      <c r="Q1995" s="43"/>
      <c r="R1995" s="209"/>
    </row>
    <row r="1996" spans="1:18" ht="35.25" hidden="1" customHeight="1">
      <c r="A1996" s="15">
        <f t="shared" si="30"/>
        <v>1986</v>
      </c>
      <c r="B1996" s="211" t="s">
        <v>3090</v>
      </c>
      <c r="C1996" s="206" t="s">
        <v>3088</v>
      </c>
      <c r="D1996" s="19"/>
      <c r="E1996" s="19"/>
      <c r="F1996" s="19"/>
      <c r="G1996" s="206"/>
      <c r="H1996" s="141"/>
      <c r="I1996" s="207" t="s">
        <v>18</v>
      </c>
      <c r="J1996" s="207">
        <v>1</v>
      </c>
      <c r="K1996" s="142" t="s">
        <v>730</v>
      </c>
      <c r="L1996" s="275" t="s">
        <v>3209</v>
      </c>
      <c r="M1996" s="11" t="str">
        <f>VLOOKUP(N1996,'Mã NV'!$A$3:$B$196,2,0)</f>
        <v>BU06</v>
      </c>
      <c r="N1996" s="304" t="s">
        <v>3213</v>
      </c>
      <c r="O1996" s="389">
        <v>44905</v>
      </c>
      <c r="P1996" s="371"/>
      <c r="Q1996" s="43"/>
      <c r="R1996" s="209"/>
    </row>
    <row r="1997" spans="1:18" ht="35.25" hidden="1" customHeight="1">
      <c r="A1997" s="15">
        <f t="shared" si="30"/>
        <v>1987</v>
      </c>
      <c r="B1997" s="211" t="s">
        <v>3091</v>
      </c>
      <c r="C1997" s="206" t="s">
        <v>3088</v>
      </c>
      <c r="D1997" s="19"/>
      <c r="E1997" s="19"/>
      <c r="F1997" s="19"/>
      <c r="G1997" s="206"/>
      <c r="H1997" s="141"/>
      <c r="I1997" s="207" t="s">
        <v>18</v>
      </c>
      <c r="J1997" s="207">
        <v>1</v>
      </c>
      <c r="K1997" s="142" t="s">
        <v>730</v>
      </c>
      <c r="L1997" s="275" t="s">
        <v>3209</v>
      </c>
      <c r="M1997" s="11" t="str">
        <f>VLOOKUP(N1997,'Mã NV'!$A$3:$B$196,2,0)</f>
        <v>BU06</v>
      </c>
      <c r="N1997" s="304" t="s">
        <v>3213</v>
      </c>
      <c r="O1997" s="389">
        <v>44905</v>
      </c>
      <c r="P1997" s="371"/>
      <c r="Q1997" s="43"/>
      <c r="R1997" s="209"/>
    </row>
    <row r="1998" spans="1:18" ht="35.25" hidden="1" customHeight="1">
      <c r="A1998" s="15">
        <f t="shared" si="30"/>
        <v>1988</v>
      </c>
      <c r="B1998" s="221" t="s">
        <v>3092</v>
      </c>
      <c r="C1998" s="206" t="s">
        <v>3093</v>
      </c>
      <c r="D1998" s="19"/>
      <c r="E1998" s="19"/>
      <c r="F1998" s="19"/>
      <c r="G1998" s="206"/>
      <c r="H1998" s="141"/>
      <c r="I1998" s="207" t="s">
        <v>18</v>
      </c>
      <c r="J1998" s="207">
        <v>1</v>
      </c>
      <c r="K1998" s="142" t="s">
        <v>730</v>
      </c>
      <c r="L1998" s="275" t="s">
        <v>3209</v>
      </c>
      <c r="M1998" s="11" t="str">
        <f>VLOOKUP(N1998,'Mã NV'!$A$3:$B$196,2,0)</f>
        <v>BU06</v>
      </c>
      <c r="N1998" s="304" t="s">
        <v>3213</v>
      </c>
      <c r="O1998" s="380">
        <f>VLOOKUP(B1998,'Tổng hợp (3)'!$C$4:$E$985,3,0)</f>
        <v>44905</v>
      </c>
      <c r="P1998" s="378"/>
      <c r="Q1998" s="43"/>
      <c r="R1998" s="209"/>
    </row>
    <row r="1999" spans="1:18" ht="35.25" hidden="1" customHeight="1">
      <c r="A1999" s="15">
        <f t="shared" si="30"/>
        <v>1989</v>
      </c>
      <c r="B1999" s="221" t="s">
        <v>3094</v>
      </c>
      <c r="C1999" s="206" t="s">
        <v>3095</v>
      </c>
      <c r="D1999" s="19"/>
      <c r="E1999" s="19"/>
      <c r="F1999" s="19"/>
      <c r="G1999" s="206"/>
      <c r="H1999" s="141"/>
      <c r="I1999" s="207" t="s">
        <v>18</v>
      </c>
      <c r="J1999" s="207">
        <v>1</v>
      </c>
      <c r="K1999" s="142" t="s">
        <v>730</v>
      </c>
      <c r="L1999" s="275" t="s">
        <v>3209</v>
      </c>
      <c r="M1999" s="11" t="str">
        <f>VLOOKUP(N1999,'Mã NV'!$A$3:$B$196,2,0)</f>
        <v>BU06</v>
      </c>
      <c r="N1999" s="304" t="s">
        <v>3213</v>
      </c>
      <c r="O1999" s="380">
        <f>VLOOKUP(B1999,'Tổng hợp (3)'!$C$4:$E$985,3,0)</f>
        <v>44905</v>
      </c>
      <c r="P1999" s="378"/>
      <c r="Q1999" s="43"/>
      <c r="R1999" s="209"/>
    </row>
    <row r="2000" spans="1:18" ht="35.25" hidden="1" customHeight="1">
      <c r="A2000" s="15">
        <f t="shared" si="30"/>
        <v>1990</v>
      </c>
      <c r="B2000" s="221" t="s">
        <v>3096</v>
      </c>
      <c r="C2000" s="206" t="s">
        <v>3097</v>
      </c>
      <c r="D2000" s="19"/>
      <c r="E2000" s="19"/>
      <c r="F2000" s="19"/>
      <c r="G2000" s="206"/>
      <c r="H2000" s="141"/>
      <c r="I2000" s="207" t="s">
        <v>18</v>
      </c>
      <c r="J2000" s="207">
        <v>1</v>
      </c>
      <c r="K2000" s="142" t="s">
        <v>730</v>
      </c>
      <c r="L2000" s="275" t="s">
        <v>3209</v>
      </c>
      <c r="M2000" s="11" t="str">
        <f>VLOOKUP(N2000,'Mã NV'!$A$3:$B$196,2,0)</f>
        <v>BU06</v>
      </c>
      <c r="N2000" s="304" t="s">
        <v>3213</v>
      </c>
      <c r="O2000" s="380">
        <f>VLOOKUP(B2000,'Tổng hợp (3)'!$C$4:$E$985,3,0)</f>
        <v>44905</v>
      </c>
      <c r="P2000" s="378"/>
      <c r="Q2000" s="43"/>
      <c r="R2000" s="209"/>
    </row>
    <row r="2001" spans="1:18" ht="35.25" hidden="1" customHeight="1">
      <c r="A2001" s="15">
        <f t="shared" si="30"/>
        <v>1991</v>
      </c>
      <c r="B2001" s="221" t="s">
        <v>3098</v>
      </c>
      <c r="C2001" s="206" t="s">
        <v>3099</v>
      </c>
      <c r="D2001" s="19"/>
      <c r="E2001" s="19"/>
      <c r="F2001" s="19"/>
      <c r="G2001" s="206"/>
      <c r="H2001" s="141"/>
      <c r="I2001" s="207" t="s">
        <v>18</v>
      </c>
      <c r="J2001" s="207">
        <v>1</v>
      </c>
      <c r="K2001" s="142" t="s">
        <v>730</v>
      </c>
      <c r="L2001" s="275" t="s">
        <v>3209</v>
      </c>
      <c r="M2001" s="11" t="str">
        <f>VLOOKUP(N2001,'Mã NV'!$A$3:$B$196,2,0)</f>
        <v>BU06</v>
      </c>
      <c r="N2001" s="304" t="s">
        <v>3213</v>
      </c>
      <c r="O2001" s="380">
        <f>VLOOKUP(B2001,'Tổng hợp (3)'!$C$4:$E$985,3,0)</f>
        <v>44905</v>
      </c>
      <c r="P2001" s="378"/>
      <c r="Q2001" s="43"/>
      <c r="R2001" s="209"/>
    </row>
    <row r="2002" spans="1:18" ht="35.25" hidden="1" customHeight="1">
      <c r="A2002" s="15">
        <f t="shared" si="30"/>
        <v>1992</v>
      </c>
      <c r="B2002" s="221" t="s">
        <v>3100</v>
      </c>
      <c r="C2002" s="206" t="s">
        <v>3101</v>
      </c>
      <c r="D2002" s="19"/>
      <c r="E2002" s="19"/>
      <c r="F2002" s="19"/>
      <c r="G2002" s="206"/>
      <c r="H2002" s="141"/>
      <c r="I2002" s="207" t="s">
        <v>18</v>
      </c>
      <c r="J2002" s="207">
        <v>1</v>
      </c>
      <c r="K2002" s="142" t="s">
        <v>730</v>
      </c>
      <c r="L2002" s="275" t="s">
        <v>3209</v>
      </c>
      <c r="M2002" s="11" t="str">
        <f>VLOOKUP(N2002,'Mã NV'!$A$3:$B$196,2,0)</f>
        <v>BU06</v>
      </c>
      <c r="N2002" s="304" t="s">
        <v>3213</v>
      </c>
      <c r="O2002" s="380">
        <f>VLOOKUP(B2002,'Tổng hợp (3)'!$C$4:$E$985,3,0)</f>
        <v>44905</v>
      </c>
      <c r="P2002" s="378"/>
      <c r="Q2002" s="43"/>
      <c r="R2002" s="209"/>
    </row>
    <row r="2003" spans="1:18" ht="35.25" hidden="1" customHeight="1">
      <c r="A2003" s="15">
        <f t="shared" ref="A2003:A2066" si="31">A2002+1</f>
        <v>1993</v>
      </c>
      <c r="B2003" s="221" t="s">
        <v>3102</v>
      </c>
      <c r="C2003" s="206" t="s">
        <v>3103</v>
      </c>
      <c r="D2003" s="19"/>
      <c r="E2003" s="19"/>
      <c r="F2003" s="19"/>
      <c r="G2003" s="206"/>
      <c r="H2003" s="141"/>
      <c r="I2003" s="207" t="s">
        <v>18</v>
      </c>
      <c r="J2003" s="207">
        <v>1</v>
      </c>
      <c r="K2003" s="142" t="s">
        <v>730</v>
      </c>
      <c r="L2003" s="275" t="s">
        <v>3209</v>
      </c>
      <c r="M2003" s="11" t="str">
        <f>VLOOKUP(N2003,'Mã NV'!$A$3:$B$196,2,0)</f>
        <v>BU06</v>
      </c>
      <c r="N2003" s="304" t="s">
        <v>3213</v>
      </c>
      <c r="O2003" s="380">
        <f>VLOOKUP(B2003,'Tổng hợp (3)'!$C$4:$E$985,3,0)</f>
        <v>44905</v>
      </c>
      <c r="P2003" s="378"/>
      <c r="Q2003" s="43"/>
      <c r="R2003" s="209"/>
    </row>
    <row r="2004" spans="1:18" ht="35.25" hidden="1" customHeight="1">
      <c r="A2004" s="15">
        <f t="shared" si="31"/>
        <v>1994</v>
      </c>
      <c r="B2004" s="221" t="s">
        <v>3104</v>
      </c>
      <c r="C2004" s="206" t="s">
        <v>3105</v>
      </c>
      <c r="D2004" s="19"/>
      <c r="E2004" s="19"/>
      <c r="F2004" s="19"/>
      <c r="G2004" s="206"/>
      <c r="H2004" s="141"/>
      <c r="I2004" s="207" t="s">
        <v>18</v>
      </c>
      <c r="J2004" s="207">
        <v>1</v>
      </c>
      <c r="K2004" s="142" t="s">
        <v>730</v>
      </c>
      <c r="L2004" s="275" t="s">
        <v>3209</v>
      </c>
      <c r="M2004" s="11" t="str">
        <f>VLOOKUP(N2004,'Mã NV'!$A$3:$B$196,2,0)</f>
        <v>BU06</v>
      </c>
      <c r="N2004" s="304" t="s">
        <v>3213</v>
      </c>
      <c r="O2004" s="380">
        <f>VLOOKUP(B2004,'Tổng hợp (3)'!$C$4:$E$985,3,0)</f>
        <v>44905</v>
      </c>
      <c r="P2004" s="378"/>
      <c r="Q2004" s="43"/>
      <c r="R2004" s="209"/>
    </row>
    <row r="2005" spans="1:18" ht="35.25" hidden="1" customHeight="1">
      <c r="A2005" s="15">
        <f t="shared" si="31"/>
        <v>1995</v>
      </c>
      <c r="B2005" s="221" t="s">
        <v>3106</v>
      </c>
      <c r="C2005" s="206" t="s">
        <v>3107</v>
      </c>
      <c r="D2005" s="19"/>
      <c r="E2005" s="19"/>
      <c r="F2005" s="19"/>
      <c r="G2005" s="206"/>
      <c r="H2005" s="141"/>
      <c r="I2005" s="207" t="s">
        <v>18</v>
      </c>
      <c r="J2005" s="207">
        <v>1</v>
      </c>
      <c r="K2005" s="142" t="s">
        <v>730</v>
      </c>
      <c r="L2005" s="275" t="s">
        <v>3209</v>
      </c>
      <c r="M2005" s="11" t="str">
        <f>VLOOKUP(N2005,'Mã NV'!$A$3:$B$196,2,0)</f>
        <v>BU06</v>
      </c>
      <c r="N2005" s="304" t="s">
        <v>3213</v>
      </c>
      <c r="O2005" s="380">
        <f>VLOOKUP(B2005,'Tổng hợp (3)'!$C$4:$E$985,3,0)</f>
        <v>44905</v>
      </c>
      <c r="P2005" s="378"/>
      <c r="Q2005" s="43"/>
      <c r="R2005" s="209"/>
    </row>
    <row r="2006" spans="1:18" ht="35.25" hidden="1" customHeight="1">
      <c r="A2006" s="15">
        <f t="shared" si="31"/>
        <v>1996</v>
      </c>
      <c r="B2006" s="221" t="s">
        <v>3108</v>
      </c>
      <c r="C2006" s="206" t="s">
        <v>3109</v>
      </c>
      <c r="D2006" s="19"/>
      <c r="E2006" s="19"/>
      <c r="F2006" s="19"/>
      <c r="G2006" s="206"/>
      <c r="H2006" s="141"/>
      <c r="I2006" s="207" t="s">
        <v>18</v>
      </c>
      <c r="J2006" s="207">
        <v>1</v>
      </c>
      <c r="K2006" s="142" t="s">
        <v>730</v>
      </c>
      <c r="L2006" s="275" t="s">
        <v>3209</v>
      </c>
      <c r="M2006" s="11" t="str">
        <f>VLOOKUP(N2006,'Mã NV'!$A$3:$B$196,2,0)</f>
        <v>BU06</v>
      </c>
      <c r="N2006" s="304" t="s">
        <v>3213</v>
      </c>
      <c r="O2006" s="380">
        <f>VLOOKUP(B2006,'Tổng hợp (3)'!$C$4:$E$985,3,0)</f>
        <v>44907</v>
      </c>
      <c r="P2006" s="378"/>
      <c r="Q2006" s="43"/>
      <c r="R2006" s="209"/>
    </row>
    <row r="2007" spans="1:18" ht="35.25" hidden="1" customHeight="1">
      <c r="A2007" s="15">
        <f t="shared" si="31"/>
        <v>1997</v>
      </c>
      <c r="B2007" s="221" t="s">
        <v>3110</v>
      </c>
      <c r="C2007" s="206" t="s">
        <v>3111</v>
      </c>
      <c r="D2007" s="19"/>
      <c r="E2007" s="19"/>
      <c r="F2007" s="19"/>
      <c r="G2007" s="206"/>
      <c r="H2007" s="141"/>
      <c r="I2007" s="207" t="s">
        <v>18</v>
      </c>
      <c r="J2007" s="207">
        <v>1</v>
      </c>
      <c r="K2007" s="142" t="s">
        <v>730</v>
      </c>
      <c r="L2007" s="275" t="s">
        <v>3209</v>
      </c>
      <c r="M2007" s="11" t="str">
        <f>VLOOKUP(N2007,'Mã NV'!$A$3:$B$196,2,0)</f>
        <v>BU06</v>
      </c>
      <c r="N2007" s="304" t="s">
        <v>3213</v>
      </c>
      <c r="O2007" s="380">
        <f>VLOOKUP(B2007,'Tổng hợp (3)'!$C$4:$E$985,3,0)</f>
        <v>44909</v>
      </c>
      <c r="P2007" s="378"/>
      <c r="Q2007" s="43"/>
      <c r="R2007" s="209"/>
    </row>
    <row r="2008" spans="1:18" ht="35.25" hidden="1" customHeight="1">
      <c r="A2008" s="15">
        <f t="shared" si="31"/>
        <v>1998</v>
      </c>
      <c r="B2008" s="221" t="s">
        <v>3112</v>
      </c>
      <c r="C2008" s="211" t="s">
        <v>3113</v>
      </c>
      <c r="D2008" s="19"/>
      <c r="E2008" s="19"/>
      <c r="F2008" s="19"/>
      <c r="G2008" s="206"/>
      <c r="H2008" s="141"/>
      <c r="I2008" s="207" t="s">
        <v>18</v>
      </c>
      <c r="J2008" s="207">
        <v>1</v>
      </c>
      <c r="K2008" s="142" t="s">
        <v>730</v>
      </c>
      <c r="L2008" s="275" t="s">
        <v>3209</v>
      </c>
      <c r="M2008" s="11" t="str">
        <f>VLOOKUP(N2008,'Mã NV'!$A$3:$B$196,2,0)</f>
        <v>BU06</v>
      </c>
      <c r="N2008" s="304" t="s">
        <v>3213</v>
      </c>
      <c r="O2008" s="380">
        <f>VLOOKUP(B2008,'Tổng hợp (3)'!$C$4:$E$985,3,0)</f>
        <v>44919</v>
      </c>
      <c r="P2008" s="378"/>
      <c r="Q2008" s="43"/>
      <c r="R2008" s="209"/>
    </row>
    <row r="2009" spans="1:18" ht="35.25" hidden="1" customHeight="1">
      <c r="A2009" s="15">
        <f t="shared" si="31"/>
        <v>1999</v>
      </c>
      <c r="B2009" s="221" t="s">
        <v>3114</v>
      </c>
      <c r="C2009" s="211" t="s">
        <v>3115</v>
      </c>
      <c r="D2009" s="19"/>
      <c r="E2009" s="19"/>
      <c r="F2009" s="19"/>
      <c r="G2009" s="225"/>
      <c r="H2009" s="141"/>
      <c r="I2009" s="207" t="s">
        <v>18</v>
      </c>
      <c r="J2009" s="207">
        <v>1</v>
      </c>
      <c r="K2009" s="142" t="s">
        <v>730</v>
      </c>
      <c r="L2009" s="275" t="s">
        <v>3209</v>
      </c>
      <c r="M2009" s="11" t="str">
        <f>VLOOKUP(N2009,'Mã NV'!$A$3:$B$196,2,0)</f>
        <v>BU06</v>
      </c>
      <c r="N2009" s="304" t="s">
        <v>3213</v>
      </c>
      <c r="O2009" s="380">
        <f>VLOOKUP(B2009,'Tổng hợp (3)'!$C$4:$E$985,3,0)</f>
        <v>44917</v>
      </c>
      <c r="P2009" s="378"/>
      <c r="Q2009" s="43"/>
      <c r="R2009" s="209"/>
    </row>
    <row r="2010" spans="1:18" ht="35.25" hidden="1" customHeight="1">
      <c r="A2010" s="15">
        <f t="shared" si="31"/>
        <v>2000</v>
      </c>
      <c r="B2010" s="221" t="s">
        <v>3116</v>
      </c>
      <c r="C2010" s="211" t="s">
        <v>3117</v>
      </c>
      <c r="D2010" s="19"/>
      <c r="E2010" s="19"/>
      <c r="F2010" s="19"/>
      <c r="G2010" s="225"/>
      <c r="H2010" s="141"/>
      <c r="I2010" s="207" t="s">
        <v>18</v>
      </c>
      <c r="J2010" s="207">
        <v>1</v>
      </c>
      <c r="K2010" s="142" t="s">
        <v>730</v>
      </c>
      <c r="L2010" s="275" t="s">
        <v>3209</v>
      </c>
      <c r="M2010" s="11" t="str">
        <f>VLOOKUP(N2010,'Mã NV'!$A$3:$B$196,2,0)</f>
        <v>BU06</v>
      </c>
      <c r="N2010" s="304" t="s">
        <v>3213</v>
      </c>
      <c r="O2010" s="382" t="s">
        <v>4268</v>
      </c>
      <c r="P2010" s="371"/>
      <c r="Q2010" s="43"/>
      <c r="R2010" s="209"/>
    </row>
    <row r="2011" spans="1:18" ht="35.25" hidden="1" customHeight="1">
      <c r="A2011" s="15">
        <f t="shared" si="31"/>
        <v>2001</v>
      </c>
      <c r="B2011" s="221" t="s">
        <v>3118</v>
      </c>
      <c r="C2011" s="211" t="s">
        <v>3119</v>
      </c>
      <c r="D2011" s="19"/>
      <c r="E2011" s="19"/>
      <c r="F2011" s="19"/>
      <c r="G2011" s="225"/>
      <c r="H2011" s="141"/>
      <c r="I2011" s="207" t="s">
        <v>18</v>
      </c>
      <c r="J2011" s="207">
        <v>1</v>
      </c>
      <c r="K2011" s="142" t="s">
        <v>730</v>
      </c>
      <c r="L2011" s="275" t="s">
        <v>3209</v>
      </c>
      <c r="M2011" s="11" t="str">
        <f>VLOOKUP(N2011,'Mã NV'!$A$3:$B$196,2,0)</f>
        <v>BU06</v>
      </c>
      <c r="N2011" s="304" t="s">
        <v>3213</v>
      </c>
      <c r="O2011" s="382" t="s">
        <v>4268</v>
      </c>
      <c r="P2011" s="371"/>
      <c r="Q2011" s="43"/>
      <c r="R2011" s="209"/>
    </row>
    <row r="2012" spans="1:18" ht="35.25" hidden="1" customHeight="1">
      <c r="A2012" s="15">
        <f t="shared" si="31"/>
        <v>2002</v>
      </c>
      <c r="B2012" s="212" t="s">
        <v>3120</v>
      </c>
      <c r="C2012" s="206" t="s">
        <v>641</v>
      </c>
      <c r="D2012" s="19"/>
      <c r="E2012" s="19"/>
      <c r="F2012" s="19"/>
      <c r="G2012" s="241">
        <v>335973688</v>
      </c>
      <c r="H2012" s="141"/>
      <c r="I2012" s="213" t="s">
        <v>566</v>
      </c>
      <c r="J2012" s="213">
        <v>1</v>
      </c>
      <c r="K2012" s="142" t="s">
        <v>730</v>
      </c>
      <c r="L2012" s="275" t="s">
        <v>3209</v>
      </c>
      <c r="M2012" s="11" t="str">
        <f>VLOOKUP(N2012,'Mã NV'!$A$3:$B$196,2,0)</f>
        <v>BU06</v>
      </c>
      <c r="N2012" s="299" t="s">
        <v>3213</v>
      </c>
      <c r="O2012" s="382" t="s">
        <v>4267</v>
      </c>
      <c r="P2012" s="371"/>
      <c r="Q2012" s="43"/>
      <c r="R2012" s="206"/>
    </row>
    <row r="2013" spans="1:18" ht="35.25" hidden="1" customHeight="1">
      <c r="A2013" s="15">
        <f t="shared" si="31"/>
        <v>2003</v>
      </c>
      <c r="B2013" s="214" t="s">
        <v>3121</v>
      </c>
      <c r="C2013" s="215" t="s">
        <v>3122</v>
      </c>
      <c r="D2013" s="19"/>
      <c r="E2013" s="19"/>
      <c r="F2013" s="19"/>
      <c r="G2013" s="242" t="s">
        <v>3199</v>
      </c>
      <c r="H2013" s="141"/>
      <c r="I2013" s="216" t="s">
        <v>18</v>
      </c>
      <c r="J2013" s="216">
        <v>1</v>
      </c>
      <c r="K2013" s="142" t="s">
        <v>730</v>
      </c>
      <c r="L2013" s="275" t="s">
        <v>3209</v>
      </c>
      <c r="M2013" s="11" t="str">
        <f>VLOOKUP(N2013,'Mã NV'!$A$3:$B$196,2,0)</f>
        <v>BU16</v>
      </c>
      <c r="N2013" s="320" t="s">
        <v>3214</v>
      </c>
      <c r="O2013" s="382" t="s">
        <v>4267</v>
      </c>
      <c r="P2013" s="371"/>
      <c r="Q2013" s="43"/>
      <c r="R2013" s="209"/>
    </row>
    <row r="2014" spans="1:18" ht="35.25" hidden="1" customHeight="1">
      <c r="A2014" s="15">
        <f t="shared" si="31"/>
        <v>2004</v>
      </c>
      <c r="B2014" s="214" t="s">
        <v>3123</v>
      </c>
      <c r="C2014" s="215" t="s">
        <v>3124</v>
      </c>
      <c r="D2014" s="19"/>
      <c r="E2014" s="19"/>
      <c r="F2014" s="19"/>
      <c r="G2014" s="242" t="s">
        <v>3200</v>
      </c>
      <c r="H2014" s="141"/>
      <c r="I2014" s="216" t="s">
        <v>18</v>
      </c>
      <c r="J2014" s="216">
        <v>1</v>
      </c>
      <c r="K2014" s="142" t="s">
        <v>730</v>
      </c>
      <c r="L2014" s="275" t="s">
        <v>3209</v>
      </c>
      <c r="M2014" s="11" t="str">
        <f>VLOOKUP(N2014,'Mã NV'!$A$3:$B$196,2,0)</f>
        <v>BU06</v>
      </c>
      <c r="N2014" s="320" t="s">
        <v>3213</v>
      </c>
      <c r="O2014" s="382" t="s">
        <v>4267</v>
      </c>
      <c r="P2014" s="371"/>
      <c r="Q2014" s="43"/>
      <c r="R2014" s="209"/>
    </row>
    <row r="2015" spans="1:18" ht="35.25" hidden="1" customHeight="1">
      <c r="A2015" s="15">
        <f t="shared" si="31"/>
        <v>2005</v>
      </c>
      <c r="B2015" s="214" t="s">
        <v>3125</v>
      </c>
      <c r="C2015" s="215" t="s">
        <v>3126</v>
      </c>
      <c r="D2015" s="19"/>
      <c r="E2015" s="19"/>
      <c r="F2015" s="19"/>
      <c r="G2015" s="242" t="s">
        <v>3201</v>
      </c>
      <c r="H2015" s="141"/>
      <c r="I2015" s="216" t="s">
        <v>18</v>
      </c>
      <c r="J2015" s="216">
        <v>1</v>
      </c>
      <c r="K2015" s="142" t="s">
        <v>730</v>
      </c>
      <c r="L2015" s="275" t="s">
        <v>3209</v>
      </c>
      <c r="M2015" s="11" t="str">
        <f>VLOOKUP(N2015,'Mã NV'!$A$3:$B$196,2,0)</f>
        <v>BU06</v>
      </c>
      <c r="N2015" s="320" t="s">
        <v>3213</v>
      </c>
      <c r="O2015" s="382" t="s">
        <v>4267</v>
      </c>
      <c r="P2015" s="371"/>
      <c r="Q2015" s="43"/>
      <c r="R2015" s="209"/>
    </row>
    <row r="2016" spans="1:18" ht="35.25" hidden="1" customHeight="1">
      <c r="A2016" s="15">
        <f t="shared" si="31"/>
        <v>2006</v>
      </c>
      <c r="B2016" s="214" t="s">
        <v>3127</v>
      </c>
      <c r="C2016" s="215" t="s">
        <v>523</v>
      </c>
      <c r="D2016" s="19"/>
      <c r="E2016" s="19"/>
      <c r="F2016" s="19"/>
      <c r="G2016" s="242"/>
      <c r="H2016" s="141"/>
      <c r="I2016" s="216" t="s">
        <v>18</v>
      </c>
      <c r="J2016" s="216">
        <v>1</v>
      </c>
      <c r="K2016" s="142" t="s">
        <v>730</v>
      </c>
      <c r="L2016" s="275" t="s">
        <v>3209</v>
      </c>
      <c r="M2016" s="11" t="str">
        <f>VLOOKUP(N2016,'Mã NV'!$A$3:$B$196,2,0)</f>
        <v>BU06</v>
      </c>
      <c r="N2016" s="304" t="s">
        <v>3213</v>
      </c>
      <c r="O2016" s="382" t="s">
        <v>4267</v>
      </c>
      <c r="P2016" s="371"/>
      <c r="Q2016" s="43"/>
      <c r="R2016" s="209"/>
    </row>
    <row r="2017" spans="1:18" ht="35.25" hidden="1" customHeight="1">
      <c r="A2017" s="15">
        <f t="shared" si="31"/>
        <v>2007</v>
      </c>
      <c r="B2017" s="214" t="s">
        <v>3128</v>
      </c>
      <c r="C2017" s="215" t="s">
        <v>601</v>
      </c>
      <c r="D2017" s="19"/>
      <c r="E2017" s="19"/>
      <c r="F2017" s="19"/>
      <c r="G2017" s="242"/>
      <c r="H2017" s="141"/>
      <c r="I2017" s="216" t="s">
        <v>18</v>
      </c>
      <c r="J2017" s="216">
        <v>1</v>
      </c>
      <c r="K2017" s="142" t="s">
        <v>730</v>
      </c>
      <c r="L2017" s="275" t="s">
        <v>3209</v>
      </c>
      <c r="M2017" s="11" t="str">
        <f>VLOOKUP(N2017,'Mã NV'!$A$3:$B$196,2,0)</f>
        <v>BU06</v>
      </c>
      <c r="N2017" s="299" t="s">
        <v>3213</v>
      </c>
      <c r="O2017" s="382" t="s">
        <v>4267</v>
      </c>
      <c r="P2017" s="371"/>
      <c r="Q2017" s="43"/>
      <c r="R2017" s="209"/>
    </row>
    <row r="2018" spans="1:18" ht="35.25" hidden="1" customHeight="1">
      <c r="A2018" s="15">
        <f t="shared" si="31"/>
        <v>2008</v>
      </c>
      <c r="B2018" s="214" t="s">
        <v>3129</v>
      </c>
      <c r="C2018" s="215" t="s">
        <v>3130</v>
      </c>
      <c r="D2018" s="19"/>
      <c r="E2018" s="19"/>
      <c r="F2018" s="19"/>
      <c r="G2018" s="242" t="s">
        <v>3202</v>
      </c>
      <c r="H2018" s="141"/>
      <c r="I2018" s="216" t="s">
        <v>18</v>
      </c>
      <c r="J2018" s="216">
        <v>1</v>
      </c>
      <c r="K2018" s="142" t="s">
        <v>730</v>
      </c>
      <c r="L2018" s="275" t="s">
        <v>3209</v>
      </c>
      <c r="M2018" s="11" t="str">
        <f>VLOOKUP(N2018,'Mã NV'!$A$3:$B$196,2,0)</f>
        <v>BU06</v>
      </c>
      <c r="N2018" s="299" t="s">
        <v>3213</v>
      </c>
      <c r="O2018" s="382" t="s">
        <v>4267</v>
      </c>
      <c r="P2018" s="371"/>
      <c r="Q2018" s="43"/>
      <c r="R2018" s="274" t="s">
        <v>3216</v>
      </c>
    </row>
    <row r="2019" spans="1:18" ht="35.25" hidden="1" customHeight="1">
      <c r="A2019" s="15">
        <f t="shared" si="31"/>
        <v>2009</v>
      </c>
      <c r="B2019" s="206" t="s">
        <v>3131</v>
      </c>
      <c r="C2019" s="215" t="s">
        <v>3132</v>
      </c>
      <c r="D2019" s="19"/>
      <c r="E2019" s="19"/>
      <c r="F2019" s="19"/>
      <c r="G2019" s="206" t="s">
        <v>3203</v>
      </c>
      <c r="H2019" s="141"/>
      <c r="I2019" s="216" t="s">
        <v>18</v>
      </c>
      <c r="J2019" s="216">
        <v>1</v>
      </c>
      <c r="K2019" s="142" t="s">
        <v>730</v>
      </c>
      <c r="L2019" s="275" t="s">
        <v>3209</v>
      </c>
      <c r="M2019" s="11" t="str">
        <f>VLOOKUP(N2019,'Mã NV'!$A$3:$B$196,2,0)</f>
        <v>BU06</v>
      </c>
      <c r="N2019" s="299" t="s">
        <v>3213</v>
      </c>
      <c r="O2019" s="380">
        <f>VLOOKUP(B2019,'Tổng hợp (3)'!$C$4:$E$985,3,0)</f>
        <v>44902</v>
      </c>
      <c r="P2019" s="378"/>
      <c r="Q2019" s="43"/>
      <c r="R2019" s="274" t="s">
        <v>3216</v>
      </c>
    </row>
    <row r="2020" spans="1:18" ht="35.25" hidden="1" customHeight="1">
      <c r="A2020" s="15">
        <f t="shared" si="31"/>
        <v>2010</v>
      </c>
      <c r="B2020" s="228" t="s">
        <v>3133</v>
      </c>
      <c r="C2020" s="215" t="s">
        <v>3134</v>
      </c>
      <c r="D2020" s="19"/>
      <c r="E2020" s="19"/>
      <c r="F2020" s="19"/>
      <c r="G2020" s="242" t="s">
        <v>3204</v>
      </c>
      <c r="H2020" s="141"/>
      <c r="I2020" s="216" t="s">
        <v>18</v>
      </c>
      <c r="J2020" s="216">
        <v>1</v>
      </c>
      <c r="K2020" s="142" t="s">
        <v>730</v>
      </c>
      <c r="L2020" s="275" t="s">
        <v>3209</v>
      </c>
      <c r="M2020" s="11" t="str">
        <f>VLOOKUP(N2020,'Mã NV'!$A$3:$B$196,2,0)</f>
        <v>BU16</v>
      </c>
      <c r="N2020" s="320" t="s">
        <v>3214</v>
      </c>
      <c r="O2020" s="380">
        <f>VLOOKUP(B2020,'Tổng hợp (3)'!$C$4:$E$985,3,0)</f>
        <v>44714</v>
      </c>
      <c r="P2020" s="378"/>
      <c r="Q2020" s="43"/>
      <c r="R2020" s="209"/>
    </row>
    <row r="2021" spans="1:18" ht="35.25" hidden="1" customHeight="1">
      <c r="A2021" s="15">
        <f t="shared" si="31"/>
        <v>2011</v>
      </c>
      <c r="B2021" s="206" t="s">
        <v>3135</v>
      </c>
      <c r="C2021" s="215" t="s">
        <v>3136</v>
      </c>
      <c r="D2021" s="19"/>
      <c r="E2021" s="19"/>
      <c r="F2021" s="19"/>
      <c r="G2021" s="206" t="s">
        <v>3205</v>
      </c>
      <c r="H2021" s="141"/>
      <c r="I2021" s="216" t="s">
        <v>18</v>
      </c>
      <c r="J2021" s="216">
        <v>1</v>
      </c>
      <c r="K2021" s="142" t="s">
        <v>730</v>
      </c>
      <c r="L2021" s="275" t="s">
        <v>3209</v>
      </c>
      <c r="M2021" s="11" t="str">
        <f>VLOOKUP(N2021,'Mã NV'!$A$3:$B$196,2,0)</f>
        <v>BU06</v>
      </c>
      <c r="N2021" s="320" t="s">
        <v>3213</v>
      </c>
      <c r="O2021" s="380">
        <f>VLOOKUP(B2021,'Tổng hợp (3)'!$C$4:$E$985,3,0)</f>
        <v>44902</v>
      </c>
      <c r="P2021" s="378"/>
      <c r="Q2021" s="43"/>
      <c r="R2021" s="274" t="s">
        <v>3216</v>
      </c>
    </row>
    <row r="2022" spans="1:18" ht="35.25" hidden="1" customHeight="1">
      <c r="A2022" s="15">
        <f t="shared" si="31"/>
        <v>2012</v>
      </c>
      <c r="B2022" s="228" t="s">
        <v>3137</v>
      </c>
      <c r="C2022" s="215" t="s">
        <v>3138</v>
      </c>
      <c r="D2022" s="19"/>
      <c r="E2022" s="19"/>
      <c r="F2022" s="19"/>
      <c r="G2022" s="242"/>
      <c r="H2022" s="141"/>
      <c r="I2022" s="216" t="s">
        <v>18</v>
      </c>
      <c r="J2022" s="216">
        <v>1</v>
      </c>
      <c r="K2022" s="142" t="s">
        <v>730</v>
      </c>
      <c r="L2022" s="275" t="s">
        <v>3209</v>
      </c>
      <c r="M2022" s="11" t="str">
        <f>VLOOKUP(N2022,'Mã NV'!$A$3:$B$196,2,0)</f>
        <v>BU06</v>
      </c>
      <c r="N2022" s="320" t="s">
        <v>3213</v>
      </c>
      <c r="O2022" s="380">
        <f>VLOOKUP(B2022,'Tổng hợp (3)'!$C$4:$E$985,3,0)</f>
        <v>44714</v>
      </c>
      <c r="P2022" s="378"/>
      <c r="Q2022" s="43"/>
      <c r="R2022" s="274" t="s">
        <v>3217</v>
      </c>
    </row>
    <row r="2023" spans="1:18" ht="35.25" hidden="1" customHeight="1">
      <c r="A2023" s="15">
        <f t="shared" si="31"/>
        <v>2013</v>
      </c>
      <c r="B2023" s="228" t="s">
        <v>3139</v>
      </c>
      <c r="C2023" s="215" t="s">
        <v>3140</v>
      </c>
      <c r="D2023" s="19"/>
      <c r="E2023" s="19"/>
      <c r="F2023" s="19"/>
      <c r="G2023" s="242"/>
      <c r="H2023" s="141"/>
      <c r="I2023" s="216" t="s">
        <v>18</v>
      </c>
      <c r="J2023" s="216">
        <v>1</v>
      </c>
      <c r="K2023" s="142" t="s">
        <v>730</v>
      </c>
      <c r="L2023" s="275" t="s">
        <v>3209</v>
      </c>
      <c r="M2023" s="11" t="str">
        <f>VLOOKUP(N2023,'Mã NV'!$A$3:$B$196,2,0)</f>
        <v>BU06</v>
      </c>
      <c r="N2023" s="320" t="s">
        <v>3213</v>
      </c>
      <c r="O2023" s="380">
        <f>VLOOKUP(B2023,'Tổng hợp (3)'!$C$4:$E$985,3,0)</f>
        <v>44714</v>
      </c>
      <c r="P2023" s="378"/>
      <c r="Q2023" s="43"/>
      <c r="R2023" s="274" t="s">
        <v>3212</v>
      </c>
    </row>
    <row r="2024" spans="1:18" ht="35.25" hidden="1" customHeight="1">
      <c r="A2024" s="15">
        <f t="shared" si="31"/>
        <v>2014</v>
      </c>
      <c r="B2024" s="228" t="s">
        <v>3141</v>
      </c>
      <c r="C2024" s="215" t="s">
        <v>3142</v>
      </c>
      <c r="D2024" s="19"/>
      <c r="E2024" s="19"/>
      <c r="F2024" s="19"/>
      <c r="G2024" s="242"/>
      <c r="H2024" s="141"/>
      <c r="I2024" s="216" t="s">
        <v>18</v>
      </c>
      <c r="J2024" s="216">
        <v>1</v>
      </c>
      <c r="K2024" s="142" t="s">
        <v>730</v>
      </c>
      <c r="L2024" s="275" t="s">
        <v>3209</v>
      </c>
      <c r="M2024" s="11" t="str">
        <f>VLOOKUP(N2024,'Mã NV'!$A$3:$B$196,2,0)</f>
        <v>BU06</v>
      </c>
      <c r="N2024" s="320" t="s">
        <v>3213</v>
      </c>
      <c r="O2024" s="380">
        <f>VLOOKUP(B2024,'Tổng hợp (3)'!$C$4:$E$985,3,0)</f>
        <v>44714</v>
      </c>
      <c r="P2024" s="378"/>
      <c r="Q2024" s="43"/>
      <c r="R2024" s="274" t="s">
        <v>3217</v>
      </c>
    </row>
    <row r="2025" spans="1:18" ht="35.25" hidden="1" customHeight="1">
      <c r="A2025" s="15">
        <f t="shared" si="31"/>
        <v>2015</v>
      </c>
      <c r="B2025" s="228" t="s">
        <v>3143</v>
      </c>
      <c r="C2025" s="215" t="s">
        <v>3144</v>
      </c>
      <c r="D2025" s="19"/>
      <c r="E2025" s="19"/>
      <c r="F2025" s="19"/>
      <c r="G2025" s="242"/>
      <c r="H2025" s="141"/>
      <c r="I2025" s="216" t="s">
        <v>18</v>
      </c>
      <c r="J2025" s="216">
        <v>1</v>
      </c>
      <c r="K2025" s="142" t="s">
        <v>730</v>
      </c>
      <c r="L2025" s="275" t="s">
        <v>3209</v>
      </c>
      <c r="M2025" s="11" t="str">
        <f>VLOOKUP(N2025,'Mã NV'!$A$3:$B$196,2,0)</f>
        <v>BU06</v>
      </c>
      <c r="N2025" s="320" t="s">
        <v>3213</v>
      </c>
      <c r="O2025" s="380">
        <f>VLOOKUP(B2025,'Tổng hợp (3)'!$C$4:$E$985,3,0)</f>
        <v>44714</v>
      </c>
      <c r="P2025" s="378"/>
      <c r="Q2025" s="43"/>
      <c r="R2025" s="274" t="s">
        <v>3217</v>
      </c>
    </row>
    <row r="2026" spans="1:18" ht="35.25" hidden="1" customHeight="1">
      <c r="A2026" s="15">
        <f t="shared" si="31"/>
        <v>2016</v>
      </c>
      <c r="B2026" s="228" t="s">
        <v>3145</v>
      </c>
      <c r="C2026" s="215" t="s">
        <v>3146</v>
      </c>
      <c r="D2026" s="19"/>
      <c r="E2026" s="19"/>
      <c r="F2026" s="19"/>
      <c r="G2026" s="217"/>
      <c r="H2026" s="141"/>
      <c r="I2026" s="216" t="s">
        <v>18</v>
      </c>
      <c r="J2026" s="216">
        <v>1</v>
      </c>
      <c r="K2026" s="142" t="s">
        <v>730</v>
      </c>
      <c r="L2026" s="275" t="s">
        <v>3209</v>
      </c>
      <c r="M2026" s="11" t="str">
        <f>VLOOKUP(N2026,'Mã NV'!$A$3:$B$196,2,0)</f>
        <v>BU06</v>
      </c>
      <c r="N2026" s="320" t="s">
        <v>3213</v>
      </c>
      <c r="O2026" s="380">
        <f>VLOOKUP(B2026,'Tổng hợp (3)'!$C$4:$E$985,3,0)</f>
        <v>44714</v>
      </c>
      <c r="P2026" s="378"/>
      <c r="Q2026" s="43"/>
      <c r="R2026" s="274" t="s">
        <v>3217</v>
      </c>
    </row>
    <row r="2027" spans="1:18" ht="35.25" hidden="1" customHeight="1">
      <c r="A2027" s="15">
        <f t="shared" si="31"/>
        <v>2017</v>
      </c>
      <c r="B2027" s="228" t="s">
        <v>3147</v>
      </c>
      <c r="C2027" s="215" t="s">
        <v>3148</v>
      </c>
      <c r="D2027" s="19"/>
      <c r="E2027" s="19"/>
      <c r="F2027" s="19"/>
      <c r="G2027" s="217"/>
      <c r="H2027" s="141"/>
      <c r="I2027" s="216" t="s">
        <v>18</v>
      </c>
      <c r="J2027" s="216">
        <v>1</v>
      </c>
      <c r="K2027" s="142" t="s">
        <v>730</v>
      </c>
      <c r="L2027" s="275" t="s">
        <v>3209</v>
      </c>
      <c r="M2027" s="11" t="str">
        <f>VLOOKUP(N2027,'Mã NV'!$A$3:$B$196,2,0)</f>
        <v>BU06</v>
      </c>
      <c r="N2027" s="320" t="s">
        <v>3213</v>
      </c>
      <c r="O2027" s="380">
        <f>VLOOKUP(B2027,'Tổng hợp (3)'!$C$4:$E$985,3,0)</f>
        <v>44714</v>
      </c>
      <c r="P2027" s="378"/>
      <c r="Q2027" s="43"/>
      <c r="R2027" s="274" t="s">
        <v>3212</v>
      </c>
    </row>
    <row r="2028" spans="1:18" ht="35.25" hidden="1" customHeight="1">
      <c r="A2028" s="15">
        <f t="shared" si="31"/>
        <v>2018</v>
      </c>
      <c r="B2028" s="228" t="s">
        <v>3149</v>
      </c>
      <c r="C2028" s="215" t="s">
        <v>3150</v>
      </c>
      <c r="D2028" s="19"/>
      <c r="E2028" s="19"/>
      <c r="F2028" s="19"/>
      <c r="G2028" s="217"/>
      <c r="H2028" s="141"/>
      <c r="I2028" s="216" t="s">
        <v>18</v>
      </c>
      <c r="J2028" s="216">
        <v>1</v>
      </c>
      <c r="K2028" s="142" t="s">
        <v>730</v>
      </c>
      <c r="L2028" s="275" t="s">
        <v>3209</v>
      </c>
      <c r="M2028" s="11" t="str">
        <f>VLOOKUP(N2028,'Mã NV'!$A$3:$B$196,2,0)</f>
        <v>BU06</v>
      </c>
      <c r="N2028" s="320" t="s">
        <v>3213</v>
      </c>
      <c r="O2028" s="382" t="s">
        <v>4267</v>
      </c>
      <c r="P2028" s="371"/>
      <c r="Q2028" s="43"/>
      <c r="R2028" s="274" t="s">
        <v>3212</v>
      </c>
    </row>
    <row r="2029" spans="1:18" ht="35.25" hidden="1" customHeight="1">
      <c r="A2029" s="15">
        <f t="shared" si="31"/>
        <v>2019</v>
      </c>
      <c r="B2029" s="228" t="s">
        <v>3151</v>
      </c>
      <c r="C2029" s="215" t="s">
        <v>3152</v>
      </c>
      <c r="D2029" s="19"/>
      <c r="E2029" s="19"/>
      <c r="F2029" s="19"/>
      <c r="G2029" s="242"/>
      <c r="H2029" s="141"/>
      <c r="I2029" s="216" t="s">
        <v>18</v>
      </c>
      <c r="J2029" s="216">
        <v>1</v>
      </c>
      <c r="K2029" s="142" t="s">
        <v>730</v>
      </c>
      <c r="L2029" s="275" t="s">
        <v>3209</v>
      </c>
      <c r="M2029" s="11" t="str">
        <f>VLOOKUP(N2029,'Mã NV'!$A$3:$B$196,2,0)</f>
        <v>BU06</v>
      </c>
      <c r="N2029" s="320" t="s">
        <v>3213</v>
      </c>
      <c r="O2029" s="380">
        <f>VLOOKUP(B2029,'Tổng hợp (3)'!$C$4:$E$985,3,0)</f>
        <v>44714</v>
      </c>
      <c r="P2029" s="378"/>
      <c r="Q2029" s="43"/>
      <c r="R2029" s="274" t="s">
        <v>3212</v>
      </c>
    </row>
    <row r="2030" spans="1:18" ht="35.25" hidden="1" customHeight="1">
      <c r="A2030" s="15">
        <f t="shared" si="31"/>
        <v>2020</v>
      </c>
      <c r="B2030" s="228" t="s">
        <v>3153</v>
      </c>
      <c r="C2030" s="215" t="s">
        <v>3154</v>
      </c>
      <c r="D2030" s="19"/>
      <c r="E2030" s="19"/>
      <c r="F2030" s="19"/>
      <c r="G2030" s="229" t="s">
        <v>3206</v>
      </c>
      <c r="H2030" s="141"/>
      <c r="I2030" s="216" t="s">
        <v>18</v>
      </c>
      <c r="J2030" s="216">
        <v>1</v>
      </c>
      <c r="K2030" s="142" t="s">
        <v>730</v>
      </c>
      <c r="L2030" s="275" t="s">
        <v>3209</v>
      </c>
      <c r="M2030" s="11" t="str">
        <f>VLOOKUP(N2030,'Mã NV'!$A$3:$B$196,2,0)</f>
        <v>BU06</v>
      </c>
      <c r="N2030" s="320" t="s">
        <v>3213</v>
      </c>
      <c r="O2030" s="380">
        <f>VLOOKUP(B2030,'Tổng hợp (3)'!$C$4:$E$985,3,0)</f>
        <v>44714</v>
      </c>
      <c r="P2030" s="378"/>
      <c r="Q2030" s="43"/>
      <c r="R2030" s="274" t="s">
        <v>3212</v>
      </c>
    </row>
    <row r="2031" spans="1:18" ht="35.25" hidden="1" customHeight="1">
      <c r="A2031" s="15">
        <f t="shared" si="31"/>
        <v>2021</v>
      </c>
      <c r="B2031" s="228" t="s">
        <v>3155</v>
      </c>
      <c r="C2031" s="215" t="s">
        <v>3156</v>
      </c>
      <c r="D2031" s="19"/>
      <c r="E2031" s="19"/>
      <c r="F2031" s="19"/>
      <c r="G2031" s="218" t="s">
        <v>3207</v>
      </c>
      <c r="H2031" s="141"/>
      <c r="I2031" s="216" t="s">
        <v>181</v>
      </c>
      <c r="J2031" s="216">
        <v>1</v>
      </c>
      <c r="K2031" s="142" t="s">
        <v>730</v>
      </c>
      <c r="L2031" s="275" t="s">
        <v>3209</v>
      </c>
      <c r="M2031" s="11" t="str">
        <f>VLOOKUP(N2031,'Mã NV'!$A$3:$B$196,2,0)</f>
        <v>BU06</v>
      </c>
      <c r="N2031" s="320" t="s">
        <v>3213</v>
      </c>
      <c r="O2031" s="380">
        <f>VLOOKUP(B2031,'Tổng hợp (3)'!$C$4:$E$985,3,0)</f>
        <v>44714</v>
      </c>
      <c r="P2031" s="378"/>
      <c r="Q2031" s="43"/>
      <c r="R2031" s="274" t="s">
        <v>3212</v>
      </c>
    </row>
    <row r="2032" spans="1:18" ht="35.25" hidden="1" customHeight="1">
      <c r="A2032" s="15">
        <f t="shared" si="31"/>
        <v>2022</v>
      </c>
      <c r="B2032" s="228" t="s">
        <v>3157</v>
      </c>
      <c r="C2032" s="215" t="s">
        <v>3158</v>
      </c>
      <c r="D2032" s="19"/>
      <c r="E2032" s="19"/>
      <c r="F2032" s="19"/>
      <c r="G2032" s="242"/>
      <c r="H2032" s="141"/>
      <c r="I2032" s="216" t="s">
        <v>181</v>
      </c>
      <c r="J2032" s="216">
        <v>1</v>
      </c>
      <c r="K2032" s="142" t="s">
        <v>730</v>
      </c>
      <c r="L2032" s="275" t="s">
        <v>3209</v>
      </c>
      <c r="M2032" s="11" t="str">
        <f>VLOOKUP(N2032,'Mã NV'!$A$3:$B$196,2,0)</f>
        <v>BU06</v>
      </c>
      <c r="N2032" s="320" t="s">
        <v>3213</v>
      </c>
      <c r="O2032" s="380">
        <f>VLOOKUP(B2032,'Tổng hợp (3)'!$C$4:$E$985,3,0)</f>
        <v>44714</v>
      </c>
      <c r="P2032" s="378"/>
      <c r="Q2032" s="43"/>
      <c r="R2032" s="274" t="s">
        <v>3212</v>
      </c>
    </row>
    <row r="2033" spans="1:18" ht="35.25" hidden="1" customHeight="1">
      <c r="A2033" s="15">
        <f t="shared" si="31"/>
        <v>2023</v>
      </c>
      <c r="B2033" s="228" t="s">
        <v>3159</v>
      </c>
      <c r="C2033" s="215" t="s">
        <v>3160</v>
      </c>
      <c r="D2033" s="19"/>
      <c r="E2033" s="19"/>
      <c r="F2033" s="19"/>
      <c r="G2033" s="229" t="s">
        <v>3208</v>
      </c>
      <c r="H2033" s="141"/>
      <c r="I2033" s="216" t="s">
        <v>18</v>
      </c>
      <c r="J2033" s="216">
        <v>1</v>
      </c>
      <c r="K2033" s="142" t="s">
        <v>730</v>
      </c>
      <c r="L2033" s="275" t="s">
        <v>3209</v>
      </c>
      <c r="M2033" s="11" t="str">
        <f>VLOOKUP(N2033,'Mã NV'!$A$3:$B$196,2,0)</f>
        <v>BU06</v>
      </c>
      <c r="N2033" s="320" t="s">
        <v>3213</v>
      </c>
      <c r="O2033" s="380">
        <f>VLOOKUP(B2033,'Tổng hợp (3)'!$C$4:$E$985,3,0)</f>
        <v>44714</v>
      </c>
      <c r="P2033" s="378"/>
      <c r="Q2033" s="43"/>
      <c r="R2033" s="274" t="s">
        <v>3217</v>
      </c>
    </row>
    <row r="2034" spans="1:18" ht="35.25" hidden="1" customHeight="1">
      <c r="A2034" s="15">
        <f t="shared" si="31"/>
        <v>2024</v>
      </c>
      <c r="B2034" s="228" t="s">
        <v>3161</v>
      </c>
      <c r="C2034" s="229" t="s">
        <v>3162</v>
      </c>
      <c r="D2034" s="19"/>
      <c r="E2034" s="19"/>
      <c r="F2034" s="19"/>
      <c r="G2034" s="217"/>
      <c r="H2034" s="141"/>
      <c r="I2034" s="216" t="s">
        <v>181</v>
      </c>
      <c r="J2034" s="216">
        <v>1</v>
      </c>
      <c r="K2034" s="142" t="s">
        <v>730</v>
      </c>
      <c r="L2034" s="275" t="s">
        <v>3209</v>
      </c>
      <c r="M2034" s="11" t="str">
        <f>VLOOKUP(N2034,'Mã NV'!$A$3:$B$196,2,0)</f>
        <v>BU06</v>
      </c>
      <c r="N2034" s="320" t="s">
        <v>3213</v>
      </c>
      <c r="O2034" s="380">
        <f>VLOOKUP(B2034,'Tổng hợp (3)'!$C$4:$E$985,3,0)</f>
        <v>44714</v>
      </c>
      <c r="P2034" s="378"/>
      <c r="Q2034" s="43"/>
      <c r="R2034" s="274" t="s">
        <v>3212</v>
      </c>
    </row>
    <row r="2035" spans="1:18" ht="35.25" hidden="1" customHeight="1">
      <c r="A2035" s="15">
        <f t="shared" si="31"/>
        <v>2025</v>
      </c>
      <c r="B2035" s="228" t="s">
        <v>3163</v>
      </c>
      <c r="C2035" s="229" t="s">
        <v>23</v>
      </c>
      <c r="D2035" s="19"/>
      <c r="E2035" s="19"/>
      <c r="F2035" s="19"/>
      <c r="G2035" s="242"/>
      <c r="H2035" s="141"/>
      <c r="I2035" s="216" t="s">
        <v>18</v>
      </c>
      <c r="J2035" s="216">
        <v>1</v>
      </c>
      <c r="K2035" s="142" t="s">
        <v>730</v>
      </c>
      <c r="L2035" s="275" t="s">
        <v>3209</v>
      </c>
      <c r="M2035" s="11" t="str">
        <f>VLOOKUP(N2035,'Mã NV'!$A$3:$B$196,2,0)</f>
        <v>BU06</v>
      </c>
      <c r="N2035" s="320" t="s">
        <v>3213</v>
      </c>
      <c r="O2035" s="380">
        <f>VLOOKUP(B2035,'Tổng hợp (3)'!$C$4:$E$985,3,0)</f>
        <v>44742</v>
      </c>
      <c r="P2035" s="378"/>
      <c r="Q2035" s="43"/>
      <c r="R2035" s="274" t="s">
        <v>3218</v>
      </c>
    </row>
    <row r="2036" spans="1:18" ht="35.25" hidden="1" customHeight="1">
      <c r="A2036" s="15">
        <f t="shared" si="31"/>
        <v>2026</v>
      </c>
      <c r="B2036" s="228" t="s">
        <v>3164</v>
      </c>
      <c r="C2036" s="229" t="s">
        <v>23</v>
      </c>
      <c r="D2036" s="19"/>
      <c r="E2036" s="19"/>
      <c r="F2036" s="19"/>
      <c r="G2036" s="242"/>
      <c r="H2036" s="141"/>
      <c r="I2036" s="216" t="s">
        <v>18</v>
      </c>
      <c r="J2036" s="216">
        <v>1</v>
      </c>
      <c r="K2036" s="142" t="s">
        <v>730</v>
      </c>
      <c r="L2036" s="275" t="s">
        <v>3209</v>
      </c>
      <c r="M2036" s="11" t="str">
        <f>VLOOKUP(N2036,'Mã NV'!$A$3:$B$196,2,0)</f>
        <v>BU06</v>
      </c>
      <c r="N2036" s="320" t="s">
        <v>3213</v>
      </c>
      <c r="O2036" s="380">
        <f>VLOOKUP(B2036,'Tổng hợp (3)'!$C$4:$E$985,3,0)</f>
        <v>44742</v>
      </c>
      <c r="P2036" s="378"/>
      <c r="Q2036" s="43"/>
      <c r="R2036" s="274" t="s">
        <v>3218</v>
      </c>
    </row>
    <row r="2037" spans="1:18" ht="35.25" hidden="1" customHeight="1">
      <c r="A2037" s="15">
        <f t="shared" si="31"/>
        <v>2027</v>
      </c>
      <c r="B2037" s="228" t="s">
        <v>3165</v>
      </c>
      <c r="C2037" s="229" t="s">
        <v>23</v>
      </c>
      <c r="D2037" s="19"/>
      <c r="E2037" s="19"/>
      <c r="F2037" s="19"/>
      <c r="G2037" s="242"/>
      <c r="H2037" s="141"/>
      <c r="I2037" s="216" t="s">
        <v>18</v>
      </c>
      <c r="J2037" s="216">
        <v>1</v>
      </c>
      <c r="K2037" s="142" t="s">
        <v>730</v>
      </c>
      <c r="L2037" s="275" t="s">
        <v>3209</v>
      </c>
      <c r="M2037" s="11" t="str">
        <f>VLOOKUP(N2037,'Mã NV'!$A$3:$B$196,2,0)</f>
        <v>BU06</v>
      </c>
      <c r="N2037" s="320" t="s">
        <v>3213</v>
      </c>
      <c r="O2037" s="380">
        <f>VLOOKUP(B2037,'Tổng hợp (3)'!$C$4:$E$985,3,0)</f>
        <v>44742</v>
      </c>
      <c r="P2037" s="378"/>
      <c r="Q2037" s="43"/>
      <c r="R2037" s="274" t="s">
        <v>3218</v>
      </c>
    </row>
    <row r="2038" spans="1:18" ht="35.25" hidden="1" customHeight="1">
      <c r="A2038" s="15">
        <f t="shared" si="31"/>
        <v>2028</v>
      </c>
      <c r="B2038" s="228" t="s">
        <v>3166</v>
      </c>
      <c r="C2038" s="229" t="s">
        <v>1306</v>
      </c>
      <c r="D2038" s="19"/>
      <c r="E2038" s="19"/>
      <c r="F2038" s="19"/>
      <c r="G2038" s="242"/>
      <c r="H2038" s="141"/>
      <c r="I2038" s="216" t="s">
        <v>18</v>
      </c>
      <c r="J2038" s="216">
        <v>1</v>
      </c>
      <c r="K2038" s="142" t="s">
        <v>730</v>
      </c>
      <c r="L2038" s="275" t="s">
        <v>3209</v>
      </c>
      <c r="M2038" s="11" t="str">
        <f>VLOOKUP(N2038,'Mã NV'!$A$3:$B$196,2,0)</f>
        <v>BU06</v>
      </c>
      <c r="N2038" s="320" t="s">
        <v>3213</v>
      </c>
      <c r="O2038" s="380">
        <f>VLOOKUP(B2038,'Tổng hợp (3)'!$C$4:$E$985,3,0)</f>
        <v>44742</v>
      </c>
      <c r="P2038" s="378"/>
      <c r="Q2038" s="43"/>
      <c r="R2038" s="274" t="s">
        <v>3218</v>
      </c>
    </row>
    <row r="2039" spans="1:18" ht="35.25" hidden="1" customHeight="1">
      <c r="A2039" s="15">
        <f t="shared" si="31"/>
        <v>2029</v>
      </c>
      <c r="B2039" s="228" t="s">
        <v>3167</v>
      </c>
      <c r="C2039" s="229" t="s">
        <v>1306</v>
      </c>
      <c r="D2039" s="19"/>
      <c r="E2039" s="19"/>
      <c r="F2039" s="19"/>
      <c r="G2039" s="242"/>
      <c r="H2039" s="141"/>
      <c r="I2039" s="216" t="s">
        <v>18</v>
      </c>
      <c r="J2039" s="216">
        <v>1</v>
      </c>
      <c r="K2039" s="142" t="s">
        <v>730</v>
      </c>
      <c r="L2039" s="275" t="s">
        <v>3209</v>
      </c>
      <c r="M2039" s="11" t="str">
        <f>VLOOKUP(N2039,'Mã NV'!$A$3:$B$196,2,0)</f>
        <v>BU06</v>
      </c>
      <c r="N2039" s="320" t="s">
        <v>3213</v>
      </c>
      <c r="O2039" s="380">
        <f>VLOOKUP(B2039,'Tổng hợp (3)'!$C$4:$E$985,3,0)</f>
        <v>44742</v>
      </c>
      <c r="P2039" s="378"/>
      <c r="Q2039" s="43"/>
      <c r="R2039" s="274" t="s">
        <v>3218</v>
      </c>
    </row>
    <row r="2040" spans="1:18" ht="35.25" hidden="1" customHeight="1">
      <c r="A2040" s="15">
        <f t="shared" si="31"/>
        <v>2030</v>
      </c>
      <c r="B2040" s="228" t="s">
        <v>3168</v>
      </c>
      <c r="C2040" s="229" t="s">
        <v>1306</v>
      </c>
      <c r="D2040" s="19"/>
      <c r="E2040" s="19"/>
      <c r="F2040" s="19"/>
      <c r="G2040" s="242"/>
      <c r="H2040" s="141"/>
      <c r="I2040" s="216" t="s">
        <v>18</v>
      </c>
      <c r="J2040" s="216">
        <v>1</v>
      </c>
      <c r="K2040" s="142" t="s">
        <v>730</v>
      </c>
      <c r="L2040" s="275" t="s">
        <v>3209</v>
      </c>
      <c r="M2040" s="11" t="str">
        <f>VLOOKUP(N2040,'Mã NV'!$A$3:$B$196,2,0)</f>
        <v>BU06</v>
      </c>
      <c r="N2040" s="320" t="s">
        <v>3213</v>
      </c>
      <c r="O2040" s="380">
        <f>VLOOKUP(B2040,'Tổng hợp (3)'!$C$4:$E$985,3,0)</f>
        <v>44742</v>
      </c>
      <c r="P2040" s="378"/>
      <c r="Q2040" s="43"/>
      <c r="R2040" s="274" t="s">
        <v>3218</v>
      </c>
    </row>
    <row r="2041" spans="1:18" ht="35.25" hidden="1" customHeight="1">
      <c r="A2041" s="15">
        <f t="shared" si="31"/>
        <v>2031</v>
      </c>
      <c r="B2041" s="228" t="s">
        <v>3169</v>
      </c>
      <c r="C2041" s="229" t="s">
        <v>1071</v>
      </c>
      <c r="D2041" s="19"/>
      <c r="E2041" s="19"/>
      <c r="F2041" s="19"/>
      <c r="G2041" s="242"/>
      <c r="H2041" s="141"/>
      <c r="I2041" s="216" t="s">
        <v>18</v>
      </c>
      <c r="J2041" s="216">
        <v>1</v>
      </c>
      <c r="K2041" s="142" t="s">
        <v>730</v>
      </c>
      <c r="L2041" s="275" t="s">
        <v>3209</v>
      </c>
      <c r="M2041" s="11" t="str">
        <f>VLOOKUP(N2041,'Mã NV'!$A$3:$B$196,2,0)</f>
        <v>BU06</v>
      </c>
      <c r="N2041" s="320" t="s">
        <v>3213</v>
      </c>
      <c r="O2041" s="380">
        <f>VLOOKUP(B2041,'Tổng hợp (3)'!$C$4:$E$985,3,0)</f>
        <v>44795</v>
      </c>
      <c r="P2041" s="378"/>
      <c r="Q2041" s="43"/>
      <c r="R2041" s="274" t="s">
        <v>3218</v>
      </c>
    </row>
    <row r="2042" spans="1:18" ht="35.25" hidden="1" customHeight="1">
      <c r="A2042" s="15">
        <f t="shared" si="31"/>
        <v>2032</v>
      </c>
      <c r="B2042" s="231" t="s">
        <v>3170</v>
      </c>
      <c r="C2042" s="252" t="s">
        <v>3171</v>
      </c>
      <c r="D2042" s="19"/>
      <c r="E2042" s="19"/>
      <c r="F2042" s="19"/>
      <c r="G2042" s="243"/>
      <c r="H2042" s="141"/>
      <c r="I2042" s="186" t="s">
        <v>18</v>
      </c>
      <c r="J2042" s="232">
        <v>1</v>
      </c>
      <c r="K2042" s="142" t="s">
        <v>730</v>
      </c>
      <c r="L2042" s="275" t="s">
        <v>3209</v>
      </c>
      <c r="M2042" s="11" t="str">
        <f>VLOOKUP(N2042,'Mã NV'!$A$3:$B$196,2,0)</f>
        <v>TE103</v>
      </c>
      <c r="N2042" s="314" t="s">
        <v>2609</v>
      </c>
      <c r="O2042" s="391">
        <v>44981</v>
      </c>
      <c r="P2042" s="371"/>
      <c r="Q2042" s="43"/>
      <c r="R2042" s="233"/>
    </row>
    <row r="2043" spans="1:18" ht="35.25" hidden="1" customHeight="1">
      <c r="A2043" s="15">
        <f t="shared" si="31"/>
        <v>2033</v>
      </c>
      <c r="B2043" s="208" t="s">
        <v>3172</v>
      </c>
      <c r="C2043" s="225" t="s">
        <v>1176</v>
      </c>
      <c r="D2043" s="19"/>
      <c r="E2043" s="19"/>
      <c r="F2043" s="19"/>
      <c r="G2043" s="225"/>
      <c r="H2043" s="141"/>
      <c r="I2043" s="186" t="s">
        <v>18</v>
      </c>
      <c r="J2043" s="232">
        <v>1</v>
      </c>
      <c r="K2043" s="142" t="s">
        <v>730</v>
      </c>
      <c r="L2043" s="275" t="s">
        <v>3209</v>
      </c>
      <c r="M2043" s="11" t="str">
        <f>VLOOKUP(N2043,'Mã NV'!$A$3:$B$196,2,0)</f>
        <v>TE103</v>
      </c>
      <c r="N2043" s="314" t="s">
        <v>2609</v>
      </c>
      <c r="O2043" s="391">
        <v>44981</v>
      </c>
      <c r="P2043" s="371"/>
      <c r="Q2043" s="43"/>
      <c r="R2043" s="209"/>
    </row>
    <row r="2044" spans="1:18" ht="35.25" hidden="1" customHeight="1">
      <c r="A2044" s="15">
        <f t="shared" si="31"/>
        <v>2034</v>
      </c>
      <c r="B2044" s="208" t="s">
        <v>3173</v>
      </c>
      <c r="C2044" s="225" t="s">
        <v>601</v>
      </c>
      <c r="D2044" s="19"/>
      <c r="E2044" s="19"/>
      <c r="F2044" s="19"/>
      <c r="G2044" s="225"/>
      <c r="H2044" s="141"/>
      <c r="I2044" s="186" t="s">
        <v>18</v>
      </c>
      <c r="J2044" s="232">
        <v>1</v>
      </c>
      <c r="K2044" s="142" t="s">
        <v>730</v>
      </c>
      <c r="L2044" s="275" t="s">
        <v>3209</v>
      </c>
      <c r="M2044" s="11" t="str">
        <f>VLOOKUP(N2044,'Mã NV'!$A$3:$B$196,2,0)</f>
        <v>TE103</v>
      </c>
      <c r="N2044" s="314" t="s">
        <v>2609</v>
      </c>
      <c r="O2044" s="391">
        <v>44981</v>
      </c>
      <c r="P2044" s="371"/>
      <c r="Q2044" s="43"/>
      <c r="R2044" s="209"/>
    </row>
    <row r="2045" spans="1:18" ht="35.25" hidden="1" customHeight="1">
      <c r="A2045" s="15">
        <f t="shared" si="31"/>
        <v>2035</v>
      </c>
      <c r="B2045" s="208" t="s">
        <v>3174</v>
      </c>
      <c r="C2045" s="225" t="s">
        <v>3175</v>
      </c>
      <c r="D2045" s="19"/>
      <c r="E2045" s="19"/>
      <c r="F2045" s="19"/>
      <c r="G2045" s="225"/>
      <c r="H2045" s="141"/>
      <c r="I2045" s="186" t="s">
        <v>18</v>
      </c>
      <c r="J2045" s="232">
        <v>1</v>
      </c>
      <c r="K2045" s="142" t="s">
        <v>730</v>
      </c>
      <c r="L2045" s="275" t="s">
        <v>3209</v>
      </c>
      <c r="M2045" s="11" t="str">
        <f>VLOOKUP(N2045,'Mã NV'!$A$3:$B$196,2,0)</f>
        <v>BU06</v>
      </c>
      <c r="N2045" s="304" t="s">
        <v>3213</v>
      </c>
      <c r="O2045" s="273">
        <v>44999</v>
      </c>
      <c r="P2045" s="371"/>
      <c r="Q2045" s="43"/>
      <c r="R2045" s="209"/>
    </row>
    <row r="2046" spans="1:18" ht="35.25" hidden="1" customHeight="1">
      <c r="A2046" s="15">
        <f t="shared" si="31"/>
        <v>2036</v>
      </c>
      <c r="B2046" s="208" t="s">
        <v>3176</v>
      </c>
      <c r="C2046" s="225" t="s">
        <v>3177</v>
      </c>
      <c r="D2046" s="19"/>
      <c r="E2046" s="19"/>
      <c r="F2046" s="19"/>
      <c r="G2046" s="225"/>
      <c r="H2046" s="141"/>
      <c r="I2046" s="186" t="s">
        <v>18</v>
      </c>
      <c r="J2046" s="232">
        <v>1</v>
      </c>
      <c r="K2046" s="142" t="s">
        <v>730</v>
      </c>
      <c r="L2046" s="275" t="s">
        <v>3209</v>
      </c>
      <c r="M2046" s="11" t="str">
        <f>VLOOKUP(N2046,'Mã NV'!$A$3:$B$196,2,0)</f>
        <v>BU06</v>
      </c>
      <c r="N2046" s="304" t="s">
        <v>3213</v>
      </c>
      <c r="O2046" s="273">
        <v>44999</v>
      </c>
      <c r="P2046" s="371"/>
      <c r="Q2046" s="43"/>
      <c r="R2046" s="209"/>
    </row>
    <row r="2047" spans="1:18" ht="35.25" hidden="1" customHeight="1">
      <c r="A2047" s="15">
        <f t="shared" si="31"/>
        <v>2037</v>
      </c>
      <c r="B2047" s="208" t="s">
        <v>3178</v>
      </c>
      <c r="C2047" s="225" t="s">
        <v>3177</v>
      </c>
      <c r="D2047" s="19"/>
      <c r="E2047" s="19"/>
      <c r="F2047" s="19"/>
      <c r="G2047" s="225"/>
      <c r="H2047" s="141"/>
      <c r="I2047" s="186" t="s">
        <v>18</v>
      </c>
      <c r="J2047" s="232">
        <v>1</v>
      </c>
      <c r="K2047" s="142" t="s">
        <v>730</v>
      </c>
      <c r="L2047" s="275" t="s">
        <v>3209</v>
      </c>
      <c r="M2047" s="11" t="str">
        <f>VLOOKUP(N2047,'Mã NV'!$A$3:$B$196,2,0)</f>
        <v>BU06</v>
      </c>
      <c r="N2047" s="304" t="s">
        <v>3213</v>
      </c>
      <c r="O2047" s="273">
        <v>44999</v>
      </c>
      <c r="P2047" s="371"/>
      <c r="Q2047" s="43"/>
      <c r="R2047" s="209"/>
    </row>
    <row r="2048" spans="1:18" ht="35.25" hidden="1" customHeight="1">
      <c r="A2048" s="15">
        <f t="shared" si="31"/>
        <v>2038</v>
      </c>
      <c r="B2048" s="208" t="s">
        <v>3179</v>
      </c>
      <c r="C2048" s="225" t="s">
        <v>3177</v>
      </c>
      <c r="D2048" s="19"/>
      <c r="E2048" s="19"/>
      <c r="F2048" s="19"/>
      <c r="G2048" s="225"/>
      <c r="H2048" s="141"/>
      <c r="I2048" s="186" t="s">
        <v>18</v>
      </c>
      <c r="J2048" s="232">
        <v>1</v>
      </c>
      <c r="K2048" s="142" t="s">
        <v>730</v>
      </c>
      <c r="L2048" s="275" t="s">
        <v>3209</v>
      </c>
      <c r="M2048" s="11" t="str">
        <f>VLOOKUP(N2048,'Mã NV'!$A$3:$B$196,2,0)</f>
        <v>BU06</v>
      </c>
      <c r="N2048" s="304" t="s">
        <v>3213</v>
      </c>
      <c r="O2048" s="273">
        <v>44999</v>
      </c>
      <c r="P2048" s="371"/>
      <c r="Q2048" s="43"/>
      <c r="R2048" s="209"/>
    </row>
    <row r="2049" spans="1:18" ht="35.25" hidden="1" customHeight="1">
      <c r="A2049" s="15">
        <f t="shared" si="31"/>
        <v>2039</v>
      </c>
      <c r="B2049" s="208" t="s">
        <v>3180</v>
      </c>
      <c r="C2049" s="225" t="s">
        <v>3177</v>
      </c>
      <c r="D2049" s="19"/>
      <c r="E2049" s="19"/>
      <c r="F2049" s="19"/>
      <c r="G2049" s="225"/>
      <c r="H2049" s="141"/>
      <c r="I2049" s="186" t="s">
        <v>18</v>
      </c>
      <c r="J2049" s="232">
        <v>1</v>
      </c>
      <c r="K2049" s="142" t="s">
        <v>730</v>
      </c>
      <c r="L2049" s="275" t="s">
        <v>3209</v>
      </c>
      <c r="M2049" s="11" t="str">
        <f>VLOOKUP(N2049,'Mã NV'!$A$3:$B$196,2,0)</f>
        <v>BU06</v>
      </c>
      <c r="N2049" s="304" t="s">
        <v>3213</v>
      </c>
      <c r="O2049" s="273">
        <v>44999</v>
      </c>
      <c r="P2049" s="371"/>
      <c r="Q2049" s="43"/>
      <c r="R2049" s="209"/>
    </row>
    <row r="2050" spans="1:18" ht="35.25" hidden="1" customHeight="1">
      <c r="A2050" s="15">
        <f t="shared" si="31"/>
        <v>2040</v>
      </c>
      <c r="B2050" s="208" t="s">
        <v>3181</v>
      </c>
      <c r="C2050" s="225" t="s">
        <v>3177</v>
      </c>
      <c r="D2050" s="19"/>
      <c r="E2050" s="19"/>
      <c r="F2050" s="19"/>
      <c r="G2050" s="225"/>
      <c r="H2050" s="141"/>
      <c r="I2050" s="186" t="s">
        <v>18</v>
      </c>
      <c r="J2050" s="232">
        <v>1</v>
      </c>
      <c r="K2050" s="142" t="s">
        <v>730</v>
      </c>
      <c r="L2050" s="275" t="s">
        <v>3209</v>
      </c>
      <c r="M2050" s="11" t="str">
        <f>VLOOKUP(N2050,'Mã NV'!$A$3:$B$196,2,0)</f>
        <v>BU06</v>
      </c>
      <c r="N2050" s="304" t="s">
        <v>3213</v>
      </c>
      <c r="O2050" s="273">
        <v>44999</v>
      </c>
      <c r="P2050" s="371"/>
      <c r="Q2050" s="43"/>
      <c r="R2050" s="209"/>
    </row>
    <row r="2051" spans="1:18" ht="35.25" hidden="1" customHeight="1">
      <c r="A2051" s="15">
        <f t="shared" si="31"/>
        <v>2041</v>
      </c>
      <c r="B2051" s="208" t="s">
        <v>3182</v>
      </c>
      <c r="C2051" s="225" t="s">
        <v>3177</v>
      </c>
      <c r="D2051" s="19"/>
      <c r="E2051" s="19"/>
      <c r="F2051" s="19"/>
      <c r="G2051" s="225"/>
      <c r="H2051" s="141"/>
      <c r="I2051" s="186" t="s">
        <v>18</v>
      </c>
      <c r="J2051" s="232">
        <v>1</v>
      </c>
      <c r="K2051" s="142" t="s">
        <v>730</v>
      </c>
      <c r="L2051" s="275" t="s">
        <v>3209</v>
      </c>
      <c r="M2051" s="11" t="str">
        <f>VLOOKUP(N2051,'Mã NV'!$A$3:$B$196,2,0)</f>
        <v>BU06</v>
      </c>
      <c r="N2051" s="304" t="s">
        <v>3213</v>
      </c>
      <c r="O2051" s="273">
        <v>44999</v>
      </c>
      <c r="P2051" s="371"/>
      <c r="Q2051" s="43"/>
      <c r="R2051" s="209"/>
    </row>
    <row r="2052" spans="1:18" ht="35.25" hidden="1" customHeight="1">
      <c r="A2052" s="15">
        <f t="shared" si="31"/>
        <v>2042</v>
      </c>
      <c r="B2052" s="208" t="s">
        <v>3183</v>
      </c>
      <c r="C2052" s="225" t="s">
        <v>3177</v>
      </c>
      <c r="D2052" s="19"/>
      <c r="E2052" s="19"/>
      <c r="F2052" s="19"/>
      <c r="G2052" s="225"/>
      <c r="H2052" s="141"/>
      <c r="I2052" s="186" t="s">
        <v>18</v>
      </c>
      <c r="J2052" s="232">
        <v>1</v>
      </c>
      <c r="K2052" s="142" t="s">
        <v>730</v>
      </c>
      <c r="L2052" s="275" t="s">
        <v>3209</v>
      </c>
      <c r="M2052" s="11" t="str">
        <f>VLOOKUP(N2052,'Mã NV'!$A$3:$B$196,2,0)</f>
        <v>BU06</v>
      </c>
      <c r="N2052" s="304" t="s">
        <v>3213</v>
      </c>
      <c r="O2052" s="273">
        <v>44999</v>
      </c>
      <c r="P2052" s="371"/>
      <c r="Q2052" s="43"/>
      <c r="R2052" s="209"/>
    </row>
    <row r="2053" spans="1:18" ht="35.25" hidden="1" customHeight="1">
      <c r="A2053" s="15">
        <f t="shared" si="31"/>
        <v>2043</v>
      </c>
      <c r="B2053" s="208" t="s">
        <v>3184</v>
      </c>
      <c r="C2053" s="225" t="s">
        <v>3177</v>
      </c>
      <c r="D2053" s="19"/>
      <c r="E2053" s="19"/>
      <c r="F2053" s="19"/>
      <c r="G2053" s="225"/>
      <c r="H2053" s="141"/>
      <c r="I2053" s="186" t="s">
        <v>18</v>
      </c>
      <c r="J2053" s="232">
        <v>1</v>
      </c>
      <c r="K2053" s="142" t="s">
        <v>730</v>
      </c>
      <c r="L2053" s="275" t="s">
        <v>3209</v>
      </c>
      <c r="M2053" s="11" t="str">
        <f>VLOOKUP(N2053,'Mã NV'!$A$3:$B$196,2,0)</f>
        <v>BU06</v>
      </c>
      <c r="N2053" s="304" t="s">
        <v>3213</v>
      </c>
      <c r="O2053" s="273">
        <v>44999</v>
      </c>
      <c r="P2053" s="371"/>
      <c r="Q2053" s="43"/>
      <c r="R2053" s="209"/>
    </row>
    <row r="2054" spans="1:18" ht="35.25" hidden="1" customHeight="1">
      <c r="A2054" s="15">
        <f t="shared" si="31"/>
        <v>2044</v>
      </c>
      <c r="B2054" s="208" t="s">
        <v>3185</v>
      </c>
      <c r="C2054" s="225" t="s">
        <v>3177</v>
      </c>
      <c r="D2054" s="19"/>
      <c r="E2054" s="19"/>
      <c r="F2054" s="19"/>
      <c r="G2054" s="225"/>
      <c r="H2054" s="141"/>
      <c r="I2054" s="186" t="s">
        <v>18</v>
      </c>
      <c r="J2054" s="232">
        <v>1</v>
      </c>
      <c r="K2054" s="142" t="s">
        <v>730</v>
      </c>
      <c r="L2054" s="275" t="s">
        <v>3209</v>
      </c>
      <c r="M2054" s="11" t="str">
        <f>VLOOKUP(N2054,'Mã NV'!$A$3:$B$196,2,0)</f>
        <v>BU06</v>
      </c>
      <c r="N2054" s="304" t="s">
        <v>3213</v>
      </c>
      <c r="O2054" s="273">
        <v>44999</v>
      </c>
      <c r="P2054" s="371"/>
      <c r="Q2054" s="43"/>
      <c r="R2054" s="209"/>
    </row>
    <row r="2055" spans="1:18" ht="35.25" hidden="1" customHeight="1">
      <c r="A2055" s="15">
        <f t="shared" si="31"/>
        <v>2045</v>
      </c>
      <c r="B2055" s="208" t="s">
        <v>3186</v>
      </c>
      <c r="C2055" s="225" t="s">
        <v>3177</v>
      </c>
      <c r="D2055" s="19"/>
      <c r="E2055" s="19"/>
      <c r="F2055" s="19"/>
      <c r="G2055" s="225"/>
      <c r="H2055" s="141"/>
      <c r="I2055" s="186" t="s">
        <v>18</v>
      </c>
      <c r="J2055" s="232">
        <v>1</v>
      </c>
      <c r="K2055" s="142" t="s">
        <v>730</v>
      </c>
      <c r="L2055" s="275" t="s">
        <v>3209</v>
      </c>
      <c r="M2055" s="11" t="str">
        <f>VLOOKUP(N2055,'Mã NV'!$A$3:$B$196,2,0)</f>
        <v>BU06</v>
      </c>
      <c r="N2055" s="304" t="s">
        <v>3213</v>
      </c>
      <c r="O2055" s="273">
        <v>44999</v>
      </c>
      <c r="P2055" s="371"/>
      <c r="Q2055" s="43"/>
      <c r="R2055" s="209"/>
    </row>
    <row r="2056" spans="1:18" ht="35.25" hidden="1" customHeight="1">
      <c r="A2056" s="15">
        <f t="shared" si="31"/>
        <v>2046</v>
      </c>
      <c r="B2056" s="208" t="s">
        <v>3187</v>
      </c>
      <c r="C2056" s="225" t="s">
        <v>3177</v>
      </c>
      <c r="D2056" s="19"/>
      <c r="E2056" s="19"/>
      <c r="F2056" s="19"/>
      <c r="G2056" s="225"/>
      <c r="H2056" s="141"/>
      <c r="I2056" s="186" t="s">
        <v>18</v>
      </c>
      <c r="J2056" s="232">
        <v>1</v>
      </c>
      <c r="K2056" s="142" t="s">
        <v>730</v>
      </c>
      <c r="L2056" s="275" t="s">
        <v>3209</v>
      </c>
      <c r="M2056" s="11" t="str">
        <f>VLOOKUP(N2056,'Mã NV'!$A$3:$B$196,2,0)</f>
        <v>BU06</v>
      </c>
      <c r="N2056" s="304" t="s">
        <v>3213</v>
      </c>
      <c r="O2056" s="273">
        <v>44999</v>
      </c>
      <c r="P2056" s="371"/>
      <c r="Q2056" s="43"/>
      <c r="R2056" s="209"/>
    </row>
    <row r="2057" spans="1:18" ht="35.25" hidden="1" customHeight="1">
      <c r="A2057" s="15">
        <f t="shared" si="31"/>
        <v>2047</v>
      </c>
      <c r="B2057" s="208" t="s">
        <v>3188</v>
      </c>
      <c r="C2057" s="225" t="s">
        <v>3177</v>
      </c>
      <c r="D2057" s="19"/>
      <c r="E2057" s="19"/>
      <c r="F2057" s="19"/>
      <c r="G2057" s="225"/>
      <c r="H2057" s="141"/>
      <c r="I2057" s="186" t="s">
        <v>18</v>
      </c>
      <c r="J2057" s="232">
        <v>1</v>
      </c>
      <c r="K2057" s="142" t="s">
        <v>730</v>
      </c>
      <c r="L2057" s="275" t="s">
        <v>3209</v>
      </c>
      <c r="M2057" s="11" t="str">
        <f>VLOOKUP(N2057,'Mã NV'!$A$3:$B$196,2,0)</f>
        <v>BU06</v>
      </c>
      <c r="N2057" s="304" t="s">
        <v>3213</v>
      </c>
      <c r="O2057" s="273">
        <v>44999</v>
      </c>
      <c r="P2057" s="371"/>
      <c r="Q2057" s="43"/>
      <c r="R2057" s="209"/>
    </row>
    <row r="2058" spans="1:18" ht="35.25" hidden="1" customHeight="1">
      <c r="A2058" s="15">
        <f t="shared" si="31"/>
        <v>2048</v>
      </c>
      <c r="B2058" s="208" t="s">
        <v>3189</v>
      </c>
      <c r="C2058" s="225" t="s">
        <v>3177</v>
      </c>
      <c r="D2058" s="19"/>
      <c r="E2058" s="19"/>
      <c r="F2058" s="19"/>
      <c r="G2058" s="225"/>
      <c r="H2058" s="141"/>
      <c r="I2058" s="186" t="s">
        <v>18</v>
      </c>
      <c r="J2058" s="232">
        <v>1</v>
      </c>
      <c r="K2058" s="142" t="s">
        <v>730</v>
      </c>
      <c r="L2058" s="275" t="s">
        <v>3209</v>
      </c>
      <c r="M2058" s="11" t="str">
        <f>VLOOKUP(N2058,'Mã NV'!$A$3:$B$196,2,0)</f>
        <v>BU06</v>
      </c>
      <c r="N2058" s="304" t="s">
        <v>3213</v>
      </c>
      <c r="O2058" s="273">
        <v>44999</v>
      </c>
      <c r="P2058" s="371"/>
      <c r="Q2058" s="43"/>
      <c r="R2058" s="209"/>
    </row>
    <row r="2059" spans="1:18" ht="35.25" hidden="1" customHeight="1">
      <c r="A2059" s="15">
        <f t="shared" si="31"/>
        <v>2049</v>
      </c>
      <c r="B2059" s="208" t="s">
        <v>3190</v>
      </c>
      <c r="C2059" s="225" t="s">
        <v>3177</v>
      </c>
      <c r="D2059" s="19"/>
      <c r="E2059" s="19"/>
      <c r="F2059" s="19"/>
      <c r="G2059" s="225"/>
      <c r="H2059" s="141"/>
      <c r="I2059" s="186" t="s">
        <v>18</v>
      </c>
      <c r="J2059" s="232">
        <v>1</v>
      </c>
      <c r="K2059" s="142" t="s">
        <v>730</v>
      </c>
      <c r="L2059" s="275" t="s">
        <v>3209</v>
      </c>
      <c r="M2059" s="11" t="str">
        <f>VLOOKUP(N2059,'Mã NV'!$A$3:$B$196,2,0)</f>
        <v>BU06</v>
      </c>
      <c r="N2059" s="304" t="s">
        <v>3213</v>
      </c>
      <c r="O2059" s="273">
        <v>44999</v>
      </c>
      <c r="P2059" s="371"/>
      <c r="Q2059" s="43"/>
      <c r="R2059" s="209"/>
    </row>
    <row r="2060" spans="1:18" ht="35.25" hidden="1" customHeight="1">
      <c r="A2060" s="15">
        <f t="shared" si="31"/>
        <v>2050</v>
      </c>
      <c r="B2060" s="208" t="s">
        <v>3191</v>
      </c>
      <c r="C2060" s="225" t="s">
        <v>3177</v>
      </c>
      <c r="D2060" s="19"/>
      <c r="E2060" s="19"/>
      <c r="F2060" s="19"/>
      <c r="G2060" s="225"/>
      <c r="H2060" s="141"/>
      <c r="I2060" s="186" t="s">
        <v>18</v>
      </c>
      <c r="J2060" s="232">
        <v>1</v>
      </c>
      <c r="K2060" s="142" t="s">
        <v>730</v>
      </c>
      <c r="L2060" s="275" t="s">
        <v>3209</v>
      </c>
      <c r="M2060" s="11" t="str">
        <f>VLOOKUP(N2060,'Mã NV'!$A$3:$B$196,2,0)</f>
        <v>BU06</v>
      </c>
      <c r="N2060" s="304" t="s">
        <v>3213</v>
      </c>
      <c r="O2060" s="273">
        <v>44999</v>
      </c>
      <c r="P2060" s="371"/>
      <c r="Q2060" s="43"/>
      <c r="R2060" s="209"/>
    </row>
    <row r="2061" spans="1:18" ht="35.25" hidden="1" customHeight="1">
      <c r="A2061" s="15">
        <f t="shared" si="31"/>
        <v>2051</v>
      </c>
      <c r="B2061" s="208" t="s">
        <v>3192</v>
      </c>
      <c r="C2061" s="211" t="s">
        <v>3193</v>
      </c>
      <c r="D2061" s="19"/>
      <c r="E2061" s="19"/>
      <c r="F2061" s="19"/>
      <c r="G2061" s="211"/>
      <c r="H2061" s="141"/>
      <c r="I2061" s="186" t="s">
        <v>18</v>
      </c>
      <c r="J2061" s="232">
        <v>1</v>
      </c>
      <c r="K2061" s="142" t="s">
        <v>730</v>
      </c>
      <c r="L2061" s="275" t="s">
        <v>3209</v>
      </c>
      <c r="M2061" s="11" t="str">
        <f>VLOOKUP(N2061,'Mã NV'!$A$3:$B$196,2,0)</f>
        <v>BU06</v>
      </c>
      <c r="N2061" s="304" t="s">
        <v>3213</v>
      </c>
      <c r="O2061" s="273">
        <v>44999</v>
      </c>
      <c r="P2061" s="371"/>
      <c r="Q2061" s="43"/>
      <c r="R2061" s="209"/>
    </row>
    <row r="2062" spans="1:18" ht="35.25" hidden="1" customHeight="1">
      <c r="A2062" s="15">
        <f t="shared" si="31"/>
        <v>2052</v>
      </c>
      <c r="B2062" s="208" t="s">
        <v>3194</v>
      </c>
      <c r="C2062" s="211" t="s">
        <v>3193</v>
      </c>
      <c r="D2062" s="19"/>
      <c r="E2062" s="19"/>
      <c r="F2062" s="19"/>
      <c r="G2062" s="220"/>
      <c r="H2062" s="141"/>
      <c r="I2062" s="186" t="s">
        <v>18</v>
      </c>
      <c r="J2062" s="232">
        <v>1</v>
      </c>
      <c r="K2062" s="142" t="s">
        <v>730</v>
      </c>
      <c r="L2062" s="275" t="s">
        <v>3209</v>
      </c>
      <c r="M2062" s="11" t="str">
        <f>VLOOKUP(N2062,'Mã NV'!$A$3:$B$196,2,0)</f>
        <v>BU06</v>
      </c>
      <c r="N2062" s="304" t="s">
        <v>3213</v>
      </c>
      <c r="O2062" s="273">
        <v>44999</v>
      </c>
      <c r="P2062" s="371"/>
      <c r="Q2062" s="43"/>
      <c r="R2062" s="209"/>
    </row>
    <row r="2063" spans="1:18" ht="35.25" hidden="1" customHeight="1">
      <c r="A2063" s="15">
        <f t="shared" si="31"/>
        <v>2053</v>
      </c>
      <c r="B2063" s="208" t="s">
        <v>3195</v>
      </c>
      <c r="C2063" s="211" t="s">
        <v>3193</v>
      </c>
      <c r="D2063" s="19"/>
      <c r="E2063" s="19"/>
      <c r="F2063" s="19"/>
      <c r="G2063" s="220"/>
      <c r="H2063" s="141"/>
      <c r="I2063" s="186" t="s">
        <v>18</v>
      </c>
      <c r="J2063" s="232">
        <v>1</v>
      </c>
      <c r="K2063" s="142" t="s">
        <v>730</v>
      </c>
      <c r="L2063" s="275" t="s">
        <v>3209</v>
      </c>
      <c r="M2063" s="11" t="str">
        <f>VLOOKUP(N2063,'Mã NV'!$A$3:$B$196,2,0)</f>
        <v>BU06</v>
      </c>
      <c r="N2063" s="304" t="s">
        <v>3213</v>
      </c>
      <c r="O2063" s="273">
        <v>44999</v>
      </c>
      <c r="P2063" s="371"/>
      <c r="Q2063" s="43"/>
      <c r="R2063" s="209"/>
    </row>
    <row r="2064" spans="1:18" ht="35.25" hidden="1" customHeight="1">
      <c r="A2064" s="15">
        <f t="shared" si="31"/>
        <v>2054</v>
      </c>
      <c r="B2064" s="208" t="s">
        <v>3196</v>
      </c>
      <c r="C2064" s="211" t="s">
        <v>3193</v>
      </c>
      <c r="D2064" s="19"/>
      <c r="E2064" s="19"/>
      <c r="F2064" s="19"/>
      <c r="G2064" s="220"/>
      <c r="H2064" s="141"/>
      <c r="I2064" s="186" t="s">
        <v>18</v>
      </c>
      <c r="J2064" s="232">
        <v>1</v>
      </c>
      <c r="K2064" s="142" t="s">
        <v>730</v>
      </c>
      <c r="L2064" s="275" t="s">
        <v>3209</v>
      </c>
      <c r="M2064" s="11" t="str">
        <f>VLOOKUP(N2064,'Mã NV'!$A$3:$B$196,2,0)</f>
        <v>BU06</v>
      </c>
      <c r="N2064" s="304" t="s">
        <v>3213</v>
      </c>
      <c r="O2064" s="273">
        <v>44999</v>
      </c>
      <c r="P2064" s="371"/>
      <c r="Q2064" s="43"/>
      <c r="R2064" s="209"/>
    </row>
    <row r="2065" spans="1:18" ht="31.5" hidden="1" customHeight="1">
      <c r="A2065" s="15">
        <f t="shared" si="31"/>
        <v>2055</v>
      </c>
      <c r="B2065" s="208" t="s">
        <v>3197</v>
      </c>
      <c r="C2065" s="220" t="s">
        <v>3198</v>
      </c>
      <c r="D2065" s="19"/>
      <c r="E2065" s="19"/>
      <c r="F2065" s="19"/>
      <c r="G2065" s="220"/>
      <c r="H2065" s="141"/>
      <c r="I2065" s="219" t="s">
        <v>181</v>
      </c>
      <c r="J2065" s="219">
        <v>1</v>
      </c>
      <c r="K2065" s="142" t="s">
        <v>730</v>
      </c>
      <c r="L2065" s="275" t="s">
        <v>3209</v>
      </c>
      <c r="M2065" s="11" t="str">
        <f>VLOOKUP(N2065,'Mã NV'!$A$3:$B$196,2,0)</f>
        <v>BU06</v>
      </c>
      <c r="N2065" s="304" t="s">
        <v>3213</v>
      </c>
      <c r="O2065" s="273">
        <v>44970</v>
      </c>
      <c r="P2065" s="371"/>
      <c r="Q2065" s="43"/>
      <c r="R2065" s="209"/>
    </row>
    <row r="2066" spans="1:18" ht="31.5" hidden="1">
      <c r="A2066" s="15">
        <f t="shared" si="31"/>
        <v>2056</v>
      </c>
      <c r="B2066" s="141" t="s">
        <v>3222</v>
      </c>
      <c r="C2066" s="64" t="s">
        <v>3223</v>
      </c>
      <c r="D2066" s="11"/>
      <c r="E2066" s="11"/>
      <c r="F2066" s="11"/>
      <c r="G2066" s="64"/>
      <c r="H2066" s="64"/>
      <c r="I2066" s="13" t="s">
        <v>18</v>
      </c>
      <c r="J2066" s="15">
        <v>1</v>
      </c>
      <c r="K2066" s="142" t="s">
        <v>730</v>
      </c>
      <c r="L2066" s="141" t="s">
        <v>3233</v>
      </c>
      <c r="M2066" s="11" t="str">
        <f>VLOOKUP(N2066,'Mã NV'!$A$3:$B$196,2,0)</f>
        <v>AC06</v>
      </c>
      <c r="N2066" s="288" t="s">
        <v>466</v>
      </c>
      <c r="O2066" s="387">
        <v>45008</v>
      </c>
      <c r="P2066" s="371"/>
      <c r="Q2066" s="141"/>
      <c r="R2066" s="35"/>
    </row>
    <row r="2067" spans="1:18" ht="31.5" hidden="1">
      <c r="A2067" s="15">
        <f t="shared" ref="A2067:A2075" si="32">A2066+1</f>
        <v>2057</v>
      </c>
      <c r="B2067" s="141" t="s">
        <v>3224</v>
      </c>
      <c r="C2067" s="64" t="s">
        <v>3223</v>
      </c>
      <c r="D2067" s="11"/>
      <c r="E2067" s="11"/>
      <c r="F2067" s="11"/>
      <c r="G2067" s="64"/>
      <c r="H2067" s="64"/>
      <c r="I2067" s="13" t="s">
        <v>18</v>
      </c>
      <c r="J2067" s="15">
        <v>1</v>
      </c>
      <c r="K2067" s="142" t="s">
        <v>730</v>
      </c>
      <c r="L2067" s="141" t="s">
        <v>3233</v>
      </c>
      <c r="M2067" s="11" t="str">
        <f>VLOOKUP(N2067,'Mã NV'!$A$3:$B$196,2,0)</f>
        <v>AC06</v>
      </c>
      <c r="N2067" s="288" t="s">
        <v>466</v>
      </c>
      <c r="O2067" s="387">
        <v>45008</v>
      </c>
      <c r="P2067" s="371"/>
      <c r="Q2067" s="141"/>
      <c r="R2067" s="35"/>
    </row>
    <row r="2068" spans="1:18" ht="31.5" hidden="1">
      <c r="A2068" s="15">
        <f t="shared" si="32"/>
        <v>2058</v>
      </c>
      <c r="B2068" s="141" t="s">
        <v>3225</v>
      </c>
      <c r="C2068" s="64" t="s">
        <v>3223</v>
      </c>
      <c r="D2068" s="11"/>
      <c r="E2068" s="11"/>
      <c r="F2068" s="11"/>
      <c r="G2068" s="64"/>
      <c r="H2068" s="64"/>
      <c r="I2068" s="13" t="s">
        <v>18</v>
      </c>
      <c r="J2068" s="15">
        <v>1</v>
      </c>
      <c r="K2068" s="142" t="s">
        <v>730</v>
      </c>
      <c r="L2068" s="141" t="s">
        <v>3233</v>
      </c>
      <c r="M2068" s="11" t="str">
        <f>VLOOKUP(N2068,'Mã NV'!$A$3:$B$196,2,0)</f>
        <v>AC06</v>
      </c>
      <c r="N2068" s="288" t="s">
        <v>466</v>
      </c>
      <c r="O2068" s="387">
        <v>45008</v>
      </c>
      <c r="P2068" s="371"/>
      <c r="Q2068" s="141"/>
      <c r="R2068" s="35"/>
    </row>
    <row r="2069" spans="1:18" ht="31.5" hidden="1">
      <c r="A2069" s="15">
        <f t="shared" si="32"/>
        <v>2059</v>
      </c>
      <c r="B2069" s="141" t="s">
        <v>3226</v>
      </c>
      <c r="C2069" s="64" t="s">
        <v>3223</v>
      </c>
      <c r="D2069" s="11"/>
      <c r="E2069" s="11"/>
      <c r="F2069" s="11"/>
      <c r="G2069" s="64"/>
      <c r="H2069" s="64"/>
      <c r="I2069" s="13" t="s">
        <v>18</v>
      </c>
      <c r="J2069" s="15">
        <v>1</v>
      </c>
      <c r="K2069" s="142" t="s">
        <v>730</v>
      </c>
      <c r="L2069" s="141" t="s">
        <v>3233</v>
      </c>
      <c r="M2069" s="11" t="str">
        <f>VLOOKUP(N2069,'Mã NV'!$A$3:$B$196,2,0)</f>
        <v>AC06</v>
      </c>
      <c r="N2069" s="288" t="s">
        <v>466</v>
      </c>
      <c r="O2069" s="387">
        <v>45008</v>
      </c>
      <c r="P2069" s="371"/>
      <c r="Q2069" s="141"/>
      <c r="R2069" s="35"/>
    </row>
    <row r="2070" spans="1:18" ht="31.5" hidden="1">
      <c r="A2070" s="15">
        <f t="shared" si="32"/>
        <v>2060</v>
      </c>
      <c r="B2070" s="141" t="s">
        <v>3227</v>
      </c>
      <c r="C2070" s="64" t="s">
        <v>3223</v>
      </c>
      <c r="D2070" s="11"/>
      <c r="E2070" s="11"/>
      <c r="F2070" s="11"/>
      <c r="G2070" s="64"/>
      <c r="H2070" s="64"/>
      <c r="I2070" s="13" t="s">
        <v>18</v>
      </c>
      <c r="J2070" s="15">
        <v>1</v>
      </c>
      <c r="K2070" s="142" t="s">
        <v>730</v>
      </c>
      <c r="L2070" s="141" t="s">
        <v>3233</v>
      </c>
      <c r="M2070" s="11" t="str">
        <f>VLOOKUP(N2070,'Mã NV'!$A$3:$B$196,2,0)</f>
        <v>AC06</v>
      </c>
      <c r="N2070" s="288" t="s">
        <v>466</v>
      </c>
      <c r="O2070" s="387">
        <v>45008</v>
      </c>
      <c r="P2070" s="371"/>
      <c r="Q2070" s="141"/>
      <c r="R2070" s="35"/>
    </row>
    <row r="2071" spans="1:18" ht="31.5" hidden="1">
      <c r="A2071" s="15">
        <f t="shared" si="32"/>
        <v>2061</v>
      </c>
      <c r="B2071" s="141" t="s">
        <v>3228</v>
      </c>
      <c r="C2071" s="64" t="s">
        <v>3223</v>
      </c>
      <c r="D2071" s="11"/>
      <c r="E2071" s="11"/>
      <c r="F2071" s="11"/>
      <c r="G2071" s="64"/>
      <c r="H2071" s="64"/>
      <c r="I2071" s="13" t="s">
        <v>18</v>
      </c>
      <c r="J2071" s="15">
        <v>1</v>
      </c>
      <c r="K2071" s="142" t="s">
        <v>730</v>
      </c>
      <c r="L2071" s="141" t="s">
        <v>3233</v>
      </c>
      <c r="M2071" s="11" t="str">
        <f>VLOOKUP(N2071,'Mã NV'!$A$3:$B$196,2,0)</f>
        <v>AC06</v>
      </c>
      <c r="N2071" s="288" t="s">
        <v>466</v>
      </c>
      <c r="O2071" s="387">
        <v>45008</v>
      </c>
      <c r="P2071" s="371"/>
      <c r="Q2071" s="141"/>
      <c r="R2071" s="35"/>
    </row>
    <row r="2072" spans="1:18" ht="31.5" hidden="1">
      <c r="A2072" s="15">
        <f t="shared" si="32"/>
        <v>2062</v>
      </c>
      <c r="B2072" s="141" t="s">
        <v>3229</v>
      </c>
      <c r="C2072" s="64" t="s">
        <v>3223</v>
      </c>
      <c r="D2072" s="11"/>
      <c r="E2072" s="11"/>
      <c r="F2072" s="11"/>
      <c r="G2072" s="64"/>
      <c r="H2072" s="64"/>
      <c r="I2072" s="13" t="s">
        <v>18</v>
      </c>
      <c r="J2072" s="15">
        <v>1</v>
      </c>
      <c r="K2072" s="142" t="s">
        <v>730</v>
      </c>
      <c r="L2072" s="141" t="s">
        <v>3233</v>
      </c>
      <c r="M2072" s="11" t="str">
        <f>VLOOKUP(N2072,'Mã NV'!$A$3:$B$196,2,0)</f>
        <v>AC06</v>
      </c>
      <c r="N2072" s="288" t="s">
        <v>466</v>
      </c>
      <c r="O2072" s="387">
        <v>45008</v>
      </c>
      <c r="P2072" s="371"/>
      <c r="Q2072" s="141"/>
      <c r="R2072" s="35"/>
    </row>
    <row r="2073" spans="1:18" ht="31.5" hidden="1">
      <c r="A2073" s="15">
        <f t="shared" si="32"/>
        <v>2063</v>
      </c>
      <c r="B2073" s="141" t="s">
        <v>3230</v>
      </c>
      <c r="C2073" s="64" t="s">
        <v>3223</v>
      </c>
      <c r="D2073" s="11"/>
      <c r="E2073" s="11"/>
      <c r="F2073" s="11"/>
      <c r="G2073" s="64"/>
      <c r="H2073" s="64"/>
      <c r="I2073" s="13" t="s">
        <v>18</v>
      </c>
      <c r="J2073" s="15">
        <v>1</v>
      </c>
      <c r="K2073" s="142" t="s">
        <v>730</v>
      </c>
      <c r="L2073" s="141" t="s">
        <v>3233</v>
      </c>
      <c r="M2073" s="11" t="str">
        <f>VLOOKUP(N2073,'Mã NV'!$A$3:$B$196,2,0)</f>
        <v>AC06</v>
      </c>
      <c r="N2073" s="288" t="s">
        <v>466</v>
      </c>
      <c r="O2073" s="387">
        <v>45008</v>
      </c>
      <c r="P2073" s="371"/>
      <c r="Q2073" s="141"/>
      <c r="R2073" s="35"/>
    </row>
    <row r="2074" spans="1:18" ht="31.5" hidden="1">
      <c r="A2074" s="15">
        <f t="shared" si="32"/>
        <v>2064</v>
      </c>
      <c r="B2074" s="141" t="s">
        <v>3231</v>
      </c>
      <c r="C2074" s="64" t="s">
        <v>3223</v>
      </c>
      <c r="D2074" s="11"/>
      <c r="E2074" s="11"/>
      <c r="F2074" s="11"/>
      <c r="G2074" s="64"/>
      <c r="H2074" s="64"/>
      <c r="I2074" s="13" t="s">
        <v>18</v>
      </c>
      <c r="J2074" s="15">
        <v>1</v>
      </c>
      <c r="K2074" s="142" t="s">
        <v>730</v>
      </c>
      <c r="L2074" s="141" t="s">
        <v>3233</v>
      </c>
      <c r="M2074" s="11" t="str">
        <f>VLOOKUP(N2074,'Mã NV'!$A$3:$B$196,2,0)</f>
        <v>AC06</v>
      </c>
      <c r="N2074" s="288" t="s">
        <v>466</v>
      </c>
      <c r="O2074" s="387">
        <v>45008</v>
      </c>
      <c r="P2074" s="371"/>
      <c r="Q2074" s="141"/>
      <c r="R2074" s="35"/>
    </row>
    <row r="2075" spans="1:18" ht="31.5" hidden="1">
      <c r="A2075" s="15">
        <f t="shared" si="32"/>
        <v>2065</v>
      </c>
      <c r="B2075" s="141" t="s">
        <v>3232</v>
      </c>
      <c r="C2075" s="64" t="s">
        <v>3223</v>
      </c>
      <c r="D2075" s="11"/>
      <c r="E2075" s="11"/>
      <c r="F2075" s="11"/>
      <c r="G2075" s="64"/>
      <c r="H2075" s="64"/>
      <c r="I2075" s="13" t="s">
        <v>18</v>
      </c>
      <c r="J2075" s="15">
        <v>1</v>
      </c>
      <c r="K2075" s="142" t="s">
        <v>730</v>
      </c>
      <c r="L2075" s="141" t="s">
        <v>3233</v>
      </c>
      <c r="M2075" s="11" t="str">
        <f>VLOOKUP(N2075,'Mã NV'!$A$3:$B$196,2,0)</f>
        <v>AC06</v>
      </c>
      <c r="N2075" s="288" t="s">
        <v>466</v>
      </c>
      <c r="O2075" s="387">
        <v>45008</v>
      </c>
      <c r="P2075" s="371"/>
      <c r="Q2075" s="141"/>
      <c r="R2075" s="35"/>
    </row>
    <row r="2079" spans="1:18">
      <c r="N2079" s="60"/>
    </row>
  </sheetData>
  <autoFilter ref="A10:R2075" xr:uid="{0170D713-1945-4EB9-97C8-AAA4F4AFCCFF}">
    <filterColumn colId="13">
      <filters>
        <filter val="Nguyễn Thị Huệ"/>
        <filter val="Nguyễn Văn Sao"/>
      </filters>
    </filterColumn>
  </autoFilter>
  <mergeCells count="7">
    <mergeCell ref="R1909:R1915"/>
    <mergeCell ref="A2:R2"/>
    <mergeCell ref="D6:F6"/>
    <mergeCell ref="D7:F7"/>
    <mergeCell ref="D8:F8"/>
    <mergeCell ref="R430:R440"/>
    <mergeCell ref="R1484:R1485"/>
  </mergeCells>
  <phoneticPr fontId="11" type="noConversion"/>
  <conditionalFormatting sqref="B1:B1048576">
    <cfRule type="duplicateValues" dxfId="259" priority="1"/>
  </conditionalFormatting>
  <conditionalFormatting sqref="B11:B19 B41:B43 B48:B53">
    <cfRule type="duplicateValues" dxfId="258" priority="197"/>
  </conditionalFormatting>
  <conditionalFormatting sqref="B20:B34">
    <cfRule type="duplicateValues" dxfId="257" priority="195"/>
  </conditionalFormatting>
  <conditionalFormatting sqref="B35:B37">
    <cfRule type="duplicateValues" dxfId="256" priority="194"/>
  </conditionalFormatting>
  <conditionalFormatting sqref="B38">
    <cfRule type="duplicateValues" dxfId="255" priority="196"/>
  </conditionalFormatting>
  <conditionalFormatting sqref="B55">
    <cfRule type="duplicateValues" dxfId="254" priority="193"/>
  </conditionalFormatting>
  <conditionalFormatting sqref="B64:B66 B68:B69">
    <cfRule type="duplicateValues" dxfId="253" priority="192"/>
  </conditionalFormatting>
  <conditionalFormatting sqref="B72:B77 B79">
    <cfRule type="duplicateValues" dxfId="252" priority="191"/>
  </conditionalFormatting>
  <conditionalFormatting sqref="B81:B83">
    <cfRule type="duplicateValues" dxfId="251" priority="190"/>
  </conditionalFormatting>
  <conditionalFormatting sqref="B90:B96 B80 B84:B86">
    <cfRule type="duplicateValues" dxfId="250" priority="199"/>
  </conditionalFormatting>
  <conditionalFormatting sqref="B99:B104">
    <cfRule type="duplicateValues" dxfId="249" priority="200"/>
  </conditionalFormatting>
  <conditionalFormatting sqref="B106">
    <cfRule type="duplicateValues" dxfId="248" priority="188"/>
  </conditionalFormatting>
  <conditionalFormatting sqref="B155:B163">
    <cfRule type="duplicateValues" dxfId="247" priority="187"/>
  </conditionalFormatting>
  <conditionalFormatting sqref="B164 B105 B107:B154">
    <cfRule type="duplicateValues" dxfId="246" priority="189"/>
  </conditionalFormatting>
  <conditionalFormatting sqref="B166:B180">
    <cfRule type="duplicateValues" dxfId="245" priority="198"/>
  </conditionalFormatting>
  <conditionalFormatting sqref="B182:B183">
    <cfRule type="duplicateValues" dxfId="244" priority="185"/>
  </conditionalFormatting>
  <conditionalFormatting sqref="B190">
    <cfRule type="duplicateValues" dxfId="243" priority="181"/>
  </conditionalFormatting>
  <conditionalFormatting sqref="B191">
    <cfRule type="duplicateValues" dxfId="242" priority="180"/>
  </conditionalFormatting>
  <conditionalFormatting sqref="B192:B194">
    <cfRule type="duplicateValues" dxfId="241" priority="179"/>
  </conditionalFormatting>
  <conditionalFormatting sqref="B195 B209">
    <cfRule type="duplicateValues" dxfId="240" priority="173"/>
  </conditionalFormatting>
  <conditionalFormatting sqref="B195">
    <cfRule type="duplicateValues" dxfId="239" priority="172"/>
  </conditionalFormatting>
  <conditionalFormatting sqref="B196:B198">
    <cfRule type="duplicateValues" dxfId="238" priority="171"/>
  </conditionalFormatting>
  <conditionalFormatting sqref="B329:B334">
    <cfRule type="duplicateValues" dxfId="237" priority="9"/>
  </conditionalFormatting>
  <conditionalFormatting sqref="B465:B467">
    <cfRule type="duplicateValues" dxfId="236" priority="186"/>
  </conditionalFormatting>
  <conditionalFormatting sqref="B468:B472">
    <cfRule type="duplicateValues" dxfId="235" priority="183"/>
  </conditionalFormatting>
  <conditionalFormatting sqref="B698 B184:B189 B210">
    <cfRule type="duplicateValues" dxfId="234" priority="184"/>
  </conditionalFormatting>
  <conditionalFormatting sqref="B699:B714 B717:B808 B315:B316 B541:B697">
    <cfRule type="duplicateValues" dxfId="233" priority="210"/>
  </conditionalFormatting>
  <conditionalFormatting sqref="B1004">
    <cfRule type="duplicateValues" dxfId="232" priority="116"/>
  </conditionalFormatting>
  <conditionalFormatting sqref="B1005:B1011 B910:B1003">
    <cfRule type="duplicateValues" dxfId="231" priority="177"/>
  </conditionalFormatting>
  <conditionalFormatting sqref="B1012:B1013">
    <cfRule type="duplicateValues" dxfId="230" priority="176"/>
  </conditionalFormatting>
  <conditionalFormatting sqref="B1014:B1025">
    <cfRule type="duplicateValues" dxfId="229" priority="178"/>
  </conditionalFormatting>
  <conditionalFormatting sqref="B1026:B1068">
    <cfRule type="duplicateValues" dxfId="228" priority="175"/>
  </conditionalFormatting>
  <conditionalFormatting sqref="B1069">
    <cfRule type="duplicateValues" dxfId="227" priority="148"/>
  </conditionalFormatting>
  <conditionalFormatting sqref="B1070:B1071 B1077:B1080">
    <cfRule type="duplicateValues" dxfId="226" priority="208"/>
  </conditionalFormatting>
  <conditionalFormatting sqref="B1070:B1080">
    <cfRule type="duplicateValues" dxfId="225" priority="209"/>
  </conditionalFormatting>
  <conditionalFormatting sqref="B1072">
    <cfRule type="duplicateValues" dxfId="224" priority="147"/>
  </conditionalFormatting>
  <conditionalFormatting sqref="B1073:B1076">
    <cfRule type="duplicateValues" dxfId="223" priority="146"/>
  </conditionalFormatting>
  <conditionalFormatting sqref="B1081:B1090">
    <cfRule type="duplicateValues" dxfId="222" priority="145"/>
  </conditionalFormatting>
  <conditionalFormatting sqref="B1221">
    <cfRule type="duplicateValues" dxfId="221" priority="156"/>
  </conditionalFormatting>
  <conditionalFormatting sqref="B1222:B1223">
    <cfRule type="duplicateValues" dxfId="220" priority="162"/>
  </conditionalFormatting>
  <conditionalFormatting sqref="B1224:B1225">
    <cfRule type="duplicateValues" dxfId="219" priority="163"/>
  </conditionalFormatting>
  <conditionalFormatting sqref="B1226:B1227">
    <cfRule type="duplicateValues" dxfId="218" priority="165"/>
  </conditionalFormatting>
  <conditionalFormatting sqref="B1232">
    <cfRule type="duplicateValues" dxfId="217" priority="164"/>
  </conditionalFormatting>
  <conditionalFormatting sqref="B1240">
    <cfRule type="duplicateValues" dxfId="216" priority="152"/>
  </conditionalFormatting>
  <conditionalFormatting sqref="B1240:B1241">
    <cfRule type="duplicateValues" dxfId="215" priority="151"/>
  </conditionalFormatting>
  <conditionalFormatting sqref="B1242">
    <cfRule type="duplicateValues" dxfId="214" priority="150"/>
  </conditionalFormatting>
  <conditionalFormatting sqref="B1243">
    <cfRule type="duplicateValues" dxfId="213" priority="149"/>
  </conditionalFormatting>
  <conditionalFormatting sqref="B1244">
    <cfRule type="duplicateValues" dxfId="212" priority="138"/>
  </conditionalFormatting>
  <conditionalFormatting sqref="B1253">
    <cfRule type="duplicateValues" dxfId="211" priority="139"/>
  </conditionalFormatting>
  <conditionalFormatting sqref="B1254">
    <cfRule type="duplicateValues" dxfId="210" priority="140"/>
  </conditionalFormatting>
  <conditionalFormatting sqref="B1255:B1290 B1091:B1239 B1245:B1252 B1292:B1298 B1300:B1312 B1314:B1335 B1337:B1364 B1370:B1479">
    <cfRule type="duplicateValues" dxfId="209" priority="212"/>
  </conditionalFormatting>
  <conditionalFormatting sqref="B1255:B1298 B1245:B1252 B1069:B1243 B1300:B1312 B1314:B1364 B1370:B1479">
    <cfRule type="duplicateValues" dxfId="208" priority="211"/>
  </conditionalFormatting>
  <conditionalFormatting sqref="B1291">
    <cfRule type="duplicateValues" dxfId="207" priority="143"/>
  </conditionalFormatting>
  <conditionalFormatting sqref="B1313">
    <cfRule type="duplicateValues" dxfId="206" priority="120"/>
    <cfRule type="duplicateValues" dxfId="205" priority="117"/>
    <cfRule type="duplicateValues" dxfId="204" priority="118"/>
    <cfRule type="duplicateValues" dxfId="203" priority="119"/>
    <cfRule type="duplicateValues" dxfId="202" priority="122"/>
    <cfRule type="duplicateValues" dxfId="201" priority="121"/>
    <cfRule type="duplicateValues" dxfId="200" priority="123"/>
  </conditionalFormatting>
  <conditionalFormatting sqref="B1336">
    <cfRule type="duplicateValues" dxfId="199" priority="144"/>
  </conditionalFormatting>
  <conditionalFormatting sqref="B1365">
    <cfRule type="duplicateValues" dxfId="198" priority="142"/>
  </conditionalFormatting>
  <conditionalFormatting sqref="B1366:B1369">
    <cfRule type="duplicateValues" dxfId="197" priority="141"/>
  </conditionalFormatting>
  <conditionalFormatting sqref="B1385">
    <cfRule type="duplicateValues" dxfId="196" priority="168"/>
    <cfRule type="duplicateValues" dxfId="195" priority="169"/>
  </conditionalFormatting>
  <conditionalFormatting sqref="B1386">
    <cfRule type="duplicateValues" dxfId="194" priority="166"/>
    <cfRule type="duplicateValues" dxfId="193" priority="167"/>
  </conditionalFormatting>
  <conditionalFormatting sqref="B1402:B1409">
    <cfRule type="duplicateValues" dxfId="192" priority="161"/>
    <cfRule type="duplicateValues" dxfId="191" priority="160"/>
  </conditionalFormatting>
  <conditionalFormatting sqref="B1410:B1430">
    <cfRule type="duplicateValues" dxfId="190" priority="158"/>
    <cfRule type="duplicateValues" dxfId="189" priority="159"/>
  </conditionalFormatting>
  <conditionalFormatting sqref="B1431:B1437">
    <cfRule type="duplicateValues" dxfId="188" priority="155"/>
    <cfRule type="duplicateValues" dxfId="187" priority="154"/>
  </conditionalFormatting>
  <conditionalFormatting sqref="B1438:B1444">
    <cfRule type="duplicateValues" dxfId="186" priority="153"/>
  </conditionalFormatting>
  <conditionalFormatting sqref="B1445:B1474">
    <cfRule type="duplicateValues" dxfId="185" priority="213"/>
  </conditionalFormatting>
  <conditionalFormatting sqref="B1475:B1479 B1255:B1290 B1091:B1220 B1222:B1239 B1245:B1252 B1292:B1298 B1300:B1312 B1314:B1335 B1337:B1364 B1370:B1430">
    <cfRule type="duplicateValues" dxfId="184" priority="157"/>
  </conditionalFormatting>
  <conditionalFormatting sqref="B1475:B1479 B1255:B1290 B1091:B1220 B1228:B1231 B1233:B1239 B1245:B1252 B1292:B1298 B1300:B1312 B1314:B1335 B1337:B1364 B1370:B1384 B1387:B1401">
    <cfRule type="duplicateValues" dxfId="183" priority="170"/>
  </conditionalFormatting>
  <conditionalFormatting sqref="B1480">
    <cfRule type="duplicateValues" dxfId="182" priority="125"/>
    <cfRule type="duplicateValues" dxfId="181" priority="126"/>
    <cfRule type="duplicateValues" dxfId="180" priority="127"/>
  </conditionalFormatting>
  <conditionalFormatting sqref="B1481:B1484">
    <cfRule type="duplicateValues" dxfId="179" priority="129"/>
    <cfRule type="duplicateValues" dxfId="178" priority="128"/>
    <cfRule type="duplicateValues" dxfId="177" priority="130"/>
  </conditionalFormatting>
  <conditionalFormatting sqref="B1485:B1486">
    <cfRule type="duplicateValues" dxfId="176" priority="132"/>
    <cfRule type="duplicateValues" dxfId="175" priority="131"/>
    <cfRule type="duplicateValues" dxfId="174" priority="133"/>
  </conditionalFormatting>
  <conditionalFormatting sqref="B1487:B1488">
    <cfRule type="duplicateValues" dxfId="173" priority="135"/>
    <cfRule type="duplicateValues" dxfId="172" priority="136"/>
    <cfRule type="duplicateValues" dxfId="171" priority="134"/>
    <cfRule type="duplicateValues" dxfId="170" priority="137"/>
  </conditionalFormatting>
  <conditionalFormatting sqref="B1489 B1299">
    <cfRule type="duplicateValues" dxfId="169" priority="201"/>
  </conditionalFormatting>
  <conditionalFormatting sqref="B1489 B1314:B1479 B1069:B1312">
    <cfRule type="duplicateValues" dxfId="168" priority="202"/>
  </conditionalFormatting>
  <conditionalFormatting sqref="B1725">
    <cfRule type="duplicateValues" dxfId="167" priority="100"/>
  </conditionalFormatting>
  <conditionalFormatting sqref="B1726:B1787">
    <cfRule type="duplicateValues" dxfId="166" priority="108"/>
  </conditionalFormatting>
  <conditionalFormatting sqref="B1788:B1789">
    <cfRule type="duplicateValues" dxfId="165" priority="99"/>
  </conditionalFormatting>
  <conditionalFormatting sqref="B1790:B1834">
    <cfRule type="duplicateValues" dxfId="164" priority="98"/>
  </conditionalFormatting>
  <conditionalFormatting sqref="B1835 B1858:B1861">
    <cfRule type="duplicateValues" dxfId="163" priority="106"/>
  </conditionalFormatting>
  <conditionalFormatting sqref="B1837:B1846">
    <cfRule type="duplicateValues" dxfId="162" priority="97"/>
  </conditionalFormatting>
  <conditionalFormatting sqref="B1847">
    <cfRule type="duplicateValues" dxfId="161" priority="96"/>
  </conditionalFormatting>
  <conditionalFormatting sqref="B1848:B1856">
    <cfRule type="duplicateValues" dxfId="160" priority="95"/>
  </conditionalFormatting>
  <conditionalFormatting sqref="B1857">
    <cfRule type="duplicateValues" dxfId="159" priority="105"/>
  </conditionalFormatting>
  <conditionalFormatting sqref="B1862">
    <cfRule type="duplicateValues" dxfId="158" priority="94"/>
  </conditionalFormatting>
  <conditionalFormatting sqref="B1863:B1867 B1870:B1873">
    <cfRule type="duplicateValues" dxfId="157" priority="107"/>
  </conditionalFormatting>
  <conditionalFormatting sqref="B1868:B1869">
    <cfRule type="duplicateValues" dxfId="156" priority="93"/>
  </conditionalFormatting>
  <conditionalFormatting sqref="B1874">
    <cfRule type="duplicateValues" dxfId="155" priority="92"/>
  </conditionalFormatting>
  <conditionalFormatting sqref="B1875">
    <cfRule type="duplicateValues" dxfId="154" priority="90"/>
  </conditionalFormatting>
  <conditionalFormatting sqref="B1876">
    <cfRule type="duplicateValues" dxfId="153" priority="91"/>
  </conditionalFormatting>
  <conditionalFormatting sqref="B1880:B1881">
    <cfRule type="duplicateValues" dxfId="152" priority="89"/>
  </conditionalFormatting>
  <conditionalFormatting sqref="B1883:B1892 B1894:B1896">
    <cfRule type="duplicateValues" dxfId="151" priority="88"/>
  </conditionalFormatting>
  <conditionalFormatting sqref="B1897 B1903:B1905">
    <cfRule type="duplicateValues" dxfId="150" priority="104"/>
  </conditionalFormatting>
  <conditionalFormatting sqref="B1897 B1903:B1908">
    <cfRule type="duplicateValues" dxfId="149" priority="103"/>
  </conditionalFormatting>
  <conditionalFormatting sqref="B1897">
    <cfRule type="duplicateValues" dxfId="148" priority="102"/>
    <cfRule type="duplicateValues" dxfId="147" priority="101"/>
  </conditionalFormatting>
  <conditionalFormatting sqref="B1897:B1902">
    <cfRule type="duplicateValues" dxfId="146" priority="87"/>
  </conditionalFormatting>
  <conditionalFormatting sqref="B1909:B1915">
    <cfRule type="duplicateValues" dxfId="145" priority="86"/>
  </conditionalFormatting>
  <conditionalFormatting sqref="B1916:B1917">
    <cfRule type="duplicateValues" dxfId="144" priority="77"/>
    <cfRule type="duplicateValues" dxfId="143" priority="78"/>
    <cfRule type="duplicateValues" dxfId="142" priority="74"/>
    <cfRule type="duplicateValues" dxfId="141" priority="75"/>
    <cfRule type="duplicateValues" dxfId="140" priority="73"/>
    <cfRule type="duplicateValues" dxfId="139" priority="76"/>
  </conditionalFormatting>
  <conditionalFormatting sqref="B1918:B1919">
    <cfRule type="duplicateValues" dxfId="138" priority="69"/>
    <cfRule type="duplicateValues" dxfId="137" priority="70"/>
    <cfRule type="duplicateValues" dxfId="136" priority="71"/>
    <cfRule type="duplicateValues" dxfId="135" priority="72"/>
    <cfRule type="duplicateValues" dxfId="134" priority="67"/>
    <cfRule type="duplicateValues" dxfId="133" priority="68"/>
  </conditionalFormatting>
  <conditionalFormatting sqref="B1920:B1947 B2006:B2007">
    <cfRule type="duplicateValues" dxfId="132" priority="215"/>
  </conditionalFormatting>
  <conditionalFormatting sqref="B1920:B2008">
    <cfRule type="duplicateValues" dxfId="131" priority="214"/>
  </conditionalFormatting>
  <conditionalFormatting sqref="B1948:B1999">
    <cfRule type="duplicateValues" dxfId="130" priority="84"/>
  </conditionalFormatting>
  <conditionalFormatting sqref="B2000:B2002">
    <cfRule type="duplicateValues" dxfId="129" priority="81"/>
  </conditionalFormatting>
  <conditionalFormatting sqref="B2003">
    <cfRule type="duplicateValues" dxfId="128" priority="82"/>
  </conditionalFormatting>
  <conditionalFormatting sqref="B2009">
    <cfRule type="duplicateValues" dxfId="127" priority="66"/>
  </conditionalFormatting>
  <conditionalFormatting sqref="B2010:B2011">
    <cfRule type="duplicateValues" dxfId="126" priority="65"/>
  </conditionalFormatting>
  <conditionalFormatting sqref="B2019">
    <cfRule type="duplicateValues" dxfId="125" priority="64"/>
  </conditionalFormatting>
  <conditionalFormatting sqref="B2020">
    <cfRule type="duplicateValues" dxfId="124" priority="52"/>
    <cfRule type="duplicateValues" dxfId="123" priority="51"/>
  </conditionalFormatting>
  <conditionalFormatting sqref="B2021">
    <cfRule type="duplicateValues" dxfId="122" priority="63"/>
  </conditionalFormatting>
  <conditionalFormatting sqref="B2022">
    <cfRule type="duplicateValues" dxfId="121" priority="62"/>
    <cfRule type="duplicateValues" dxfId="120" priority="61"/>
  </conditionalFormatting>
  <conditionalFormatting sqref="B2023">
    <cfRule type="duplicateValues" dxfId="119" priority="59"/>
    <cfRule type="duplicateValues" dxfId="118" priority="60"/>
  </conditionalFormatting>
  <conditionalFormatting sqref="B2024">
    <cfRule type="duplicateValues" dxfId="117" priority="57"/>
    <cfRule type="duplicateValues" dxfId="116" priority="58"/>
  </conditionalFormatting>
  <conditionalFormatting sqref="B2025">
    <cfRule type="duplicateValues" dxfId="115" priority="48"/>
    <cfRule type="duplicateValues" dxfId="114" priority="47"/>
  </conditionalFormatting>
  <conditionalFormatting sqref="B2026">
    <cfRule type="duplicateValues" dxfId="113" priority="55"/>
    <cfRule type="duplicateValues" dxfId="112" priority="56"/>
  </conditionalFormatting>
  <conditionalFormatting sqref="B2027">
    <cfRule type="duplicateValues" dxfId="111" priority="50"/>
    <cfRule type="duplicateValues" dxfId="110" priority="49"/>
  </conditionalFormatting>
  <conditionalFormatting sqref="B2028">
    <cfRule type="duplicateValues" dxfId="109" priority="42"/>
    <cfRule type="duplicateValues" dxfId="108" priority="41"/>
  </conditionalFormatting>
  <conditionalFormatting sqref="B2029">
    <cfRule type="duplicateValues" dxfId="107" priority="39"/>
    <cfRule type="duplicateValues" dxfId="106" priority="40"/>
  </conditionalFormatting>
  <conditionalFormatting sqref="B2030">
    <cfRule type="duplicateValues" dxfId="105" priority="43"/>
    <cfRule type="duplicateValues" dxfId="104" priority="44"/>
  </conditionalFormatting>
  <conditionalFormatting sqref="B2031">
    <cfRule type="duplicateValues" dxfId="103" priority="53"/>
    <cfRule type="duplicateValues" dxfId="102" priority="54"/>
  </conditionalFormatting>
  <conditionalFormatting sqref="B2032">
    <cfRule type="duplicateValues" dxfId="101" priority="45"/>
    <cfRule type="duplicateValues" dxfId="100" priority="46"/>
  </conditionalFormatting>
  <conditionalFormatting sqref="B2033">
    <cfRule type="duplicateValues" dxfId="99" priority="36"/>
    <cfRule type="duplicateValues" dxfId="98" priority="35"/>
  </conditionalFormatting>
  <conditionalFormatting sqref="B2034">
    <cfRule type="duplicateValues" dxfId="97" priority="37"/>
    <cfRule type="duplicateValues" dxfId="96" priority="38"/>
  </conditionalFormatting>
  <conditionalFormatting sqref="B2035:B2040">
    <cfRule type="duplicateValues" dxfId="95" priority="34"/>
    <cfRule type="duplicateValues" dxfId="94" priority="33"/>
  </conditionalFormatting>
  <conditionalFormatting sqref="B2041">
    <cfRule type="duplicateValues" dxfId="93" priority="32"/>
  </conditionalFormatting>
  <conditionalFormatting sqref="B2042">
    <cfRule type="duplicateValues" dxfId="92" priority="28"/>
    <cfRule type="duplicateValues" dxfId="91" priority="25"/>
    <cfRule type="duplicateValues" dxfId="90" priority="24"/>
    <cfRule type="duplicateValues" dxfId="89" priority="30"/>
    <cfRule type="duplicateValues" dxfId="88" priority="29"/>
    <cfRule type="duplicateValues" dxfId="87" priority="27"/>
    <cfRule type="duplicateValues" dxfId="86" priority="26"/>
  </conditionalFormatting>
  <conditionalFormatting sqref="B2043:B2045">
    <cfRule type="duplicateValues" dxfId="85" priority="80"/>
  </conditionalFormatting>
  <conditionalFormatting sqref="B2043:B2065 B1916:B2041">
    <cfRule type="duplicateValues" dxfId="84" priority="31"/>
  </conditionalFormatting>
  <conditionalFormatting sqref="B2043:B2065 B1920:B2008">
    <cfRule type="duplicateValues" dxfId="83" priority="79"/>
  </conditionalFormatting>
  <conditionalFormatting sqref="B2046:B2064">
    <cfRule type="duplicateValues" dxfId="82" priority="83"/>
  </conditionalFormatting>
  <conditionalFormatting sqref="B2063:B2065">
    <cfRule type="duplicateValues" dxfId="81" priority="85"/>
  </conditionalFormatting>
  <conditionalFormatting sqref="B2066:B2075">
    <cfRule type="duplicateValues" dxfId="80" priority="20"/>
    <cfRule type="duplicateValues" dxfId="79" priority="19"/>
    <cfRule type="duplicateValues" dxfId="78" priority="18"/>
    <cfRule type="duplicateValues" dxfId="77" priority="17"/>
    <cfRule type="duplicateValues" dxfId="76" priority="16"/>
    <cfRule type="duplicateValues" dxfId="75" priority="15"/>
  </conditionalFormatting>
  <conditionalFormatting sqref="B2076:B1048576 B1314:B1479 B1:B198 B209:B328 B1489:B1679 B335:B1312">
    <cfRule type="duplicateValues" dxfId="74" priority="203"/>
  </conditionalFormatting>
  <conditionalFormatting sqref="B2076:B1048576 B1314:B1679 B1:B198 B209:B328 B335:B1312">
    <cfRule type="duplicateValues" dxfId="73" priority="124"/>
  </conditionalFormatting>
  <conditionalFormatting sqref="B2076:B1048576 B1490:B1679 B1:B194 B210:B328 B335:B1068">
    <cfRule type="duplicateValues" dxfId="72" priority="174"/>
  </conditionalFormatting>
  <conditionalFormatting sqref="B2076:B1048576 B1490:B1679 B809:B909 B473:B540 B1:B154 B164:B165 B309:B314 B715:B716 B317:B328 B335:B464">
    <cfRule type="duplicateValues" dxfId="71" priority="216"/>
  </conditionalFormatting>
  <conditionalFormatting sqref="C329:C334">
    <cfRule type="duplicateValues" dxfId="70" priority="13"/>
    <cfRule type="duplicateValues" dxfId="69" priority="12"/>
    <cfRule type="duplicateValues" dxfId="68" priority="11"/>
    <cfRule type="duplicateValues" dxfId="67" priority="10"/>
    <cfRule type="duplicateValues" dxfId="66" priority="14"/>
  </conditionalFormatting>
  <conditionalFormatting sqref="C330:C334">
    <cfRule type="uniqueValues" dxfId="65" priority="8"/>
  </conditionalFormatting>
  <conditionalFormatting sqref="C160:F160">
    <cfRule type="duplicateValues" dxfId="64" priority="204"/>
  </conditionalFormatting>
  <conditionalFormatting sqref="C161:F161">
    <cfRule type="duplicateValues" dxfId="63" priority="205"/>
  </conditionalFormatting>
  <conditionalFormatting sqref="C162:F162">
    <cfRule type="duplicateValues" dxfId="62" priority="206"/>
  </conditionalFormatting>
  <conditionalFormatting sqref="C163:F163">
    <cfRule type="duplicateValues" dxfId="61" priority="207"/>
  </conditionalFormatting>
  <conditionalFormatting sqref="G181">
    <cfRule type="duplicateValues" dxfId="60" priority="182"/>
  </conditionalFormatting>
  <conditionalFormatting sqref="G199">
    <cfRule type="duplicateValues" dxfId="59" priority="115"/>
  </conditionalFormatting>
  <conditionalFormatting sqref="G200">
    <cfRule type="duplicateValues" dxfId="58" priority="114"/>
  </conditionalFormatting>
  <conditionalFormatting sqref="G201">
    <cfRule type="duplicateValues" dxfId="57" priority="113"/>
  </conditionalFormatting>
  <conditionalFormatting sqref="G202">
    <cfRule type="duplicateValues" dxfId="56" priority="112"/>
  </conditionalFormatting>
  <conditionalFormatting sqref="G203">
    <cfRule type="duplicateValues" dxfId="55" priority="111"/>
  </conditionalFormatting>
  <conditionalFormatting sqref="G204">
    <cfRule type="duplicateValues" dxfId="54" priority="110"/>
  </conditionalFormatting>
  <conditionalFormatting sqref="G205:G207">
    <cfRule type="duplicateValues" dxfId="53" priority="109"/>
  </conditionalFormatting>
  <conditionalFormatting sqref="G330:G334">
    <cfRule type="duplicateValues" dxfId="52" priority="7"/>
    <cfRule type="duplicateValues" dxfId="51" priority="6"/>
    <cfRule type="duplicateValues" dxfId="50" priority="3"/>
    <cfRule type="duplicateValues" dxfId="49" priority="5"/>
    <cfRule type="duplicateValues" dxfId="48" priority="4"/>
    <cfRule type="uniqueValues" dxfId="47" priority="2"/>
  </conditionalFormatting>
  <conditionalFormatting sqref="G2012">
    <cfRule type="duplicateValues" dxfId="46" priority="21"/>
    <cfRule type="duplicateValues" dxfId="45" priority="23"/>
    <cfRule type="duplicateValues" dxfId="44" priority="22"/>
  </conditionalFormatting>
  <pageMargins left="0.39370078740157483" right="0.19685039370078741" top="0.39370078740157483" bottom="0.39370078740157483" header="0.31496062992125984" footer="0.31496062992125984"/>
  <pageSetup paperSize="9" scale="76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F9BBF-AEC9-47C2-AAC0-2236B7724BBB}">
  <dimension ref="A1:X16"/>
  <sheetViews>
    <sheetView tabSelected="1" zoomScale="70" zoomScaleNormal="70" workbookViewId="0">
      <selection activeCell="G15" sqref="G15"/>
    </sheetView>
  </sheetViews>
  <sheetFormatPr defaultRowHeight="15.75"/>
  <cols>
    <col min="1" max="17" width="16" customWidth="1"/>
    <col min="18" max="18" width="23.625" bestFit="1" customWidth="1"/>
    <col min="19" max="22" width="16" customWidth="1"/>
    <col min="23" max="23" width="16.75" customWidth="1"/>
    <col min="24" max="24" width="23.375" customWidth="1"/>
    <col min="26" max="27" width="9" customWidth="1"/>
  </cols>
  <sheetData>
    <row r="1" spans="1:24">
      <c r="A1" s="400" t="s">
        <v>4</v>
      </c>
      <c r="B1" s="400"/>
      <c r="C1" s="400"/>
      <c r="D1" s="400"/>
      <c r="E1" s="400"/>
      <c r="F1" s="400"/>
      <c r="G1" s="400"/>
      <c r="H1" s="400"/>
      <c r="I1" s="400"/>
      <c r="J1" s="400"/>
      <c r="K1" s="400"/>
      <c r="L1" s="400"/>
      <c r="M1" s="400"/>
      <c r="N1" s="400"/>
      <c r="O1" s="400"/>
      <c r="P1" s="400"/>
      <c r="Q1" s="400"/>
      <c r="R1" s="400"/>
      <c r="S1" s="400"/>
      <c r="T1" s="400"/>
      <c r="U1" s="400"/>
      <c r="V1" s="400"/>
    </row>
    <row r="2" spans="1:24">
      <c r="A2" s="60" t="s">
        <v>5</v>
      </c>
      <c r="B2" s="133"/>
      <c r="C2" s="62" t="s">
        <v>15</v>
      </c>
      <c r="D2" s="60"/>
      <c r="E2" s="60"/>
      <c r="F2" s="60"/>
      <c r="G2" s="60"/>
      <c r="H2" s="60"/>
      <c r="I2" s="60"/>
      <c r="J2" s="62"/>
      <c r="K2" s="62"/>
      <c r="L2" s="61"/>
      <c r="M2" s="61"/>
      <c r="N2" s="60"/>
      <c r="O2" s="133"/>
      <c r="P2" s="133"/>
      <c r="Q2" s="60"/>
      <c r="R2" s="286"/>
      <c r="S2" s="379"/>
      <c r="T2" s="372"/>
      <c r="U2" s="133"/>
      <c r="V2" s="135"/>
    </row>
    <row r="3" spans="1:24">
      <c r="A3" s="60" t="s">
        <v>6</v>
      </c>
      <c r="B3" s="133"/>
      <c r="C3" s="60" t="s">
        <v>381</v>
      </c>
      <c r="D3" s="60"/>
      <c r="E3" s="60"/>
      <c r="F3" s="60"/>
      <c r="G3" s="60"/>
      <c r="H3" s="60"/>
      <c r="I3" s="60"/>
      <c r="J3" s="62"/>
      <c r="K3" s="62"/>
      <c r="L3" s="61"/>
      <c r="M3" s="61"/>
      <c r="N3" s="60"/>
      <c r="O3" s="133"/>
      <c r="P3" s="133"/>
      <c r="Q3" s="60"/>
      <c r="R3" s="286"/>
      <c r="S3" s="379"/>
      <c r="T3" s="372"/>
      <c r="U3" s="133"/>
      <c r="V3" s="135"/>
    </row>
    <row r="4" spans="1:24">
      <c r="A4" s="60" t="s">
        <v>9</v>
      </c>
      <c r="B4" s="133"/>
      <c r="C4" s="62" t="s">
        <v>10</v>
      </c>
      <c r="D4" s="60"/>
      <c r="E4" s="60"/>
      <c r="F4" s="60"/>
      <c r="G4" s="60"/>
      <c r="H4" s="60"/>
      <c r="I4" s="60"/>
      <c r="J4" s="62"/>
      <c r="K4" s="62"/>
      <c r="L4" s="61"/>
      <c r="M4" s="61"/>
      <c r="N4" s="60"/>
      <c r="O4" s="133"/>
      <c r="P4" s="133"/>
      <c r="Q4" s="60"/>
      <c r="R4" s="286"/>
      <c r="S4" s="379"/>
      <c r="T4" s="372"/>
      <c r="U4" s="133"/>
      <c r="V4" s="135"/>
    </row>
    <row r="5" spans="1:24">
      <c r="A5" s="63" t="s">
        <v>11</v>
      </c>
      <c r="B5" s="133"/>
      <c r="C5" s="62" t="s">
        <v>380</v>
      </c>
      <c r="D5" s="401" t="s">
        <v>379</v>
      </c>
      <c r="E5" s="401"/>
      <c r="F5" s="401"/>
      <c r="G5" s="401"/>
      <c r="H5" s="401"/>
      <c r="I5" s="133"/>
      <c r="J5" s="62"/>
      <c r="K5" s="62"/>
      <c r="L5" s="61"/>
      <c r="M5" s="61"/>
      <c r="N5" s="60"/>
      <c r="O5" s="133"/>
      <c r="P5" s="133"/>
      <c r="Q5" s="60"/>
      <c r="R5" s="286"/>
      <c r="S5" s="379"/>
      <c r="T5" s="372"/>
      <c r="U5" s="133"/>
      <c r="V5" s="135"/>
    </row>
    <row r="6" spans="1:24" ht="31.5">
      <c r="A6" s="63" t="s">
        <v>11</v>
      </c>
      <c r="B6" s="133"/>
      <c r="C6" s="62" t="s">
        <v>378</v>
      </c>
      <c r="D6" s="401" t="s">
        <v>377</v>
      </c>
      <c r="E6" s="401"/>
      <c r="F6" s="401"/>
      <c r="G6" s="401"/>
      <c r="H6" s="401"/>
      <c r="I6" s="133"/>
      <c r="J6" s="62"/>
      <c r="K6" s="62"/>
      <c r="L6" s="61"/>
      <c r="M6" s="61"/>
      <c r="N6" s="60"/>
      <c r="O6" s="133"/>
      <c r="P6" s="133"/>
      <c r="Q6" s="60"/>
      <c r="R6" s="286"/>
      <c r="S6" s="379"/>
      <c r="T6" s="372"/>
      <c r="U6" s="133"/>
      <c r="V6" s="135"/>
    </row>
    <row r="7" spans="1:24">
      <c r="A7" s="63" t="s">
        <v>11</v>
      </c>
      <c r="B7" s="133"/>
      <c r="C7" s="62" t="s">
        <v>726</v>
      </c>
      <c r="D7" s="401" t="s">
        <v>725</v>
      </c>
      <c r="E7" s="401"/>
      <c r="F7" s="401"/>
      <c r="G7" s="401"/>
      <c r="H7" s="401"/>
      <c r="I7" s="133"/>
      <c r="J7" s="62"/>
      <c r="K7" s="62"/>
      <c r="L7" s="61"/>
      <c r="M7" s="61"/>
      <c r="N7" s="60"/>
      <c r="O7" s="133"/>
      <c r="P7" s="133"/>
      <c r="Q7" s="60"/>
      <c r="R7" s="286"/>
      <c r="S7" s="379"/>
      <c r="T7" s="372"/>
      <c r="U7" s="133"/>
      <c r="V7" s="135"/>
    </row>
    <row r="8" spans="1:24">
      <c r="A8" s="60" t="s">
        <v>8</v>
      </c>
      <c r="B8" s="133"/>
      <c r="C8" s="62"/>
      <c r="D8" s="60"/>
      <c r="E8" s="60"/>
      <c r="F8" s="60"/>
      <c r="G8" s="60"/>
      <c r="H8" s="60"/>
      <c r="I8" s="60"/>
      <c r="J8" s="62"/>
      <c r="K8" s="62"/>
      <c r="L8" s="61"/>
      <c r="M8" s="61"/>
      <c r="N8" s="60"/>
      <c r="O8" s="133"/>
      <c r="P8" s="133"/>
      <c r="Q8" s="60"/>
      <c r="R8" s="286"/>
      <c r="S8" s="379"/>
      <c r="T8" s="372"/>
      <c r="U8" s="133"/>
      <c r="V8" s="135"/>
    </row>
    <row r="9" spans="1:24" ht="70.5" customHeight="1">
      <c r="A9" s="173" t="s">
        <v>0</v>
      </c>
      <c r="B9" s="173" t="s">
        <v>3</v>
      </c>
      <c r="C9" s="174" t="s">
        <v>1</v>
      </c>
      <c r="D9" s="174" t="s">
        <v>733</v>
      </c>
      <c r="E9" s="174" t="s">
        <v>4277</v>
      </c>
      <c r="F9" s="174" t="s">
        <v>731</v>
      </c>
      <c r="G9" s="174" t="s">
        <v>4276</v>
      </c>
      <c r="H9" s="174" t="s">
        <v>732</v>
      </c>
      <c r="I9" s="174" t="s">
        <v>4275</v>
      </c>
      <c r="J9" s="174" t="s">
        <v>376</v>
      </c>
      <c r="K9" s="174" t="s">
        <v>737</v>
      </c>
      <c r="L9" s="174" t="s">
        <v>734</v>
      </c>
      <c r="M9" s="174" t="s">
        <v>12</v>
      </c>
      <c r="N9" s="173" t="s">
        <v>7</v>
      </c>
      <c r="O9" s="173" t="s">
        <v>728</v>
      </c>
      <c r="P9" s="173" t="s">
        <v>4274</v>
      </c>
      <c r="Q9" s="173" t="s">
        <v>727</v>
      </c>
      <c r="R9" s="287" t="s">
        <v>3840</v>
      </c>
      <c r="S9" s="174" t="s">
        <v>724</v>
      </c>
      <c r="T9" s="373" t="s">
        <v>736</v>
      </c>
      <c r="U9" s="174" t="s">
        <v>735</v>
      </c>
      <c r="V9" s="175" t="s">
        <v>2</v>
      </c>
      <c r="W9" s="175" t="s">
        <v>4269</v>
      </c>
      <c r="X9" s="175" t="s">
        <v>4270</v>
      </c>
    </row>
    <row r="10" spans="1:24">
      <c r="A10" s="15">
        <v>1</v>
      </c>
      <c r="B10" s="11" t="s">
        <v>912</v>
      </c>
      <c r="C10" s="64" t="s">
        <v>913</v>
      </c>
      <c r="D10" s="66"/>
      <c r="E10" s="66"/>
      <c r="F10" s="66"/>
      <c r="G10" s="66"/>
      <c r="H10" s="66"/>
      <c r="I10" s="66"/>
      <c r="J10" s="142">
        <v>968429189</v>
      </c>
      <c r="K10" s="141"/>
      <c r="L10" s="153" t="s">
        <v>566</v>
      </c>
      <c r="M10" s="192">
        <v>1</v>
      </c>
      <c r="N10" s="144" t="s">
        <v>730</v>
      </c>
      <c r="O10" s="43" t="s">
        <v>17</v>
      </c>
      <c r="P10" s="43"/>
      <c r="Q10" s="11" t="s">
        <v>3759</v>
      </c>
      <c r="R10" s="299" t="s">
        <v>2526</v>
      </c>
      <c r="S10" s="387"/>
      <c r="T10" s="371"/>
      <c r="U10" s="234"/>
      <c r="V10" s="35"/>
      <c r="W10" s="35" t="s">
        <v>4272</v>
      </c>
      <c r="X10" s="35" t="s">
        <v>4271</v>
      </c>
    </row>
    <row r="11" spans="1:24">
      <c r="A11" s="15">
        <v>2</v>
      </c>
      <c r="B11" s="11" t="s">
        <v>914</v>
      </c>
      <c r="C11" s="64" t="s">
        <v>913</v>
      </c>
      <c r="D11" s="66"/>
      <c r="E11" s="66"/>
      <c r="F11" s="66"/>
      <c r="G11" s="66"/>
      <c r="H11" s="66"/>
      <c r="I11" s="66"/>
      <c r="J11" s="142">
        <v>968429189</v>
      </c>
      <c r="K11" s="141"/>
      <c r="L11" s="153" t="s">
        <v>566</v>
      </c>
      <c r="M11" s="192">
        <v>1</v>
      </c>
      <c r="N11" s="144" t="s">
        <v>730</v>
      </c>
      <c r="O11" s="43" t="s">
        <v>17</v>
      </c>
      <c r="P11" s="43"/>
      <c r="Q11" s="11" t="s">
        <v>3759</v>
      </c>
      <c r="R11" s="299" t="s">
        <v>2526</v>
      </c>
      <c r="S11" s="387"/>
      <c r="T11" s="371"/>
      <c r="U11" s="234"/>
      <c r="V11" s="35"/>
      <c r="W11" s="35" t="s">
        <v>4272</v>
      </c>
      <c r="X11" s="35" t="s">
        <v>4272</v>
      </c>
    </row>
    <row r="12" spans="1:24">
      <c r="A12" s="15">
        <v>3</v>
      </c>
      <c r="B12" s="11" t="s">
        <v>915</v>
      </c>
      <c r="C12" s="64" t="s">
        <v>913</v>
      </c>
      <c r="D12" s="46"/>
      <c r="E12" s="46"/>
      <c r="F12" s="46"/>
      <c r="G12" s="46"/>
      <c r="H12" s="46"/>
      <c r="I12" s="46"/>
      <c r="J12" s="142">
        <v>968429189</v>
      </c>
      <c r="K12" s="141"/>
      <c r="L12" s="153" t="s">
        <v>566</v>
      </c>
      <c r="M12" s="192">
        <v>1</v>
      </c>
      <c r="N12" s="144" t="s">
        <v>730</v>
      </c>
      <c r="O12" s="43" t="s">
        <v>17</v>
      </c>
      <c r="P12" s="43"/>
      <c r="Q12" s="11" t="s">
        <v>3759</v>
      </c>
      <c r="R12" s="299" t="s">
        <v>2526</v>
      </c>
      <c r="S12" s="380">
        <v>44781</v>
      </c>
      <c r="T12" s="378"/>
      <c r="U12" s="43"/>
      <c r="V12" s="150"/>
      <c r="W12" s="150" t="s">
        <v>4271</v>
      </c>
      <c r="X12" s="150" t="s">
        <v>4273</v>
      </c>
    </row>
    <row r="13" spans="1:24">
      <c r="A13" s="15">
        <v>4</v>
      </c>
      <c r="B13" s="144" t="s">
        <v>921</v>
      </c>
      <c r="C13" s="150" t="s">
        <v>641</v>
      </c>
      <c r="D13" s="46"/>
      <c r="E13" s="46"/>
      <c r="F13" s="46"/>
      <c r="G13" s="46"/>
      <c r="H13" s="46"/>
      <c r="I13" s="46"/>
      <c r="J13" s="142">
        <v>968429189</v>
      </c>
      <c r="K13" s="141"/>
      <c r="L13" s="153" t="s">
        <v>566</v>
      </c>
      <c r="M13" s="192">
        <v>1</v>
      </c>
      <c r="N13" s="144" t="s">
        <v>730</v>
      </c>
      <c r="O13" s="43" t="s">
        <v>2515</v>
      </c>
      <c r="P13" s="43"/>
      <c r="Q13" s="11" t="s">
        <v>3759</v>
      </c>
      <c r="R13" s="299" t="s">
        <v>2526</v>
      </c>
      <c r="S13" s="387">
        <v>44197</v>
      </c>
      <c r="T13" s="371"/>
      <c r="U13" s="43"/>
      <c r="V13" s="150"/>
      <c r="W13" s="150" t="s">
        <v>4273</v>
      </c>
      <c r="X13" s="150" t="s">
        <v>4273</v>
      </c>
    </row>
    <row r="14" spans="1:24">
      <c r="A14" s="15">
        <v>5</v>
      </c>
      <c r="B14" s="144" t="s">
        <v>922</v>
      </c>
      <c r="C14" s="150" t="s">
        <v>641</v>
      </c>
      <c r="D14" s="156"/>
      <c r="E14" s="156"/>
      <c r="F14" s="156"/>
      <c r="G14" s="156"/>
      <c r="H14" s="156"/>
      <c r="I14" s="156"/>
      <c r="J14" s="142">
        <v>968429189</v>
      </c>
      <c r="K14" s="141"/>
      <c r="L14" s="153" t="s">
        <v>566</v>
      </c>
      <c r="M14" s="192">
        <v>1</v>
      </c>
      <c r="N14" s="144" t="s">
        <v>730</v>
      </c>
      <c r="O14" s="43" t="s">
        <v>2515</v>
      </c>
      <c r="P14" s="43"/>
      <c r="Q14" s="11" t="s">
        <v>3759</v>
      </c>
      <c r="R14" s="299" t="s">
        <v>2526</v>
      </c>
      <c r="S14" s="386"/>
      <c r="T14" s="371"/>
      <c r="U14" s="160"/>
      <c r="V14" s="169"/>
      <c r="W14" s="169" t="s">
        <v>4272</v>
      </c>
      <c r="X14" s="169" t="s">
        <v>4272</v>
      </c>
    </row>
    <row r="15" spans="1:24">
      <c r="A15" s="15">
        <v>6</v>
      </c>
      <c r="B15" s="144" t="s">
        <v>923</v>
      </c>
      <c r="C15" s="150" t="s">
        <v>641</v>
      </c>
      <c r="D15" s="156"/>
      <c r="E15" s="156"/>
      <c r="F15" s="156"/>
      <c r="G15" s="156"/>
      <c r="H15" s="156"/>
      <c r="I15" s="156"/>
      <c r="J15" s="142">
        <v>968429189</v>
      </c>
      <c r="K15" s="141"/>
      <c r="L15" s="153" t="s">
        <v>566</v>
      </c>
      <c r="M15" s="192">
        <v>1</v>
      </c>
      <c r="N15" s="144" t="s">
        <v>730</v>
      </c>
      <c r="O15" s="43" t="s">
        <v>2515</v>
      </c>
      <c r="P15" s="43"/>
      <c r="Q15" s="11" t="s">
        <v>3759</v>
      </c>
      <c r="R15" s="299" t="s">
        <v>2526</v>
      </c>
      <c r="S15" s="380">
        <v>44769</v>
      </c>
      <c r="T15" s="371"/>
      <c r="U15" s="160"/>
      <c r="V15" s="150" t="s">
        <v>25</v>
      </c>
      <c r="W15" s="150" t="s">
        <v>4272</v>
      </c>
      <c r="X15" s="150" t="s">
        <v>4273</v>
      </c>
    </row>
    <row r="16" spans="1:24" s="396" customFormat="1">
      <c r="A16" s="15">
        <v>7</v>
      </c>
      <c r="B16" s="144" t="s">
        <v>947</v>
      </c>
      <c r="C16" s="150" t="s">
        <v>641</v>
      </c>
      <c r="D16" s="43"/>
      <c r="E16" s="43"/>
      <c r="F16" s="43"/>
      <c r="G16" s="43"/>
      <c r="H16" s="43"/>
      <c r="I16" s="43"/>
      <c r="J16" s="142">
        <v>968429189</v>
      </c>
      <c r="K16" s="141"/>
      <c r="L16" s="153" t="s">
        <v>566</v>
      </c>
      <c r="M16" s="192">
        <v>1</v>
      </c>
      <c r="N16" s="144" t="s">
        <v>730</v>
      </c>
      <c r="O16" s="43" t="s">
        <v>2515</v>
      </c>
      <c r="P16" s="43"/>
      <c r="Q16" s="11" t="s">
        <v>3759</v>
      </c>
      <c r="R16" s="299" t="s">
        <v>2526</v>
      </c>
      <c r="S16" s="194"/>
      <c r="T16" s="378"/>
      <c r="U16" s="43"/>
      <c r="V16" s="149"/>
      <c r="W16" s="149" t="s">
        <v>4272</v>
      </c>
      <c r="X16" s="149" t="s">
        <v>4272</v>
      </c>
    </row>
  </sheetData>
  <mergeCells count="4">
    <mergeCell ref="A1:V1"/>
    <mergeCell ref="D5:H5"/>
    <mergeCell ref="D6:H6"/>
    <mergeCell ref="D7:H7"/>
  </mergeCells>
  <phoneticPr fontId="11" type="noConversion"/>
  <conditionalFormatting sqref="B1:B16">
    <cfRule type="duplicateValues" dxfId="43" priority="938"/>
    <cfRule type="duplicateValues" dxfId="42" priority="939"/>
  </conditionalFormatting>
  <conditionalFormatting sqref="B10:B12">
    <cfRule type="duplicateValues" dxfId="41" priority="932"/>
  </conditionalFormatting>
  <conditionalFormatting sqref="B10:B16">
    <cfRule type="duplicateValues" dxfId="40" priority="930"/>
  </conditionalFormatting>
  <conditionalFormatting sqref="B14:B16 B1:B12">
    <cfRule type="duplicateValues" dxfId="39" priority="33"/>
  </conditionalFormatting>
  <dataValidations count="1">
    <dataValidation type="list" allowBlank="1" showInputMessage="1" showErrorMessage="1" sqref="W10:X16" xr:uid="{67741F3F-81E4-4B1B-BAEA-9DB0841F8E98}">
      <formula1>"1. Chưa active, 2. Đã active, 3. Crack"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893B-C0B9-4D33-A086-925ED6CE91C8}">
  <sheetPr>
    <pageSetUpPr fitToPage="1"/>
  </sheetPr>
  <dimension ref="A1:I991"/>
  <sheetViews>
    <sheetView topLeftCell="B2" zoomScale="93" zoomScaleNormal="93" workbookViewId="0">
      <pane ySplit="2" topLeftCell="A522" activePane="bottomLeft" state="frozen"/>
      <selection activeCell="D2" sqref="D2"/>
      <selection pane="bottomLeft" activeCell="E536" sqref="E536"/>
    </sheetView>
  </sheetViews>
  <sheetFormatPr defaultColWidth="9.125" defaultRowHeight="15"/>
  <cols>
    <col min="1" max="1" width="10.125" style="323" hidden="1" customWidth="1"/>
    <col min="2" max="2" width="13.875" style="324" customWidth="1"/>
    <col min="3" max="3" width="17.875" style="329" customWidth="1"/>
    <col min="4" max="4" width="29.375" style="324" customWidth="1"/>
    <col min="5" max="5" width="13.375" style="376" customWidth="1"/>
    <col min="6" max="6" width="14.125" style="324" customWidth="1"/>
    <col min="7" max="7" width="15.875" style="325" customWidth="1"/>
    <col min="8" max="8" width="21.375" style="325" customWidth="1"/>
    <col min="9" max="9" width="10.875" style="324" customWidth="1"/>
    <col min="10" max="242" width="9.125" style="323"/>
    <col min="243" max="243" width="10.125" style="323" customWidth="1"/>
    <col min="244" max="244" width="42.125" style="323" customWidth="1"/>
    <col min="245" max="245" width="9.375" style="323" customWidth="1"/>
    <col min="246" max="246" width="28" style="323" customWidth="1"/>
    <col min="247" max="248" width="29.875" style="323" customWidth="1"/>
    <col min="249" max="249" width="19.125" style="323" customWidth="1"/>
    <col min="250" max="250" width="14.375" style="323" customWidth="1"/>
    <col min="251" max="251" width="13.375" style="323" customWidth="1"/>
    <col min="252" max="252" width="14.125" style="323" customWidth="1"/>
    <col min="253" max="253" width="15.875" style="323" customWidth="1"/>
    <col min="254" max="254" width="21.375" style="323" customWidth="1"/>
    <col min="255" max="255" width="10.875" style="323" customWidth="1"/>
    <col min="256" max="258" width="25.875" style="323" customWidth="1"/>
    <col min="259" max="263" width="30" style="323" customWidth="1"/>
    <col min="264" max="264" width="14.125" style="323" customWidth="1"/>
    <col min="265" max="498" width="9.125" style="323"/>
    <col min="499" max="499" width="10.125" style="323" customWidth="1"/>
    <col min="500" max="500" width="42.125" style="323" customWidth="1"/>
    <col min="501" max="501" width="9.375" style="323" customWidth="1"/>
    <col min="502" max="502" width="28" style="323" customWidth="1"/>
    <col min="503" max="504" width="29.875" style="323" customWidth="1"/>
    <col min="505" max="505" width="19.125" style="323" customWidth="1"/>
    <col min="506" max="506" width="14.375" style="323" customWidth="1"/>
    <col min="507" max="507" width="13.375" style="323" customWidth="1"/>
    <col min="508" max="508" width="14.125" style="323" customWidth="1"/>
    <col min="509" max="509" width="15.875" style="323" customWidth="1"/>
    <col min="510" max="510" width="21.375" style="323" customWidth="1"/>
    <col min="511" max="511" width="10.875" style="323" customWidth="1"/>
    <col min="512" max="514" width="25.875" style="323" customWidth="1"/>
    <col min="515" max="519" width="30" style="323" customWidth="1"/>
    <col min="520" max="520" width="14.125" style="323" customWidth="1"/>
    <col min="521" max="754" width="9.125" style="323"/>
    <col min="755" max="755" width="10.125" style="323" customWidth="1"/>
    <col min="756" max="756" width="42.125" style="323" customWidth="1"/>
    <col min="757" max="757" width="9.375" style="323" customWidth="1"/>
    <col min="758" max="758" width="28" style="323" customWidth="1"/>
    <col min="759" max="760" width="29.875" style="323" customWidth="1"/>
    <col min="761" max="761" width="19.125" style="323" customWidth="1"/>
    <col min="762" max="762" width="14.375" style="323" customWidth="1"/>
    <col min="763" max="763" width="13.375" style="323" customWidth="1"/>
    <col min="764" max="764" width="14.125" style="323" customWidth="1"/>
    <col min="765" max="765" width="15.875" style="323" customWidth="1"/>
    <col min="766" max="766" width="21.375" style="323" customWidth="1"/>
    <col min="767" max="767" width="10.875" style="323" customWidth="1"/>
    <col min="768" max="770" width="25.875" style="323" customWidth="1"/>
    <col min="771" max="775" width="30" style="323" customWidth="1"/>
    <col min="776" max="776" width="14.125" style="323" customWidth="1"/>
    <col min="777" max="1010" width="9.125" style="323"/>
    <col min="1011" max="1011" width="10.125" style="323" customWidth="1"/>
    <col min="1012" max="1012" width="42.125" style="323" customWidth="1"/>
    <col min="1013" max="1013" width="9.375" style="323" customWidth="1"/>
    <col min="1014" max="1014" width="28" style="323" customWidth="1"/>
    <col min="1015" max="1016" width="29.875" style="323" customWidth="1"/>
    <col min="1017" max="1017" width="19.125" style="323" customWidth="1"/>
    <col min="1018" max="1018" width="14.375" style="323" customWidth="1"/>
    <col min="1019" max="1019" width="13.375" style="323" customWidth="1"/>
    <col min="1020" max="1020" width="14.125" style="323" customWidth="1"/>
    <col min="1021" max="1021" width="15.875" style="323" customWidth="1"/>
    <col min="1022" max="1022" width="21.375" style="323" customWidth="1"/>
    <col min="1023" max="1023" width="10.875" style="323" customWidth="1"/>
    <col min="1024" max="1026" width="25.875" style="323" customWidth="1"/>
    <col min="1027" max="1031" width="30" style="323" customWidth="1"/>
    <col min="1032" max="1032" width="14.125" style="323" customWidth="1"/>
    <col min="1033" max="1266" width="9.125" style="323"/>
    <col min="1267" max="1267" width="10.125" style="323" customWidth="1"/>
    <col min="1268" max="1268" width="42.125" style="323" customWidth="1"/>
    <col min="1269" max="1269" width="9.375" style="323" customWidth="1"/>
    <col min="1270" max="1270" width="28" style="323" customWidth="1"/>
    <col min="1271" max="1272" width="29.875" style="323" customWidth="1"/>
    <col min="1273" max="1273" width="19.125" style="323" customWidth="1"/>
    <col min="1274" max="1274" width="14.375" style="323" customWidth="1"/>
    <col min="1275" max="1275" width="13.375" style="323" customWidth="1"/>
    <col min="1276" max="1276" width="14.125" style="323" customWidth="1"/>
    <col min="1277" max="1277" width="15.875" style="323" customWidth="1"/>
    <col min="1278" max="1278" width="21.375" style="323" customWidth="1"/>
    <col min="1279" max="1279" width="10.875" style="323" customWidth="1"/>
    <col min="1280" max="1282" width="25.875" style="323" customWidth="1"/>
    <col min="1283" max="1287" width="30" style="323" customWidth="1"/>
    <col min="1288" max="1288" width="14.125" style="323" customWidth="1"/>
    <col min="1289" max="1522" width="9.125" style="323"/>
    <col min="1523" max="1523" width="10.125" style="323" customWidth="1"/>
    <col min="1524" max="1524" width="42.125" style="323" customWidth="1"/>
    <col min="1525" max="1525" width="9.375" style="323" customWidth="1"/>
    <col min="1526" max="1526" width="28" style="323" customWidth="1"/>
    <col min="1527" max="1528" width="29.875" style="323" customWidth="1"/>
    <col min="1529" max="1529" width="19.125" style="323" customWidth="1"/>
    <col min="1530" max="1530" width="14.375" style="323" customWidth="1"/>
    <col min="1531" max="1531" width="13.375" style="323" customWidth="1"/>
    <col min="1532" max="1532" width="14.125" style="323" customWidth="1"/>
    <col min="1533" max="1533" width="15.875" style="323" customWidth="1"/>
    <col min="1534" max="1534" width="21.375" style="323" customWidth="1"/>
    <col min="1535" max="1535" width="10.875" style="323" customWidth="1"/>
    <col min="1536" max="1538" width="25.875" style="323" customWidth="1"/>
    <col min="1539" max="1543" width="30" style="323" customWidth="1"/>
    <col min="1544" max="1544" width="14.125" style="323" customWidth="1"/>
    <col min="1545" max="1778" width="9.125" style="323"/>
    <col min="1779" max="1779" width="10.125" style="323" customWidth="1"/>
    <col min="1780" max="1780" width="42.125" style="323" customWidth="1"/>
    <col min="1781" max="1781" width="9.375" style="323" customWidth="1"/>
    <col min="1782" max="1782" width="28" style="323" customWidth="1"/>
    <col min="1783" max="1784" width="29.875" style="323" customWidth="1"/>
    <col min="1785" max="1785" width="19.125" style="323" customWidth="1"/>
    <col min="1786" max="1786" width="14.375" style="323" customWidth="1"/>
    <col min="1787" max="1787" width="13.375" style="323" customWidth="1"/>
    <col min="1788" max="1788" width="14.125" style="323" customWidth="1"/>
    <col min="1789" max="1789" width="15.875" style="323" customWidth="1"/>
    <col min="1790" max="1790" width="21.375" style="323" customWidth="1"/>
    <col min="1791" max="1791" width="10.875" style="323" customWidth="1"/>
    <col min="1792" max="1794" width="25.875" style="323" customWidth="1"/>
    <col min="1795" max="1799" width="30" style="323" customWidth="1"/>
    <col min="1800" max="1800" width="14.125" style="323" customWidth="1"/>
    <col min="1801" max="2034" width="9.125" style="323"/>
    <col min="2035" max="2035" width="10.125" style="323" customWidth="1"/>
    <col min="2036" max="2036" width="42.125" style="323" customWidth="1"/>
    <col min="2037" max="2037" width="9.375" style="323" customWidth="1"/>
    <col min="2038" max="2038" width="28" style="323" customWidth="1"/>
    <col min="2039" max="2040" width="29.875" style="323" customWidth="1"/>
    <col min="2041" max="2041" width="19.125" style="323" customWidth="1"/>
    <col min="2042" max="2042" width="14.375" style="323" customWidth="1"/>
    <col min="2043" max="2043" width="13.375" style="323" customWidth="1"/>
    <col min="2044" max="2044" width="14.125" style="323" customWidth="1"/>
    <col min="2045" max="2045" width="15.875" style="323" customWidth="1"/>
    <col min="2046" max="2046" width="21.375" style="323" customWidth="1"/>
    <col min="2047" max="2047" width="10.875" style="323" customWidth="1"/>
    <col min="2048" max="2050" width="25.875" style="323" customWidth="1"/>
    <col min="2051" max="2055" width="30" style="323" customWidth="1"/>
    <col min="2056" max="2056" width="14.125" style="323" customWidth="1"/>
    <col min="2057" max="2290" width="9.125" style="323"/>
    <col min="2291" max="2291" width="10.125" style="323" customWidth="1"/>
    <col min="2292" max="2292" width="42.125" style="323" customWidth="1"/>
    <col min="2293" max="2293" width="9.375" style="323" customWidth="1"/>
    <col min="2294" max="2294" width="28" style="323" customWidth="1"/>
    <col min="2295" max="2296" width="29.875" style="323" customWidth="1"/>
    <col min="2297" max="2297" width="19.125" style="323" customWidth="1"/>
    <col min="2298" max="2298" width="14.375" style="323" customWidth="1"/>
    <col min="2299" max="2299" width="13.375" style="323" customWidth="1"/>
    <col min="2300" max="2300" width="14.125" style="323" customWidth="1"/>
    <col min="2301" max="2301" width="15.875" style="323" customWidth="1"/>
    <col min="2302" max="2302" width="21.375" style="323" customWidth="1"/>
    <col min="2303" max="2303" width="10.875" style="323" customWidth="1"/>
    <col min="2304" max="2306" width="25.875" style="323" customWidth="1"/>
    <col min="2307" max="2311" width="30" style="323" customWidth="1"/>
    <col min="2312" max="2312" width="14.125" style="323" customWidth="1"/>
    <col min="2313" max="2546" width="9.125" style="323"/>
    <col min="2547" max="2547" width="10.125" style="323" customWidth="1"/>
    <col min="2548" max="2548" width="42.125" style="323" customWidth="1"/>
    <col min="2549" max="2549" width="9.375" style="323" customWidth="1"/>
    <col min="2550" max="2550" width="28" style="323" customWidth="1"/>
    <col min="2551" max="2552" width="29.875" style="323" customWidth="1"/>
    <col min="2553" max="2553" width="19.125" style="323" customWidth="1"/>
    <col min="2554" max="2554" width="14.375" style="323" customWidth="1"/>
    <col min="2555" max="2555" width="13.375" style="323" customWidth="1"/>
    <col min="2556" max="2556" width="14.125" style="323" customWidth="1"/>
    <col min="2557" max="2557" width="15.875" style="323" customWidth="1"/>
    <col min="2558" max="2558" width="21.375" style="323" customWidth="1"/>
    <col min="2559" max="2559" width="10.875" style="323" customWidth="1"/>
    <col min="2560" max="2562" width="25.875" style="323" customWidth="1"/>
    <col min="2563" max="2567" width="30" style="323" customWidth="1"/>
    <col min="2568" max="2568" width="14.125" style="323" customWidth="1"/>
    <col min="2569" max="2802" width="9.125" style="323"/>
    <col min="2803" max="2803" width="10.125" style="323" customWidth="1"/>
    <col min="2804" max="2804" width="42.125" style="323" customWidth="1"/>
    <col min="2805" max="2805" width="9.375" style="323" customWidth="1"/>
    <col min="2806" max="2806" width="28" style="323" customWidth="1"/>
    <col min="2807" max="2808" width="29.875" style="323" customWidth="1"/>
    <col min="2809" max="2809" width="19.125" style="323" customWidth="1"/>
    <col min="2810" max="2810" width="14.375" style="323" customWidth="1"/>
    <col min="2811" max="2811" width="13.375" style="323" customWidth="1"/>
    <col min="2812" max="2812" width="14.125" style="323" customWidth="1"/>
    <col min="2813" max="2813" width="15.875" style="323" customWidth="1"/>
    <col min="2814" max="2814" width="21.375" style="323" customWidth="1"/>
    <col min="2815" max="2815" width="10.875" style="323" customWidth="1"/>
    <col min="2816" max="2818" width="25.875" style="323" customWidth="1"/>
    <col min="2819" max="2823" width="30" style="323" customWidth="1"/>
    <col min="2824" max="2824" width="14.125" style="323" customWidth="1"/>
    <col min="2825" max="3058" width="9.125" style="323"/>
    <col min="3059" max="3059" width="10.125" style="323" customWidth="1"/>
    <col min="3060" max="3060" width="42.125" style="323" customWidth="1"/>
    <col min="3061" max="3061" width="9.375" style="323" customWidth="1"/>
    <col min="3062" max="3062" width="28" style="323" customWidth="1"/>
    <col min="3063" max="3064" width="29.875" style="323" customWidth="1"/>
    <col min="3065" max="3065" width="19.125" style="323" customWidth="1"/>
    <col min="3066" max="3066" width="14.375" style="323" customWidth="1"/>
    <col min="3067" max="3067" width="13.375" style="323" customWidth="1"/>
    <col min="3068" max="3068" width="14.125" style="323" customWidth="1"/>
    <col min="3069" max="3069" width="15.875" style="323" customWidth="1"/>
    <col min="3070" max="3070" width="21.375" style="323" customWidth="1"/>
    <col min="3071" max="3071" width="10.875" style="323" customWidth="1"/>
    <col min="3072" max="3074" width="25.875" style="323" customWidth="1"/>
    <col min="3075" max="3079" width="30" style="323" customWidth="1"/>
    <col min="3080" max="3080" width="14.125" style="323" customWidth="1"/>
    <col min="3081" max="3314" width="9.125" style="323"/>
    <col min="3315" max="3315" width="10.125" style="323" customWidth="1"/>
    <col min="3316" max="3316" width="42.125" style="323" customWidth="1"/>
    <col min="3317" max="3317" width="9.375" style="323" customWidth="1"/>
    <col min="3318" max="3318" width="28" style="323" customWidth="1"/>
    <col min="3319" max="3320" width="29.875" style="323" customWidth="1"/>
    <col min="3321" max="3321" width="19.125" style="323" customWidth="1"/>
    <col min="3322" max="3322" width="14.375" style="323" customWidth="1"/>
    <col min="3323" max="3323" width="13.375" style="323" customWidth="1"/>
    <col min="3324" max="3324" width="14.125" style="323" customWidth="1"/>
    <col min="3325" max="3325" width="15.875" style="323" customWidth="1"/>
    <col min="3326" max="3326" width="21.375" style="323" customWidth="1"/>
    <col min="3327" max="3327" width="10.875" style="323" customWidth="1"/>
    <col min="3328" max="3330" width="25.875" style="323" customWidth="1"/>
    <col min="3331" max="3335" width="30" style="323" customWidth="1"/>
    <col min="3336" max="3336" width="14.125" style="323" customWidth="1"/>
    <col min="3337" max="3570" width="9.125" style="323"/>
    <col min="3571" max="3571" width="10.125" style="323" customWidth="1"/>
    <col min="3572" max="3572" width="42.125" style="323" customWidth="1"/>
    <col min="3573" max="3573" width="9.375" style="323" customWidth="1"/>
    <col min="3574" max="3574" width="28" style="323" customWidth="1"/>
    <col min="3575" max="3576" width="29.875" style="323" customWidth="1"/>
    <col min="3577" max="3577" width="19.125" style="323" customWidth="1"/>
    <col min="3578" max="3578" width="14.375" style="323" customWidth="1"/>
    <col min="3579" max="3579" width="13.375" style="323" customWidth="1"/>
    <col min="3580" max="3580" width="14.125" style="323" customWidth="1"/>
    <col min="3581" max="3581" width="15.875" style="323" customWidth="1"/>
    <col min="3582" max="3582" width="21.375" style="323" customWidth="1"/>
    <col min="3583" max="3583" width="10.875" style="323" customWidth="1"/>
    <col min="3584" max="3586" width="25.875" style="323" customWidth="1"/>
    <col min="3587" max="3591" width="30" style="323" customWidth="1"/>
    <col min="3592" max="3592" width="14.125" style="323" customWidth="1"/>
    <col min="3593" max="3826" width="9.125" style="323"/>
    <col min="3827" max="3827" width="10.125" style="323" customWidth="1"/>
    <col min="3828" max="3828" width="42.125" style="323" customWidth="1"/>
    <col min="3829" max="3829" width="9.375" style="323" customWidth="1"/>
    <col min="3830" max="3830" width="28" style="323" customWidth="1"/>
    <col min="3831" max="3832" width="29.875" style="323" customWidth="1"/>
    <col min="3833" max="3833" width="19.125" style="323" customWidth="1"/>
    <col min="3834" max="3834" width="14.375" style="323" customWidth="1"/>
    <col min="3835" max="3835" width="13.375" style="323" customWidth="1"/>
    <col min="3836" max="3836" width="14.125" style="323" customWidth="1"/>
    <col min="3837" max="3837" width="15.875" style="323" customWidth="1"/>
    <col min="3838" max="3838" width="21.375" style="323" customWidth="1"/>
    <col min="3839" max="3839" width="10.875" style="323" customWidth="1"/>
    <col min="3840" max="3842" width="25.875" style="323" customWidth="1"/>
    <col min="3843" max="3847" width="30" style="323" customWidth="1"/>
    <col min="3848" max="3848" width="14.125" style="323" customWidth="1"/>
    <col min="3849" max="4082" width="9.125" style="323"/>
    <col min="4083" max="4083" width="10.125" style="323" customWidth="1"/>
    <col min="4084" max="4084" width="42.125" style="323" customWidth="1"/>
    <col min="4085" max="4085" width="9.375" style="323" customWidth="1"/>
    <col min="4086" max="4086" width="28" style="323" customWidth="1"/>
    <col min="4087" max="4088" width="29.875" style="323" customWidth="1"/>
    <col min="4089" max="4089" width="19.125" style="323" customWidth="1"/>
    <col min="4090" max="4090" width="14.375" style="323" customWidth="1"/>
    <col min="4091" max="4091" width="13.375" style="323" customWidth="1"/>
    <col min="4092" max="4092" width="14.125" style="323" customWidth="1"/>
    <col min="4093" max="4093" width="15.875" style="323" customWidth="1"/>
    <col min="4094" max="4094" width="21.375" style="323" customWidth="1"/>
    <col min="4095" max="4095" width="10.875" style="323" customWidth="1"/>
    <col min="4096" max="4098" width="25.875" style="323" customWidth="1"/>
    <col min="4099" max="4103" width="30" style="323" customWidth="1"/>
    <col min="4104" max="4104" width="14.125" style="323" customWidth="1"/>
    <col min="4105" max="4338" width="9.125" style="323"/>
    <col min="4339" max="4339" width="10.125" style="323" customWidth="1"/>
    <col min="4340" max="4340" width="42.125" style="323" customWidth="1"/>
    <col min="4341" max="4341" width="9.375" style="323" customWidth="1"/>
    <col min="4342" max="4342" width="28" style="323" customWidth="1"/>
    <col min="4343" max="4344" width="29.875" style="323" customWidth="1"/>
    <col min="4345" max="4345" width="19.125" style="323" customWidth="1"/>
    <col min="4346" max="4346" width="14.375" style="323" customWidth="1"/>
    <col min="4347" max="4347" width="13.375" style="323" customWidth="1"/>
    <col min="4348" max="4348" width="14.125" style="323" customWidth="1"/>
    <col min="4349" max="4349" width="15.875" style="323" customWidth="1"/>
    <col min="4350" max="4350" width="21.375" style="323" customWidth="1"/>
    <col min="4351" max="4351" width="10.875" style="323" customWidth="1"/>
    <col min="4352" max="4354" width="25.875" style="323" customWidth="1"/>
    <col min="4355" max="4359" width="30" style="323" customWidth="1"/>
    <col min="4360" max="4360" width="14.125" style="323" customWidth="1"/>
    <col min="4361" max="4594" width="9.125" style="323"/>
    <col min="4595" max="4595" width="10.125" style="323" customWidth="1"/>
    <col min="4596" max="4596" width="42.125" style="323" customWidth="1"/>
    <col min="4597" max="4597" width="9.375" style="323" customWidth="1"/>
    <col min="4598" max="4598" width="28" style="323" customWidth="1"/>
    <col min="4599" max="4600" width="29.875" style="323" customWidth="1"/>
    <col min="4601" max="4601" width="19.125" style="323" customWidth="1"/>
    <col min="4602" max="4602" width="14.375" style="323" customWidth="1"/>
    <col min="4603" max="4603" width="13.375" style="323" customWidth="1"/>
    <col min="4604" max="4604" width="14.125" style="323" customWidth="1"/>
    <col min="4605" max="4605" width="15.875" style="323" customWidth="1"/>
    <col min="4606" max="4606" width="21.375" style="323" customWidth="1"/>
    <col min="4607" max="4607" width="10.875" style="323" customWidth="1"/>
    <col min="4608" max="4610" width="25.875" style="323" customWidth="1"/>
    <col min="4611" max="4615" width="30" style="323" customWidth="1"/>
    <col min="4616" max="4616" width="14.125" style="323" customWidth="1"/>
    <col min="4617" max="4850" width="9.125" style="323"/>
    <col min="4851" max="4851" width="10.125" style="323" customWidth="1"/>
    <col min="4852" max="4852" width="42.125" style="323" customWidth="1"/>
    <col min="4853" max="4853" width="9.375" style="323" customWidth="1"/>
    <col min="4854" max="4854" width="28" style="323" customWidth="1"/>
    <col min="4855" max="4856" width="29.875" style="323" customWidth="1"/>
    <col min="4857" max="4857" width="19.125" style="323" customWidth="1"/>
    <col min="4858" max="4858" width="14.375" style="323" customWidth="1"/>
    <col min="4859" max="4859" width="13.375" style="323" customWidth="1"/>
    <col min="4860" max="4860" width="14.125" style="323" customWidth="1"/>
    <col min="4861" max="4861" width="15.875" style="323" customWidth="1"/>
    <col min="4862" max="4862" width="21.375" style="323" customWidth="1"/>
    <col min="4863" max="4863" width="10.875" style="323" customWidth="1"/>
    <col min="4864" max="4866" width="25.875" style="323" customWidth="1"/>
    <col min="4867" max="4871" width="30" style="323" customWidth="1"/>
    <col min="4872" max="4872" width="14.125" style="323" customWidth="1"/>
    <col min="4873" max="5106" width="9.125" style="323"/>
    <col min="5107" max="5107" width="10.125" style="323" customWidth="1"/>
    <col min="5108" max="5108" width="42.125" style="323" customWidth="1"/>
    <col min="5109" max="5109" width="9.375" style="323" customWidth="1"/>
    <col min="5110" max="5110" width="28" style="323" customWidth="1"/>
    <col min="5111" max="5112" width="29.875" style="323" customWidth="1"/>
    <col min="5113" max="5113" width="19.125" style="323" customWidth="1"/>
    <col min="5114" max="5114" width="14.375" style="323" customWidth="1"/>
    <col min="5115" max="5115" width="13.375" style="323" customWidth="1"/>
    <col min="5116" max="5116" width="14.125" style="323" customWidth="1"/>
    <col min="5117" max="5117" width="15.875" style="323" customWidth="1"/>
    <col min="5118" max="5118" width="21.375" style="323" customWidth="1"/>
    <col min="5119" max="5119" width="10.875" style="323" customWidth="1"/>
    <col min="5120" max="5122" width="25.875" style="323" customWidth="1"/>
    <col min="5123" max="5127" width="30" style="323" customWidth="1"/>
    <col min="5128" max="5128" width="14.125" style="323" customWidth="1"/>
    <col min="5129" max="5362" width="9.125" style="323"/>
    <col min="5363" max="5363" width="10.125" style="323" customWidth="1"/>
    <col min="5364" max="5364" width="42.125" style="323" customWidth="1"/>
    <col min="5365" max="5365" width="9.375" style="323" customWidth="1"/>
    <col min="5366" max="5366" width="28" style="323" customWidth="1"/>
    <col min="5367" max="5368" width="29.875" style="323" customWidth="1"/>
    <col min="5369" max="5369" width="19.125" style="323" customWidth="1"/>
    <col min="5370" max="5370" width="14.375" style="323" customWidth="1"/>
    <col min="5371" max="5371" width="13.375" style="323" customWidth="1"/>
    <col min="5372" max="5372" width="14.125" style="323" customWidth="1"/>
    <col min="5373" max="5373" width="15.875" style="323" customWidth="1"/>
    <col min="5374" max="5374" width="21.375" style="323" customWidth="1"/>
    <col min="5375" max="5375" width="10.875" style="323" customWidth="1"/>
    <col min="5376" max="5378" width="25.875" style="323" customWidth="1"/>
    <col min="5379" max="5383" width="30" style="323" customWidth="1"/>
    <col min="5384" max="5384" width="14.125" style="323" customWidth="1"/>
    <col min="5385" max="5618" width="9.125" style="323"/>
    <col min="5619" max="5619" width="10.125" style="323" customWidth="1"/>
    <col min="5620" max="5620" width="42.125" style="323" customWidth="1"/>
    <col min="5621" max="5621" width="9.375" style="323" customWidth="1"/>
    <col min="5622" max="5622" width="28" style="323" customWidth="1"/>
    <col min="5623" max="5624" width="29.875" style="323" customWidth="1"/>
    <col min="5625" max="5625" width="19.125" style="323" customWidth="1"/>
    <col min="5626" max="5626" width="14.375" style="323" customWidth="1"/>
    <col min="5627" max="5627" width="13.375" style="323" customWidth="1"/>
    <col min="5628" max="5628" width="14.125" style="323" customWidth="1"/>
    <col min="5629" max="5629" width="15.875" style="323" customWidth="1"/>
    <col min="5630" max="5630" width="21.375" style="323" customWidth="1"/>
    <col min="5631" max="5631" width="10.875" style="323" customWidth="1"/>
    <col min="5632" max="5634" width="25.875" style="323" customWidth="1"/>
    <col min="5635" max="5639" width="30" style="323" customWidth="1"/>
    <col min="5640" max="5640" width="14.125" style="323" customWidth="1"/>
    <col min="5641" max="5874" width="9.125" style="323"/>
    <col min="5875" max="5875" width="10.125" style="323" customWidth="1"/>
    <col min="5876" max="5876" width="42.125" style="323" customWidth="1"/>
    <col min="5877" max="5877" width="9.375" style="323" customWidth="1"/>
    <col min="5878" max="5878" width="28" style="323" customWidth="1"/>
    <col min="5879" max="5880" width="29.875" style="323" customWidth="1"/>
    <col min="5881" max="5881" width="19.125" style="323" customWidth="1"/>
    <col min="5882" max="5882" width="14.375" style="323" customWidth="1"/>
    <col min="5883" max="5883" width="13.375" style="323" customWidth="1"/>
    <col min="5884" max="5884" width="14.125" style="323" customWidth="1"/>
    <col min="5885" max="5885" width="15.875" style="323" customWidth="1"/>
    <col min="5886" max="5886" width="21.375" style="323" customWidth="1"/>
    <col min="5887" max="5887" width="10.875" style="323" customWidth="1"/>
    <col min="5888" max="5890" width="25.875" style="323" customWidth="1"/>
    <col min="5891" max="5895" width="30" style="323" customWidth="1"/>
    <col min="5896" max="5896" width="14.125" style="323" customWidth="1"/>
    <col min="5897" max="6130" width="9.125" style="323"/>
    <col min="6131" max="6131" width="10.125" style="323" customWidth="1"/>
    <col min="6132" max="6132" width="42.125" style="323" customWidth="1"/>
    <col min="6133" max="6133" width="9.375" style="323" customWidth="1"/>
    <col min="6134" max="6134" width="28" style="323" customWidth="1"/>
    <col min="6135" max="6136" width="29.875" style="323" customWidth="1"/>
    <col min="6137" max="6137" width="19.125" style="323" customWidth="1"/>
    <col min="6138" max="6138" width="14.375" style="323" customWidth="1"/>
    <col min="6139" max="6139" width="13.375" style="323" customWidth="1"/>
    <col min="6140" max="6140" width="14.125" style="323" customWidth="1"/>
    <col min="6141" max="6141" width="15.875" style="323" customWidth="1"/>
    <col min="6142" max="6142" width="21.375" style="323" customWidth="1"/>
    <col min="6143" max="6143" width="10.875" style="323" customWidth="1"/>
    <col min="6144" max="6146" width="25.875" style="323" customWidth="1"/>
    <col min="6147" max="6151" width="30" style="323" customWidth="1"/>
    <col min="6152" max="6152" width="14.125" style="323" customWidth="1"/>
    <col min="6153" max="6386" width="9.125" style="323"/>
    <col min="6387" max="6387" width="10.125" style="323" customWidth="1"/>
    <col min="6388" max="6388" width="42.125" style="323" customWidth="1"/>
    <col min="6389" max="6389" width="9.375" style="323" customWidth="1"/>
    <col min="6390" max="6390" width="28" style="323" customWidth="1"/>
    <col min="6391" max="6392" width="29.875" style="323" customWidth="1"/>
    <col min="6393" max="6393" width="19.125" style="323" customWidth="1"/>
    <col min="6394" max="6394" width="14.375" style="323" customWidth="1"/>
    <col min="6395" max="6395" width="13.375" style="323" customWidth="1"/>
    <col min="6396" max="6396" width="14.125" style="323" customWidth="1"/>
    <col min="6397" max="6397" width="15.875" style="323" customWidth="1"/>
    <col min="6398" max="6398" width="21.375" style="323" customWidth="1"/>
    <col min="6399" max="6399" width="10.875" style="323" customWidth="1"/>
    <col min="6400" max="6402" width="25.875" style="323" customWidth="1"/>
    <col min="6403" max="6407" width="30" style="323" customWidth="1"/>
    <col min="6408" max="6408" width="14.125" style="323" customWidth="1"/>
    <col min="6409" max="6642" width="9.125" style="323"/>
    <col min="6643" max="6643" width="10.125" style="323" customWidth="1"/>
    <col min="6644" max="6644" width="42.125" style="323" customWidth="1"/>
    <col min="6645" max="6645" width="9.375" style="323" customWidth="1"/>
    <col min="6646" max="6646" width="28" style="323" customWidth="1"/>
    <col min="6647" max="6648" width="29.875" style="323" customWidth="1"/>
    <col min="6649" max="6649" width="19.125" style="323" customWidth="1"/>
    <col min="6650" max="6650" width="14.375" style="323" customWidth="1"/>
    <col min="6651" max="6651" width="13.375" style="323" customWidth="1"/>
    <col min="6652" max="6652" width="14.125" style="323" customWidth="1"/>
    <col min="6653" max="6653" width="15.875" style="323" customWidth="1"/>
    <col min="6654" max="6654" width="21.375" style="323" customWidth="1"/>
    <col min="6655" max="6655" width="10.875" style="323" customWidth="1"/>
    <col min="6656" max="6658" width="25.875" style="323" customWidth="1"/>
    <col min="6659" max="6663" width="30" style="323" customWidth="1"/>
    <col min="6664" max="6664" width="14.125" style="323" customWidth="1"/>
    <col min="6665" max="6898" width="9.125" style="323"/>
    <col min="6899" max="6899" width="10.125" style="323" customWidth="1"/>
    <col min="6900" max="6900" width="42.125" style="323" customWidth="1"/>
    <col min="6901" max="6901" width="9.375" style="323" customWidth="1"/>
    <col min="6902" max="6902" width="28" style="323" customWidth="1"/>
    <col min="6903" max="6904" width="29.875" style="323" customWidth="1"/>
    <col min="6905" max="6905" width="19.125" style="323" customWidth="1"/>
    <col min="6906" max="6906" width="14.375" style="323" customWidth="1"/>
    <col min="6907" max="6907" width="13.375" style="323" customWidth="1"/>
    <col min="6908" max="6908" width="14.125" style="323" customWidth="1"/>
    <col min="6909" max="6909" width="15.875" style="323" customWidth="1"/>
    <col min="6910" max="6910" width="21.375" style="323" customWidth="1"/>
    <col min="6911" max="6911" width="10.875" style="323" customWidth="1"/>
    <col min="6912" max="6914" width="25.875" style="323" customWidth="1"/>
    <col min="6915" max="6919" width="30" style="323" customWidth="1"/>
    <col min="6920" max="6920" width="14.125" style="323" customWidth="1"/>
    <col min="6921" max="7154" width="9.125" style="323"/>
    <col min="7155" max="7155" width="10.125" style="323" customWidth="1"/>
    <col min="7156" max="7156" width="42.125" style="323" customWidth="1"/>
    <col min="7157" max="7157" width="9.375" style="323" customWidth="1"/>
    <col min="7158" max="7158" width="28" style="323" customWidth="1"/>
    <col min="7159" max="7160" width="29.875" style="323" customWidth="1"/>
    <col min="7161" max="7161" width="19.125" style="323" customWidth="1"/>
    <col min="7162" max="7162" width="14.375" style="323" customWidth="1"/>
    <col min="7163" max="7163" width="13.375" style="323" customWidth="1"/>
    <col min="7164" max="7164" width="14.125" style="323" customWidth="1"/>
    <col min="7165" max="7165" width="15.875" style="323" customWidth="1"/>
    <col min="7166" max="7166" width="21.375" style="323" customWidth="1"/>
    <col min="7167" max="7167" width="10.875" style="323" customWidth="1"/>
    <col min="7168" max="7170" width="25.875" style="323" customWidth="1"/>
    <col min="7171" max="7175" width="30" style="323" customWidth="1"/>
    <col min="7176" max="7176" width="14.125" style="323" customWidth="1"/>
    <col min="7177" max="7410" width="9.125" style="323"/>
    <col min="7411" max="7411" width="10.125" style="323" customWidth="1"/>
    <col min="7412" max="7412" width="42.125" style="323" customWidth="1"/>
    <col min="7413" max="7413" width="9.375" style="323" customWidth="1"/>
    <col min="7414" max="7414" width="28" style="323" customWidth="1"/>
    <col min="7415" max="7416" width="29.875" style="323" customWidth="1"/>
    <col min="7417" max="7417" width="19.125" style="323" customWidth="1"/>
    <col min="7418" max="7418" width="14.375" style="323" customWidth="1"/>
    <col min="7419" max="7419" width="13.375" style="323" customWidth="1"/>
    <col min="7420" max="7420" width="14.125" style="323" customWidth="1"/>
    <col min="7421" max="7421" width="15.875" style="323" customWidth="1"/>
    <col min="7422" max="7422" width="21.375" style="323" customWidth="1"/>
    <col min="7423" max="7423" width="10.875" style="323" customWidth="1"/>
    <col min="7424" max="7426" width="25.875" style="323" customWidth="1"/>
    <col min="7427" max="7431" width="30" style="323" customWidth="1"/>
    <col min="7432" max="7432" width="14.125" style="323" customWidth="1"/>
    <col min="7433" max="7666" width="9.125" style="323"/>
    <col min="7667" max="7667" width="10.125" style="323" customWidth="1"/>
    <col min="7668" max="7668" width="42.125" style="323" customWidth="1"/>
    <col min="7669" max="7669" width="9.375" style="323" customWidth="1"/>
    <col min="7670" max="7670" width="28" style="323" customWidth="1"/>
    <col min="7671" max="7672" width="29.875" style="323" customWidth="1"/>
    <col min="7673" max="7673" width="19.125" style="323" customWidth="1"/>
    <col min="7674" max="7674" width="14.375" style="323" customWidth="1"/>
    <col min="7675" max="7675" width="13.375" style="323" customWidth="1"/>
    <col min="7676" max="7676" width="14.125" style="323" customWidth="1"/>
    <col min="7677" max="7677" width="15.875" style="323" customWidth="1"/>
    <col min="7678" max="7678" width="21.375" style="323" customWidth="1"/>
    <col min="7679" max="7679" width="10.875" style="323" customWidth="1"/>
    <col min="7680" max="7682" width="25.875" style="323" customWidth="1"/>
    <col min="7683" max="7687" width="30" style="323" customWidth="1"/>
    <col min="7688" max="7688" width="14.125" style="323" customWidth="1"/>
    <col min="7689" max="7922" width="9.125" style="323"/>
    <col min="7923" max="7923" width="10.125" style="323" customWidth="1"/>
    <col min="7924" max="7924" width="42.125" style="323" customWidth="1"/>
    <col min="7925" max="7925" width="9.375" style="323" customWidth="1"/>
    <col min="7926" max="7926" width="28" style="323" customWidth="1"/>
    <col min="7927" max="7928" width="29.875" style="323" customWidth="1"/>
    <col min="7929" max="7929" width="19.125" style="323" customWidth="1"/>
    <col min="7930" max="7930" width="14.375" style="323" customWidth="1"/>
    <col min="7931" max="7931" width="13.375" style="323" customWidth="1"/>
    <col min="7932" max="7932" width="14.125" style="323" customWidth="1"/>
    <col min="7933" max="7933" width="15.875" style="323" customWidth="1"/>
    <col min="7934" max="7934" width="21.375" style="323" customWidth="1"/>
    <col min="7935" max="7935" width="10.875" style="323" customWidth="1"/>
    <col min="7936" max="7938" width="25.875" style="323" customWidth="1"/>
    <col min="7939" max="7943" width="30" style="323" customWidth="1"/>
    <col min="7944" max="7944" width="14.125" style="323" customWidth="1"/>
    <col min="7945" max="8178" width="9.125" style="323"/>
    <col min="8179" max="8179" width="10.125" style="323" customWidth="1"/>
    <col min="8180" max="8180" width="42.125" style="323" customWidth="1"/>
    <col min="8181" max="8181" width="9.375" style="323" customWidth="1"/>
    <col min="8182" max="8182" width="28" style="323" customWidth="1"/>
    <col min="8183" max="8184" width="29.875" style="323" customWidth="1"/>
    <col min="8185" max="8185" width="19.125" style="323" customWidth="1"/>
    <col min="8186" max="8186" width="14.375" style="323" customWidth="1"/>
    <col min="8187" max="8187" width="13.375" style="323" customWidth="1"/>
    <col min="8188" max="8188" width="14.125" style="323" customWidth="1"/>
    <col min="8189" max="8189" width="15.875" style="323" customWidth="1"/>
    <col min="8190" max="8190" width="21.375" style="323" customWidth="1"/>
    <col min="8191" max="8191" width="10.875" style="323" customWidth="1"/>
    <col min="8192" max="8194" width="25.875" style="323" customWidth="1"/>
    <col min="8195" max="8199" width="30" style="323" customWidth="1"/>
    <col min="8200" max="8200" width="14.125" style="323" customWidth="1"/>
    <col min="8201" max="8434" width="9.125" style="323"/>
    <col min="8435" max="8435" width="10.125" style="323" customWidth="1"/>
    <col min="8436" max="8436" width="42.125" style="323" customWidth="1"/>
    <col min="8437" max="8437" width="9.375" style="323" customWidth="1"/>
    <col min="8438" max="8438" width="28" style="323" customWidth="1"/>
    <col min="8439" max="8440" width="29.875" style="323" customWidth="1"/>
    <col min="8441" max="8441" width="19.125" style="323" customWidth="1"/>
    <col min="8442" max="8442" width="14.375" style="323" customWidth="1"/>
    <col min="8443" max="8443" width="13.375" style="323" customWidth="1"/>
    <col min="8444" max="8444" width="14.125" style="323" customWidth="1"/>
    <col min="8445" max="8445" width="15.875" style="323" customWidth="1"/>
    <col min="8446" max="8446" width="21.375" style="323" customWidth="1"/>
    <col min="8447" max="8447" width="10.875" style="323" customWidth="1"/>
    <col min="8448" max="8450" width="25.875" style="323" customWidth="1"/>
    <col min="8451" max="8455" width="30" style="323" customWidth="1"/>
    <col min="8456" max="8456" width="14.125" style="323" customWidth="1"/>
    <col min="8457" max="8690" width="9.125" style="323"/>
    <col min="8691" max="8691" width="10.125" style="323" customWidth="1"/>
    <col min="8692" max="8692" width="42.125" style="323" customWidth="1"/>
    <col min="8693" max="8693" width="9.375" style="323" customWidth="1"/>
    <col min="8694" max="8694" width="28" style="323" customWidth="1"/>
    <col min="8695" max="8696" width="29.875" style="323" customWidth="1"/>
    <col min="8697" max="8697" width="19.125" style="323" customWidth="1"/>
    <col min="8698" max="8698" width="14.375" style="323" customWidth="1"/>
    <col min="8699" max="8699" width="13.375" style="323" customWidth="1"/>
    <col min="8700" max="8700" width="14.125" style="323" customWidth="1"/>
    <col min="8701" max="8701" width="15.875" style="323" customWidth="1"/>
    <col min="8702" max="8702" width="21.375" style="323" customWidth="1"/>
    <col min="8703" max="8703" width="10.875" style="323" customWidth="1"/>
    <col min="8704" max="8706" width="25.875" style="323" customWidth="1"/>
    <col min="8707" max="8711" width="30" style="323" customWidth="1"/>
    <col min="8712" max="8712" width="14.125" style="323" customWidth="1"/>
    <col min="8713" max="8946" width="9.125" style="323"/>
    <col min="8947" max="8947" width="10.125" style="323" customWidth="1"/>
    <col min="8948" max="8948" width="42.125" style="323" customWidth="1"/>
    <col min="8949" max="8949" width="9.375" style="323" customWidth="1"/>
    <col min="8950" max="8950" width="28" style="323" customWidth="1"/>
    <col min="8951" max="8952" width="29.875" style="323" customWidth="1"/>
    <col min="8953" max="8953" width="19.125" style="323" customWidth="1"/>
    <col min="8954" max="8954" width="14.375" style="323" customWidth="1"/>
    <col min="8955" max="8955" width="13.375" style="323" customWidth="1"/>
    <col min="8956" max="8956" width="14.125" style="323" customWidth="1"/>
    <col min="8957" max="8957" width="15.875" style="323" customWidth="1"/>
    <col min="8958" max="8958" width="21.375" style="323" customWidth="1"/>
    <col min="8959" max="8959" width="10.875" style="323" customWidth="1"/>
    <col min="8960" max="8962" width="25.875" style="323" customWidth="1"/>
    <col min="8963" max="8967" width="30" style="323" customWidth="1"/>
    <col min="8968" max="8968" width="14.125" style="323" customWidth="1"/>
    <col min="8969" max="9202" width="9.125" style="323"/>
    <col min="9203" max="9203" width="10.125" style="323" customWidth="1"/>
    <col min="9204" max="9204" width="42.125" style="323" customWidth="1"/>
    <col min="9205" max="9205" width="9.375" style="323" customWidth="1"/>
    <col min="9206" max="9206" width="28" style="323" customWidth="1"/>
    <col min="9207" max="9208" width="29.875" style="323" customWidth="1"/>
    <col min="9209" max="9209" width="19.125" style="323" customWidth="1"/>
    <col min="9210" max="9210" width="14.375" style="323" customWidth="1"/>
    <col min="9211" max="9211" width="13.375" style="323" customWidth="1"/>
    <col min="9212" max="9212" width="14.125" style="323" customWidth="1"/>
    <col min="9213" max="9213" width="15.875" style="323" customWidth="1"/>
    <col min="9214" max="9214" width="21.375" style="323" customWidth="1"/>
    <col min="9215" max="9215" width="10.875" style="323" customWidth="1"/>
    <col min="9216" max="9218" width="25.875" style="323" customWidth="1"/>
    <col min="9219" max="9223" width="30" style="323" customWidth="1"/>
    <col min="9224" max="9224" width="14.125" style="323" customWidth="1"/>
    <col min="9225" max="9458" width="9.125" style="323"/>
    <col min="9459" max="9459" width="10.125" style="323" customWidth="1"/>
    <col min="9460" max="9460" width="42.125" style="323" customWidth="1"/>
    <col min="9461" max="9461" width="9.375" style="323" customWidth="1"/>
    <col min="9462" max="9462" width="28" style="323" customWidth="1"/>
    <col min="9463" max="9464" width="29.875" style="323" customWidth="1"/>
    <col min="9465" max="9465" width="19.125" style="323" customWidth="1"/>
    <col min="9466" max="9466" width="14.375" style="323" customWidth="1"/>
    <col min="9467" max="9467" width="13.375" style="323" customWidth="1"/>
    <col min="9468" max="9468" width="14.125" style="323" customWidth="1"/>
    <col min="9469" max="9469" width="15.875" style="323" customWidth="1"/>
    <col min="9470" max="9470" width="21.375" style="323" customWidth="1"/>
    <col min="9471" max="9471" width="10.875" style="323" customWidth="1"/>
    <col min="9472" max="9474" width="25.875" style="323" customWidth="1"/>
    <col min="9475" max="9479" width="30" style="323" customWidth="1"/>
    <col min="9480" max="9480" width="14.125" style="323" customWidth="1"/>
    <col min="9481" max="9714" width="9.125" style="323"/>
    <col min="9715" max="9715" width="10.125" style="323" customWidth="1"/>
    <col min="9716" max="9716" width="42.125" style="323" customWidth="1"/>
    <col min="9717" max="9717" width="9.375" style="323" customWidth="1"/>
    <col min="9718" max="9718" width="28" style="323" customWidth="1"/>
    <col min="9719" max="9720" width="29.875" style="323" customWidth="1"/>
    <col min="9721" max="9721" width="19.125" style="323" customWidth="1"/>
    <col min="9722" max="9722" width="14.375" style="323" customWidth="1"/>
    <col min="9723" max="9723" width="13.375" style="323" customWidth="1"/>
    <col min="9724" max="9724" width="14.125" style="323" customWidth="1"/>
    <col min="9725" max="9725" width="15.875" style="323" customWidth="1"/>
    <col min="9726" max="9726" width="21.375" style="323" customWidth="1"/>
    <col min="9727" max="9727" width="10.875" style="323" customWidth="1"/>
    <col min="9728" max="9730" width="25.875" style="323" customWidth="1"/>
    <col min="9731" max="9735" width="30" style="323" customWidth="1"/>
    <col min="9736" max="9736" width="14.125" style="323" customWidth="1"/>
    <col min="9737" max="9970" width="9.125" style="323"/>
    <col min="9971" max="9971" width="10.125" style="323" customWidth="1"/>
    <col min="9972" max="9972" width="42.125" style="323" customWidth="1"/>
    <col min="9973" max="9973" width="9.375" style="323" customWidth="1"/>
    <col min="9974" max="9974" width="28" style="323" customWidth="1"/>
    <col min="9975" max="9976" width="29.875" style="323" customWidth="1"/>
    <col min="9977" max="9977" width="19.125" style="323" customWidth="1"/>
    <col min="9978" max="9978" width="14.375" style="323" customWidth="1"/>
    <col min="9979" max="9979" width="13.375" style="323" customWidth="1"/>
    <col min="9980" max="9980" width="14.125" style="323" customWidth="1"/>
    <col min="9981" max="9981" width="15.875" style="323" customWidth="1"/>
    <col min="9982" max="9982" width="21.375" style="323" customWidth="1"/>
    <col min="9983" max="9983" width="10.875" style="323" customWidth="1"/>
    <col min="9984" max="9986" width="25.875" style="323" customWidth="1"/>
    <col min="9987" max="9991" width="30" style="323" customWidth="1"/>
    <col min="9992" max="9992" width="14.125" style="323" customWidth="1"/>
    <col min="9993" max="10226" width="9.125" style="323"/>
    <col min="10227" max="10227" width="10.125" style="323" customWidth="1"/>
    <col min="10228" max="10228" width="42.125" style="323" customWidth="1"/>
    <col min="10229" max="10229" width="9.375" style="323" customWidth="1"/>
    <col min="10230" max="10230" width="28" style="323" customWidth="1"/>
    <col min="10231" max="10232" width="29.875" style="323" customWidth="1"/>
    <col min="10233" max="10233" width="19.125" style="323" customWidth="1"/>
    <col min="10234" max="10234" width="14.375" style="323" customWidth="1"/>
    <col min="10235" max="10235" width="13.375" style="323" customWidth="1"/>
    <col min="10236" max="10236" width="14.125" style="323" customWidth="1"/>
    <col min="10237" max="10237" width="15.875" style="323" customWidth="1"/>
    <col min="10238" max="10238" width="21.375" style="323" customWidth="1"/>
    <col min="10239" max="10239" width="10.875" style="323" customWidth="1"/>
    <col min="10240" max="10242" width="25.875" style="323" customWidth="1"/>
    <col min="10243" max="10247" width="30" style="323" customWidth="1"/>
    <col min="10248" max="10248" width="14.125" style="323" customWidth="1"/>
    <col min="10249" max="10482" width="9.125" style="323"/>
    <col min="10483" max="10483" width="10.125" style="323" customWidth="1"/>
    <col min="10484" max="10484" width="42.125" style="323" customWidth="1"/>
    <col min="10485" max="10485" width="9.375" style="323" customWidth="1"/>
    <col min="10486" max="10486" width="28" style="323" customWidth="1"/>
    <col min="10487" max="10488" width="29.875" style="323" customWidth="1"/>
    <col min="10489" max="10489" width="19.125" style="323" customWidth="1"/>
    <col min="10490" max="10490" width="14.375" style="323" customWidth="1"/>
    <col min="10491" max="10491" width="13.375" style="323" customWidth="1"/>
    <col min="10492" max="10492" width="14.125" style="323" customWidth="1"/>
    <col min="10493" max="10493" width="15.875" style="323" customWidth="1"/>
    <col min="10494" max="10494" width="21.375" style="323" customWidth="1"/>
    <col min="10495" max="10495" width="10.875" style="323" customWidth="1"/>
    <col min="10496" max="10498" width="25.875" style="323" customWidth="1"/>
    <col min="10499" max="10503" width="30" style="323" customWidth="1"/>
    <col min="10504" max="10504" width="14.125" style="323" customWidth="1"/>
    <col min="10505" max="10738" width="9.125" style="323"/>
    <col min="10739" max="10739" width="10.125" style="323" customWidth="1"/>
    <col min="10740" max="10740" width="42.125" style="323" customWidth="1"/>
    <col min="10741" max="10741" width="9.375" style="323" customWidth="1"/>
    <col min="10742" max="10742" width="28" style="323" customWidth="1"/>
    <col min="10743" max="10744" width="29.875" style="323" customWidth="1"/>
    <col min="10745" max="10745" width="19.125" style="323" customWidth="1"/>
    <col min="10746" max="10746" width="14.375" style="323" customWidth="1"/>
    <col min="10747" max="10747" width="13.375" style="323" customWidth="1"/>
    <col min="10748" max="10748" width="14.125" style="323" customWidth="1"/>
    <col min="10749" max="10749" width="15.875" style="323" customWidth="1"/>
    <col min="10750" max="10750" width="21.375" style="323" customWidth="1"/>
    <col min="10751" max="10751" width="10.875" style="323" customWidth="1"/>
    <col min="10752" max="10754" width="25.875" style="323" customWidth="1"/>
    <col min="10755" max="10759" width="30" style="323" customWidth="1"/>
    <col min="10760" max="10760" width="14.125" style="323" customWidth="1"/>
    <col min="10761" max="10994" width="9.125" style="323"/>
    <col min="10995" max="10995" width="10.125" style="323" customWidth="1"/>
    <col min="10996" max="10996" width="42.125" style="323" customWidth="1"/>
    <col min="10997" max="10997" width="9.375" style="323" customWidth="1"/>
    <col min="10998" max="10998" width="28" style="323" customWidth="1"/>
    <col min="10999" max="11000" width="29.875" style="323" customWidth="1"/>
    <col min="11001" max="11001" width="19.125" style="323" customWidth="1"/>
    <col min="11002" max="11002" width="14.375" style="323" customWidth="1"/>
    <col min="11003" max="11003" width="13.375" style="323" customWidth="1"/>
    <col min="11004" max="11004" width="14.125" style="323" customWidth="1"/>
    <col min="11005" max="11005" width="15.875" style="323" customWidth="1"/>
    <col min="11006" max="11006" width="21.375" style="323" customWidth="1"/>
    <col min="11007" max="11007" width="10.875" style="323" customWidth="1"/>
    <col min="11008" max="11010" width="25.875" style="323" customWidth="1"/>
    <col min="11011" max="11015" width="30" style="323" customWidth="1"/>
    <col min="11016" max="11016" width="14.125" style="323" customWidth="1"/>
    <col min="11017" max="11250" width="9.125" style="323"/>
    <col min="11251" max="11251" width="10.125" style="323" customWidth="1"/>
    <col min="11252" max="11252" width="42.125" style="323" customWidth="1"/>
    <col min="11253" max="11253" width="9.375" style="323" customWidth="1"/>
    <col min="11254" max="11254" width="28" style="323" customWidth="1"/>
    <col min="11255" max="11256" width="29.875" style="323" customWidth="1"/>
    <col min="11257" max="11257" width="19.125" style="323" customWidth="1"/>
    <col min="11258" max="11258" width="14.375" style="323" customWidth="1"/>
    <col min="11259" max="11259" width="13.375" style="323" customWidth="1"/>
    <col min="11260" max="11260" width="14.125" style="323" customWidth="1"/>
    <col min="11261" max="11261" width="15.875" style="323" customWidth="1"/>
    <col min="11262" max="11262" width="21.375" style="323" customWidth="1"/>
    <col min="11263" max="11263" width="10.875" style="323" customWidth="1"/>
    <col min="11264" max="11266" width="25.875" style="323" customWidth="1"/>
    <col min="11267" max="11271" width="30" style="323" customWidth="1"/>
    <col min="11272" max="11272" width="14.125" style="323" customWidth="1"/>
    <col min="11273" max="11506" width="9.125" style="323"/>
    <col min="11507" max="11507" width="10.125" style="323" customWidth="1"/>
    <col min="11508" max="11508" width="42.125" style="323" customWidth="1"/>
    <col min="11509" max="11509" width="9.375" style="323" customWidth="1"/>
    <col min="11510" max="11510" width="28" style="323" customWidth="1"/>
    <col min="11511" max="11512" width="29.875" style="323" customWidth="1"/>
    <col min="11513" max="11513" width="19.125" style="323" customWidth="1"/>
    <col min="11514" max="11514" width="14.375" style="323" customWidth="1"/>
    <col min="11515" max="11515" width="13.375" style="323" customWidth="1"/>
    <col min="11516" max="11516" width="14.125" style="323" customWidth="1"/>
    <col min="11517" max="11517" width="15.875" style="323" customWidth="1"/>
    <col min="11518" max="11518" width="21.375" style="323" customWidth="1"/>
    <col min="11519" max="11519" width="10.875" style="323" customWidth="1"/>
    <col min="11520" max="11522" width="25.875" style="323" customWidth="1"/>
    <col min="11523" max="11527" width="30" style="323" customWidth="1"/>
    <col min="11528" max="11528" width="14.125" style="323" customWidth="1"/>
    <col min="11529" max="11762" width="9.125" style="323"/>
    <col min="11763" max="11763" width="10.125" style="323" customWidth="1"/>
    <col min="11764" max="11764" width="42.125" style="323" customWidth="1"/>
    <col min="11765" max="11765" width="9.375" style="323" customWidth="1"/>
    <col min="11766" max="11766" width="28" style="323" customWidth="1"/>
    <col min="11767" max="11768" width="29.875" style="323" customWidth="1"/>
    <col min="11769" max="11769" width="19.125" style="323" customWidth="1"/>
    <col min="11770" max="11770" width="14.375" style="323" customWidth="1"/>
    <col min="11771" max="11771" width="13.375" style="323" customWidth="1"/>
    <col min="11772" max="11772" width="14.125" style="323" customWidth="1"/>
    <col min="11773" max="11773" width="15.875" style="323" customWidth="1"/>
    <col min="11774" max="11774" width="21.375" style="323" customWidth="1"/>
    <col min="11775" max="11775" width="10.875" style="323" customWidth="1"/>
    <col min="11776" max="11778" width="25.875" style="323" customWidth="1"/>
    <col min="11779" max="11783" width="30" style="323" customWidth="1"/>
    <col min="11784" max="11784" width="14.125" style="323" customWidth="1"/>
    <col min="11785" max="12018" width="9.125" style="323"/>
    <col min="12019" max="12019" width="10.125" style="323" customWidth="1"/>
    <col min="12020" max="12020" width="42.125" style="323" customWidth="1"/>
    <col min="12021" max="12021" width="9.375" style="323" customWidth="1"/>
    <col min="12022" max="12022" width="28" style="323" customWidth="1"/>
    <col min="12023" max="12024" width="29.875" style="323" customWidth="1"/>
    <col min="12025" max="12025" width="19.125" style="323" customWidth="1"/>
    <col min="12026" max="12026" width="14.375" style="323" customWidth="1"/>
    <col min="12027" max="12027" width="13.375" style="323" customWidth="1"/>
    <col min="12028" max="12028" width="14.125" style="323" customWidth="1"/>
    <col min="12029" max="12029" width="15.875" style="323" customWidth="1"/>
    <col min="12030" max="12030" width="21.375" style="323" customWidth="1"/>
    <col min="12031" max="12031" width="10.875" style="323" customWidth="1"/>
    <col min="12032" max="12034" width="25.875" style="323" customWidth="1"/>
    <col min="12035" max="12039" width="30" style="323" customWidth="1"/>
    <col min="12040" max="12040" width="14.125" style="323" customWidth="1"/>
    <col min="12041" max="12274" width="9.125" style="323"/>
    <col min="12275" max="12275" width="10.125" style="323" customWidth="1"/>
    <col min="12276" max="12276" width="42.125" style="323" customWidth="1"/>
    <col min="12277" max="12277" width="9.375" style="323" customWidth="1"/>
    <col min="12278" max="12278" width="28" style="323" customWidth="1"/>
    <col min="12279" max="12280" width="29.875" style="323" customWidth="1"/>
    <col min="12281" max="12281" width="19.125" style="323" customWidth="1"/>
    <col min="12282" max="12282" width="14.375" style="323" customWidth="1"/>
    <col min="12283" max="12283" width="13.375" style="323" customWidth="1"/>
    <col min="12284" max="12284" width="14.125" style="323" customWidth="1"/>
    <col min="12285" max="12285" width="15.875" style="323" customWidth="1"/>
    <col min="12286" max="12286" width="21.375" style="323" customWidth="1"/>
    <col min="12287" max="12287" width="10.875" style="323" customWidth="1"/>
    <col min="12288" max="12290" width="25.875" style="323" customWidth="1"/>
    <col min="12291" max="12295" width="30" style="323" customWidth="1"/>
    <col min="12296" max="12296" width="14.125" style="323" customWidth="1"/>
    <col min="12297" max="12530" width="9.125" style="323"/>
    <col min="12531" max="12531" width="10.125" style="323" customWidth="1"/>
    <col min="12532" max="12532" width="42.125" style="323" customWidth="1"/>
    <col min="12533" max="12533" width="9.375" style="323" customWidth="1"/>
    <col min="12534" max="12534" width="28" style="323" customWidth="1"/>
    <col min="12535" max="12536" width="29.875" style="323" customWidth="1"/>
    <col min="12537" max="12537" width="19.125" style="323" customWidth="1"/>
    <col min="12538" max="12538" width="14.375" style="323" customWidth="1"/>
    <col min="12539" max="12539" width="13.375" style="323" customWidth="1"/>
    <col min="12540" max="12540" width="14.125" style="323" customWidth="1"/>
    <col min="12541" max="12541" width="15.875" style="323" customWidth="1"/>
    <col min="12542" max="12542" width="21.375" style="323" customWidth="1"/>
    <col min="12543" max="12543" width="10.875" style="323" customWidth="1"/>
    <col min="12544" max="12546" width="25.875" style="323" customWidth="1"/>
    <col min="12547" max="12551" width="30" style="323" customWidth="1"/>
    <col min="12552" max="12552" width="14.125" style="323" customWidth="1"/>
    <col min="12553" max="12786" width="9.125" style="323"/>
    <col min="12787" max="12787" width="10.125" style="323" customWidth="1"/>
    <col min="12788" max="12788" width="42.125" style="323" customWidth="1"/>
    <col min="12789" max="12789" width="9.375" style="323" customWidth="1"/>
    <col min="12790" max="12790" width="28" style="323" customWidth="1"/>
    <col min="12791" max="12792" width="29.875" style="323" customWidth="1"/>
    <col min="12793" max="12793" width="19.125" style="323" customWidth="1"/>
    <col min="12794" max="12794" width="14.375" style="323" customWidth="1"/>
    <col min="12795" max="12795" width="13.375" style="323" customWidth="1"/>
    <col min="12796" max="12796" width="14.125" style="323" customWidth="1"/>
    <col min="12797" max="12797" width="15.875" style="323" customWidth="1"/>
    <col min="12798" max="12798" width="21.375" style="323" customWidth="1"/>
    <col min="12799" max="12799" width="10.875" style="323" customWidth="1"/>
    <col min="12800" max="12802" width="25.875" style="323" customWidth="1"/>
    <col min="12803" max="12807" width="30" style="323" customWidth="1"/>
    <col min="12808" max="12808" width="14.125" style="323" customWidth="1"/>
    <col min="12809" max="13042" width="9.125" style="323"/>
    <col min="13043" max="13043" width="10.125" style="323" customWidth="1"/>
    <col min="13044" max="13044" width="42.125" style="323" customWidth="1"/>
    <col min="13045" max="13045" width="9.375" style="323" customWidth="1"/>
    <col min="13046" max="13046" width="28" style="323" customWidth="1"/>
    <col min="13047" max="13048" width="29.875" style="323" customWidth="1"/>
    <col min="13049" max="13049" width="19.125" style="323" customWidth="1"/>
    <col min="13050" max="13050" width="14.375" style="323" customWidth="1"/>
    <col min="13051" max="13051" width="13.375" style="323" customWidth="1"/>
    <col min="13052" max="13052" width="14.125" style="323" customWidth="1"/>
    <col min="13053" max="13053" width="15.875" style="323" customWidth="1"/>
    <col min="13054" max="13054" width="21.375" style="323" customWidth="1"/>
    <col min="13055" max="13055" width="10.875" style="323" customWidth="1"/>
    <col min="13056" max="13058" width="25.875" style="323" customWidth="1"/>
    <col min="13059" max="13063" width="30" style="323" customWidth="1"/>
    <col min="13064" max="13064" width="14.125" style="323" customWidth="1"/>
    <col min="13065" max="13298" width="9.125" style="323"/>
    <col min="13299" max="13299" width="10.125" style="323" customWidth="1"/>
    <col min="13300" max="13300" width="42.125" style="323" customWidth="1"/>
    <col min="13301" max="13301" width="9.375" style="323" customWidth="1"/>
    <col min="13302" max="13302" width="28" style="323" customWidth="1"/>
    <col min="13303" max="13304" width="29.875" style="323" customWidth="1"/>
    <col min="13305" max="13305" width="19.125" style="323" customWidth="1"/>
    <col min="13306" max="13306" width="14.375" style="323" customWidth="1"/>
    <col min="13307" max="13307" width="13.375" style="323" customWidth="1"/>
    <col min="13308" max="13308" width="14.125" style="323" customWidth="1"/>
    <col min="13309" max="13309" width="15.875" style="323" customWidth="1"/>
    <col min="13310" max="13310" width="21.375" style="323" customWidth="1"/>
    <col min="13311" max="13311" width="10.875" style="323" customWidth="1"/>
    <col min="13312" max="13314" width="25.875" style="323" customWidth="1"/>
    <col min="13315" max="13319" width="30" style="323" customWidth="1"/>
    <col min="13320" max="13320" width="14.125" style="323" customWidth="1"/>
    <col min="13321" max="13554" width="9.125" style="323"/>
    <col min="13555" max="13555" width="10.125" style="323" customWidth="1"/>
    <col min="13556" max="13556" width="42.125" style="323" customWidth="1"/>
    <col min="13557" max="13557" width="9.375" style="323" customWidth="1"/>
    <col min="13558" max="13558" width="28" style="323" customWidth="1"/>
    <col min="13559" max="13560" width="29.875" style="323" customWidth="1"/>
    <col min="13561" max="13561" width="19.125" style="323" customWidth="1"/>
    <col min="13562" max="13562" width="14.375" style="323" customWidth="1"/>
    <col min="13563" max="13563" width="13.375" style="323" customWidth="1"/>
    <col min="13564" max="13564" width="14.125" style="323" customWidth="1"/>
    <col min="13565" max="13565" width="15.875" style="323" customWidth="1"/>
    <col min="13566" max="13566" width="21.375" style="323" customWidth="1"/>
    <col min="13567" max="13567" width="10.875" style="323" customWidth="1"/>
    <col min="13568" max="13570" width="25.875" style="323" customWidth="1"/>
    <col min="13571" max="13575" width="30" style="323" customWidth="1"/>
    <col min="13576" max="13576" width="14.125" style="323" customWidth="1"/>
    <col min="13577" max="13810" width="9.125" style="323"/>
    <col min="13811" max="13811" width="10.125" style="323" customWidth="1"/>
    <col min="13812" max="13812" width="42.125" style="323" customWidth="1"/>
    <col min="13813" max="13813" width="9.375" style="323" customWidth="1"/>
    <col min="13814" max="13814" width="28" style="323" customWidth="1"/>
    <col min="13815" max="13816" width="29.875" style="323" customWidth="1"/>
    <col min="13817" max="13817" width="19.125" style="323" customWidth="1"/>
    <col min="13818" max="13818" width="14.375" style="323" customWidth="1"/>
    <col min="13819" max="13819" width="13.375" style="323" customWidth="1"/>
    <col min="13820" max="13820" width="14.125" style="323" customWidth="1"/>
    <col min="13821" max="13821" width="15.875" style="323" customWidth="1"/>
    <col min="13822" max="13822" width="21.375" style="323" customWidth="1"/>
    <col min="13823" max="13823" width="10.875" style="323" customWidth="1"/>
    <col min="13824" max="13826" width="25.875" style="323" customWidth="1"/>
    <col min="13827" max="13831" width="30" style="323" customWidth="1"/>
    <col min="13832" max="13832" width="14.125" style="323" customWidth="1"/>
    <col min="13833" max="14066" width="9.125" style="323"/>
    <col min="14067" max="14067" width="10.125" style="323" customWidth="1"/>
    <col min="14068" max="14068" width="42.125" style="323" customWidth="1"/>
    <col min="14069" max="14069" width="9.375" style="323" customWidth="1"/>
    <col min="14070" max="14070" width="28" style="323" customWidth="1"/>
    <col min="14071" max="14072" width="29.875" style="323" customWidth="1"/>
    <col min="14073" max="14073" width="19.125" style="323" customWidth="1"/>
    <col min="14074" max="14074" width="14.375" style="323" customWidth="1"/>
    <col min="14075" max="14075" width="13.375" style="323" customWidth="1"/>
    <col min="14076" max="14076" width="14.125" style="323" customWidth="1"/>
    <col min="14077" max="14077" width="15.875" style="323" customWidth="1"/>
    <col min="14078" max="14078" width="21.375" style="323" customWidth="1"/>
    <col min="14079" max="14079" width="10.875" style="323" customWidth="1"/>
    <col min="14080" max="14082" width="25.875" style="323" customWidth="1"/>
    <col min="14083" max="14087" width="30" style="323" customWidth="1"/>
    <col min="14088" max="14088" width="14.125" style="323" customWidth="1"/>
    <col min="14089" max="14322" width="9.125" style="323"/>
    <col min="14323" max="14323" width="10.125" style="323" customWidth="1"/>
    <col min="14324" max="14324" width="42.125" style="323" customWidth="1"/>
    <col min="14325" max="14325" width="9.375" style="323" customWidth="1"/>
    <col min="14326" max="14326" width="28" style="323" customWidth="1"/>
    <col min="14327" max="14328" width="29.875" style="323" customWidth="1"/>
    <col min="14329" max="14329" width="19.125" style="323" customWidth="1"/>
    <col min="14330" max="14330" width="14.375" style="323" customWidth="1"/>
    <col min="14331" max="14331" width="13.375" style="323" customWidth="1"/>
    <col min="14332" max="14332" width="14.125" style="323" customWidth="1"/>
    <col min="14333" max="14333" width="15.875" style="323" customWidth="1"/>
    <col min="14334" max="14334" width="21.375" style="323" customWidth="1"/>
    <col min="14335" max="14335" width="10.875" style="323" customWidth="1"/>
    <col min="14336" max="14338" width="25.875" style="323" customWidth="1"/>
    <col min="14339" max="14343" width="30" style="323" customWidth="1"/>
    <col min="14344" max="14344" width="14.125" style="323" customWidth="1"/>
    <col min="14345" max="14578" width="9.125" style="323"/>
    <col min="14579" max="14579" width="10.125" style="323" customWidth="1"/>
    <col min="14580" max="14580" width="42.125" style="323" customWidth="1"/>
    <col min="14581" max="14581" width="9.375" style="323" customWidth="1"/>
    <col min="14582" max="14582" width="28" style="323" customWidth="1"/>
    <col min="14583" max="14584" width="29.875" style="323" customWidth="1"/>
    <col min="14585" max="14585" width="19.125" style="323" customWidth="1"/>
    <col min="14586" max="14586" width="14.375" style="323" customWidth="1"/>
    <col min="14587" max="14587" width="13.375" style="323" customWidth="1"/>
    <col min="14588" max="14588" width="14.125" style="323" customWidth="1"/>
    <col min="14589" max="14589" width="15.875" style="323" customWidth="1"/>
    <col min="14590" max="14590" width="21.375" style="323" customWidth="1"/>
    <col min="14591" max="14591" width="10.875" style="323" customWidth="1"/>
    <col min="14592" max="14594" width="25.875" style="323" customWidth="1"/>
    <col min="14595" max="14599" width="30" style="323" customWidth="1"/>
    <col min="14600" max="14600" width="14.125" style="323" customWidth="1"/>
    <col min="14601" max="14834" width="9.125" style="323"/>
    <col min="14835" max="14835" width="10.125" style="323" customWidth="1"/>
    <col min="14836" max="14836" width="42.125" style="323" customWidth="1"/>
    <col min="14837" max="14837" width="9.375" style="323" customWidth="1"/>
    <col min="14838" max="14838" width="28" style="323" customWidth="1"/>
    <col min="14839" max="14840" width="29.875" style="323" customWidth="1"/>
    <col min="14841" max="14841" width="19.125" style="323" customWidth="1"/>
    <col min="14842" max="14842" width="14.375" style="323" customWidth="1"/>
    <col min="14843" max="14843" width="13.375" style="323" customWidth="1"/>
    <col min="14844" max="14844" width="14.125" style="323" customWidth="1"/>
    <col min="14845" max="14845" width="15.875" style="323" customWidth="1"/>
    <col min="14846" max="14846" width="21.375" style="323" customWidth="1"/>
    <col min="14847" max="14847" width="10.875" style="323" customWidth="1"/>
    <col min="14848" max="14850" width="25.875" style="323" customWidth="1"/>
    <col min="14851" max="14855" width="30" style="323" customWidth="1"/>
    <col min="14856" max="14856" width="14.125" style="323" customWidth="1"/>
    <col min="14857" max="15090" width="9.125" style="323"/>
    <col min="15091" max="15091" width="10.125" style="323" customWidth="1"/>
    <col min="15092" max="15092" width="42.125" style="323" customWidth="1"/>
    <col min="15093" max="15093" width="9.375" style="323" customWidth="1"/>
    <col min="15094" max="15094" width="28" style="323" customWidth="1"/>
    <col min="15095" max="15096" width="29.875" style="323" customWidth="1"/>
    <col min="15097" max="15097" width="19.125" style="323" customWidth="1"/>
    <col min="15098" max="15098" width="14.375" style="323" customWidth="1"/>
    <col min="15099" max="15099" width="13.375" style="323" customWidth="1"/>
    <col min="15100" max="15100" width="14.125" style="323" customWidth="1"/>
    <col min="15101" max="15101" width="15.875" style="323" customWidth="1"/>
    <col min="15102" max="15102" width="21.375" style="323" customWidth="1"/>
    <col min="15103" max="15103" width="10.875" style="323" customWidth="1"/>
    <col min="15104" max="15106" width="25.875" style="323" customWidth="1"/>
    <col min="15107" max="15111" width="30" style="323" customWidth="1"/>
    <col min="15112" max="15112" width="14.125" style="323" customWidth="1"/>
    <col min="15113" max="15346" width="9.125" style="323"/>
    <col min="15347" max="15347" width="10.125" style="323" customWidth="1"/>
    <col min="15348" max="15348" width="42.125" style="323" customWidth="1"/>
    <col min="15349" max="15349" width="9.375" style="323" customWidth="1"/>
    <col min="15350" max="15350" width="28" style="323" customWidth="1"/>
    <col min="15351" max="15352" width="29.875" style="323" customWidth="1"/>
    <col min="15353" max="15353" width="19.125" style="323" customWidth="1"/>
    <col min="15354" max="15354" width="14.375" style="323" customWidth="1"/>
    <col min="15355" max="15355" width="13.375" style="323" customWidth="1"/>
    <col min="15356" max="15356" width="14.125" style="323" customWidth="1"/>
    <col min="15357" max="15357" width="15.875" style="323" customWidth="1"/>
    <col min="15358" max="15358" width="21.375" style="323" customWidth="1"/>
    <col min="15359" max="15359" width="10.875" style="323" customWidth="1"/>
    <col min="15360" max="15362" width="25.875" style="323" customWidth="1"/>
    <col min="15363" max="15367" width="30" style="323" customWidth="1"/>
    <col min="15368" max="15368" width="14.125" style="323" customWidth="1"/>
    <col min="15369" max="15602" width="9.125" style="323"/>
    <col min="15603" max="15603" width="10.125" style="323" customWidth="1"/>
    <col min="15604" max="15604" width="42.125" style="323" customWidth="1"/>
    <col min="15605" max="15605" width="9.375" style="323" customWidth="1"/>
    <col min="15606" max="15606" width="28" style="323" customWidth="1"/>
    <col min="15607" max="15608" width="29.875" style="323" customWidth="1"/>
    <col min="15609" max="15609" width="19.125" style="323" customWidth="1"/>
    <col min="15610" max="15610" width="14.375" style="323" customWidth="1"/>
    <col min="15611" max="15611" width="13.375" style="323" customWidth="1"/>
    <col min="15612" max="15612" width="14.125" style="323" customWidth="1"/>
    <col min="15613" max="15613" width="15.875" style="323" customWidth="1"/>
    <col min="15614" max="15614" width="21.375" style="323" customWidth="1"/>
    <col min="15615" max="15615" width="10.875" style="323" customWidth="1"/>
    <col min="15616" max="15618" width="25.875" style="323" customWidth="1"/>
    <col min="15619" max="15623" width="30" style="323" customWidth="1"/>
    <col min="15624" max="15624" width="14.125" style="323" customWidth="1"/>
    <col min="15625" max="15858" width="9.125" style="323"/>
    <col min="15859" max="15859" width="10.125" style="323" customWidth="1"/>
    <col min="15860" max="15860" width="42.125" style="323" customWidth="1"/>
    <col min="15861" max="15861" width="9.375" style="323" customWidth="1"/>
    <col min="15862" max="15862" width="28" style="323" customWidth="1"/>
    <col min="15863" max="15864" width="29.875" style="323" customWidth="1"/>
    <col min="15865" max="15865" width="19.125" style="323" customWidth="1"/>
    <col min="15866" max="15866" width="14.375" style="323" customWidth="1"/>
    <col min="15867" max="15867" width="13.375" style="323" customWidth="1"/>
    <col min="15868" max="15868" width="14.125" style="323" customWidth="1"/>
    <col min="15869" max="15869" width="15.875" style="323" customWidth="1"/>
    <col min="15870" max="15870" width="21.375" style="323" customWidth="1"/>
    <col min="15871" max="15871" width="10.875" style="323" customWidth="1"/>
    <col min="15872" max="15874" width="25.875" style="323" customWidth="1"/>
    <col min="15875" max="15879" width="30" style="323" customWidth="1"/>
    <col min="15880" max="15880" width="14.125" style="323" customWidth="1"/>
    <col min="15881" max="16114" width="9.125" style="323"/>
    <col min="16115" max="16115" width="10.125" style="323" customWidth="1"/>
    <col min="16116" max="16116" width="42.125" style="323" customWidth="1"/>
    <col min="16117" max="16117" width="9.375" style="323" customWidth="1"/>
    <col min="16118" max="16118" width="28" style="323" customWidth="1"/>
    <col min="16119" max="16120" width="29.875" style="323" customWidth="1"/>
    <col min="16121" max="16121" width="19.125" style="323" customWidth="1"/>
    <col min="16122" max="16122" width="14.375" style="323" customWidth="1"/>
    <col min="16123" max="16123" width="13.375" style="323" customWidth="1"/>
    <col min="16124" max="16124" width="14.125" style="323" customWidth="1"/>
    <col min="16125" max="16125" width="15.875" style="323" customWidth="1"/>
    <col min="16126" max="16126" width="21.375" style="323" customWidth="1"/>
    <col min="16127" max="16127" width="10.875" style="323" customWidth="1"/>
    <col min="16128" max="16130" width="25.875" style="323" customWidth="1"/>
    <col min="16131" max="16135" width="30" style="323" customWidth="1"/>
    <col min="16136" max="16136" width="14.125" style="323" customWidth="1"/>
    <col min="16137" max="16384" width="9.125" style="323"/>
  </cols>
  <sheetData>
    <row r="1" spans="1:9" hidden="1">
      <c r="A1" s="404" t="s">
        <v>4254</v>
      </c>
      <c r="B1" s="404"/>
      <c r="C1" s="404"/>
      <c r="D1" s="404"/>
      <c r="E1" s="404"/>
      <c r="F1" s="404"/>
      <c r="G1" s="404"/>
      <c r="H1" s="404"/>
      <c r="I1" s="404"/>
    </row>
    <row r="2" spans="1:9">
      <c r="A2" s="404" t="s">
        <v>4253</v>
      </c>
      <c r="B2" s="405"/>
      <c r="C2" s="404"/>
      <c r="D2" s="404"/>
      <c r="E2" s="404"/>
      <c r="F2" s="404"/>
      <c r="G2" s="404"/>
      <c r="H2" s="404"/>
      <c r="I2" s="404"/>
    </row>
    <row r="3" spans="1:9" s="366" customFormat="1" ht="36.75" customHeight="1">
      <c r="A3" s="370" t="s">
        <v>4252</v>
      </c>
      <c r="B3" s="367" t="s">
        <v>4251</v>
      </c>
      <c r="C3" s="369" t="s">
        <v>3</v>
      </c>
      <c r="D3" s="367" t="s">
        <v>4250</v>
      </c>
      <c r="E3" s="374" t="s">
        <v>4249</v>
      </c>
      <c r="F3" s="367" t="s">
        <v>4248</v>
      </c>
      <c r="G3" s="368" t="s">
        <v>4247</v>
      </c>
      <c r="H3" s="368" t="s">
        <v>4246</v>
      </c>
      <c r="I3" s="367" t="s">
        <v>4245</v>
      </c>
    </row>
    <row r="4" spans="1:9" ht="35.1" customHeight="1">
      <c r="A4" s="364" t="s">
        <v>4244</v>
      </c>
      <c r="B4" s="331"/>
      <c r="C4" s="344" t="s">
        <v>536</v>
      </c>
      <c r="D4" s="331" t="s">
        <v>4243</v>
      </c>
      <c r="E4" s="365">
        <v>44320</v>
      </c>
      <c r="F4" s="331" t="s">
        <v>4242</v>
      </c>
      <c r="G4" s="363">
        <v>24</v>
      </c>
      <c r="H4" s="363">
        <v>16</v>
      </c>
      <c r="I4" s="331" t="s">
        <v>2502</v>
      </c>
    </row>
    <row r="5" spans="1:9">
      <c r="A5" s="364" t="s">
        <v>4241</v>
      </c>
      <c r="B5" s="331"/>
      <c r="C5" s="344" t="s">
        <v>539</v>
      </c>
      <c r="D5" s="331" t="s">
        <v>4231</v>
      </c>
      <c r="E5" s="365">
        <v>44320</v>
      </c>
      <c r="F5" s="331" t="s">
        <v>4240</v>
      </c>
      <c r="G5" s="363">
        <v>24</v>
      </c>
      <c r="H5" s="363">
        <v>16</v>
      </c>
      <c r="I5" s="331" t="s">
        <v>2502</v>
      </c>
    </row>
    <row r="6" spans="1:9" ht="35.1" customHeight="1">
      <c r="A6" s="364" t="s">
        <v>4239</v>
      </c>
      <c r="B6" s="331"/>
      <c r="C6" s="344" t="s">
        <v>543</v>
      </c>
      <c r="D6" s="331" t="s">
        <v>4228</v>
      </c>
      <c r="E6" s="365">
        <v>44320</v>
      </c>
      <c r="F6" s="331" t="s">
        <v>4238</v>
      </c>
      <c r="G6" s="363">
        <v>12</v>
      </c>
      <c r="H6" s="363">
        <v>4</v>
      </c>
      <c r="I6" s="331" t="s">
        <v>2502</v>
      </c>
    </row>
    <row r="7" spans="1:9" ht="35.1" customHeight="1">
      <c r="A7" s="364" t="s">
        <v>4237</v>
      </c>
      <c r="B7" s="331"/>
      <c r="C7" s="344" t="s">
        <v>541</v>
      </c>
      <c r="D7" s="331" t="s">
        <v>4225</v>
      </c>
      <c r="E7" s="365">
        <v>44320</v>
      </c>
      <c r="F7" s="331" t="s">
        <v>4236</v>
      </c>
      <c r="G7" s="363">
        <v>12</v>
      </c>
      <c r="H7" s="363">
        <v>4</v>
      </c>
      <c r="I7" s="331" t="s">
        <v>2502</v>
      </c>
    </row>
    <row r="8" spans="1:9" ht="35.1" customHeight="1">
      <c r="A8" s="364" t="s">
        <v>4235</v>
      </c>
      <c r="B8" s="331"/>
      <c r="C8" s="344" t="s">
        <v>418</v>
      </c>
      <c r="D8" s="331" t="s">
        <v>4234</v>
      </c>
      <c r="E8" s="365">
        <v>44323</v>
      </c>
      <c r="F8" s="331" t="s">
        <v>4233</v>
      </c>
      <c r="G8" s="363">
        <v>24</v>
      </c>
      <c r="H8" s="363">
        <v>16</v>
      </c>
      <c r="I8" s="331" t="s">
        <v>2502</v>
      </c>
    </row>
    <row r="9" spans="1:9" ht="27" customHeight="1">
      <c r="A9" s="364" t="s">
        <v>4232</v>
      </c>
      <c r="B9" s="331"/>
      <c r="C9" s="344" t="s">
        <v>423</v>
      </c>
      <c r="D9" s="331" t="s">
        <v>4231</v>
      </c>
      <c r="E9" s="365">
        <v>44323</v>
      </c>
      <c r="F9" s="331" t="s">
        <v>4230</v>
      </c>
      <c r="G9" s="363">
        <v>24</v>
      </c>
      <c r="H9" s="363">
        <v>16</v>
      </c>
      <c r="I9" s="331" t="s">
        <v>2502</v>
      </c>
    </row>
    <row r="10" spans="1:9" ht="35.1" customHeight="1">
      <c r="A10" s="364" t="s">
        <v>4229</v>
      </c>
      <c r="B10" s="331"/>
      <c r="C10" s="344" t="s">
        <v>430</v>
      </c>
      <c r="D10" s="331" t="s">
        <v>4228</v>
      </c>
      <c r="E10" s="365">
        <v>44323</v>
      </c>
      <c r="F10" s="331" t="s">
        <v>4227</v>
      </c>
      <c r="G10" s="363">
        <v>12</v>
      </c>
      <c r="H10" s="363">
        <v>4</v>
      </c>
      <c r="I10" s="331" t="s">
        <v>2502</v>
      </c>
    </row>
    <row r="11" spans="1:9" ht="35.1" customHeight="1">
      <c r="A11" s="364" t="s">
        <v>4226</v>
      </c>
      <c r="B11" s="331"/>
      <c r="C11" s="344" t="s">
        <v>427</v>
      </c>
      <c r="D11" s="331" t="s">
        <v>4225</v>
      </c>
      <c r="E11" s="365">
        <v>44323</v>
      </c>
      <c r="F11" s="331" t="s">
        <v>4224</v>
      </c>
      <c r="G11" s="363">
        <v>12</v>
      </c>
      <c r="H11" s="363">
        <v>4</v>
      </c>
      <c r="I11" s="331" t="s">
        <v>2502</v>
      </c>
    </row>
    <row r="12" spans="1:9" ht="35.1" customHeight="1">
      <c r="A12" s="364" t="s">
        <v>4223</v>
      </c>
      <c r="B12" s="331"/>
      <c r="C12" s="344" t="s">
        <v>229</v>
      </c>
      <c r="D12" s="331" t="s">
        <v>227</v>
      </c>
      <c r="E12" s="365">
        <v>44327</v>
      </c>
      <c r="F12" s="331" t="s">
        <v>4222</v>
      </c>
      <c r="G12" s="363">
        <v>12</v>
      </c>
      <c r="H12" s="363">
        <v>4</v>
      </c>
      <c r="I12" s="331" t="s">
        <v>2496</v>
      </c>
    </row>
    <row r="13" spans="1:9" ht="35.1" customHeight="1">
      <c r="A13" s="364" t="s">
        <v>4223</v>
      </c>
      <c r="B13" s="331"/>
      <c r="C13" s="344" t="s">
        <v>228</v>
      </c>
      <c r="D13" s="331" t="s">
        <v>227</v>
      </c>
      <c r="E13" s="365">
        <v>44327</v>
      </c>
      <c r="F13" s="331" t="s">
        <v>4222</v>
      </c>
      <c r="G13" s="363">
        <v>12</v>
      </c>
      <c r="H13" s="363">
        <v>4</v>
      </c>
      <c r="I13" s="331" t="s">
        <v>2496</v>
      </c>
    </row>
    <row r="14" spans="1:9" ht="35.1" customHeight="1">
      <c r="A14" s="364" t="s">
        <v>4221</v>
      </c>
      <c r="B14" s="331"/>
      <c r="C14" s="344" t="s">
        <v>226</v>
      </c>
      <c r="D14" s="331" t="s">
        <v>46</v>
      </c>
      <c r="E14" s="365">
        <v>44327</v>
      </c>
      <c r="F14" s="331" t="s">
        <v>4220</v>
      </c>
      <c r="G14" s="363">
        <v>12</v>
      </c>
      <c r="H14" s="363">
        <v>4</v>
      </c>
      <c r="I14" s="331" t="s">
        <v>2496</v>
      </c>
    </row>
    <row r="15" spans="1:9" ht="35.1" customHeight="1">
      <c r="A15" s="364" t="s">
        <v>4221</v>
      </c>
      <c r="B15" s="331"/>
      <c r="C15" s="344" t="s">
        <v>225</v>
      </c>
      <c r="D15" s="331" t="s">
        <v>46</v>
      </c>
      <c r="E15" s="365">
        <v>44327</v>
      </c>
      <c r="F15" s="331" t="s">
        <v>4220</v>
      </c>
      <c r="G15" s="363">
        <v>12</v>
      </c>
      <c r="H15" s="363">
        <v>4</v>
      </c>
      <c r="I15" s="331" t="s">
        <v>2496</v>
      </c>
    </row>
    <row r="16" spans="1:9" ht="45">
      <c r="A16" s="364" t="s">
        <v>4219</v>
      </c>
      <c r="B16" s="331"/>
      <c r="C16" s="344" t="s">
        <v>2117</v>
      </c>
      <c r="D16" s="362" t="s">
        <v>4218</v>
      </c>
      <c r="E16" s="365">
        <v>44338</v>
      </c>
      <c r="F16" s="331" t="s">
        <v>4217</v>
      </c>
      <c r="G16" s="363">
        <v>24</v>
      </c>
      <c r="H16" s="363">
        <v>16</v>
      </c>
      <c r="I16" s="331" t="s">
        <v>2502</v>
      </c>
    </row>
    <row r="17" spans="1:9">
      <c r="A17" s="364" t="s">
        <v>4216</v>
      </c>
      <c r="B17" s="331"/>
      <c r="C17" s="344" t="s">
        <v>2039</v>
      </c>
      <c r="D17" s="331" t="s">
        <v>4215</v>
      </c>
      <c r="E17" s="365">
        <v>44338</v>
      </c>
      <c r="F17" s="331" t="s">
        <v>4214</v>
      </c>
      <c r="G17" s="363">
        <v>24</v>
      </c>
      <c r="H17" s="363">
        <v>16</v>
      </c>
      <c r="I17" s="331" t="s">
        <v>2502</v>
      </c>
    </row>
    <row r="18" spans="1:9" ht="35.1" customHeight="1">
      <c r="A18" s="364" t="s">
        <v>4213</v>
      </c>
      <c r="B18" s="331"/>
      <c r="C18" s="344" t="s">
        <v>4212</v>
      </c>
      <c r="D18" s="331" t="s">
        <v>4211</v>
      </c>
      <c r="E18" s="365">
        <v>44365</v>
      </c>
      <c r="F18" s="331" t="s">
        <v>4210</v>
      </c>
      <c r="G18" s="363">
        <v>24</v>
      </c>
      <c r="H18" s="363">
        <v>17</v>
      </c>
      <c r="I18" s="331" t="s">
        <v>2502</v>
      </c>
    </row>
    <row r="19" spans="1:9">
      <c r="A19" s="364" t="s">
        <v>4209</v>
      </c>
      <c r="B19" s="331"/>
      <c r="C19" s="344" t="s">
        <v>4208</v>
      </c>
      <c r="D19" s="331" t="s">
        <v>4207</v>
      </c>
      <c r="E19" s="365">
        <v>44365</v>
      </c>
      <c r="F19" s="331" t="s">
        <v>4206</v>
      </c>
      <c r="G19" s="363">
        <v>24</v>
      </c>
      <c r="H19" s="363">
        <v>17</v>
      </c>
      <c r="I19" s="331" t="s">
        <v>2502</v>
      </c>
    </row>
    <row r="20" spans="1:9">
      <c r="A20" s="364" t="s">
        <v>4205</v>
      </c>
      <c r="B20" s="331"/>
      <c r="C20" s="344" t="s">
        <v>1239</v>
      </c>
      <c r="D20" s="331" t="s">
        <v>4204</v>
      </c>
      <c r="E20" s="365">
        <v>44366</v>
      </c>
      <c r="F20" s="331" t="s">
        <v>4203</v>
      </c>
      <c r="G20" s="363">
        <v>24</v>
      </c>
      <c r="H20" s="363">
        <v>17</v>
      </c>
      <c r="I20" s="331" t="s">
        <v>2502</v>
      </c>
    </row>
    <row r="21" spans="1:9">
      <c r="A21" s="364" t="s">
        <v>4202</v>
      </c>
      <c r="B21" s="331"/>
      <c r="C21" s="344" t="s">
        <v>910</v>
      </c>
      <c r="D21" s="331" t="s">
        <v>911</v>
      </c>
      <c r="E21" s="365">
        <v>44376</v>
      </c>
      <c r="F21" s="331" t="s">
        <v>4201</v>
      </c>
      <c r="G21" s="363">
        <v>24</v>
      </c>
      <c r="H21" s="363">
        <v>17</v>
      </c>
      <c r="I21" s="331" t="s">
        <v>2502</v>
      </c>
    </row>
    <row r="22" spans="1:9">
      <c r="A22" s="364" t="s">
        <v>4200</v>
      </c>
      <c r="B22" s="331"/>
      <c r="C22" s="344" t="s">
        <v>1698</v>
      </c>
      <c r="D22" s="331" t="s">
        <v>4199</v>
      </c>
      <c r="E22" s="365">
        <v>44376</v>
      </c>
      <c r="F22" s="331" t="s">
        <v>4198</v>
      </c>
      <c r="G22" s="363">
        <v>24</v>
      </c>
      <c r="H22" s="363">
        <v>17</v>
      </c>
      <c r="I22" s="331" t="s">
        <v>2502</v>
      </c>
    </row>
    <row r="23" spans="1:9">
      <c r="A23" s="364" t="s">
        <v>4197</v>
      </c>
      <c r="B23" s="331"/>
      <c r="C23" s="344" t="s">
        <v>1242</v>
      </c>
      <c r="D23" s="331" t="s">
        <v>4196</v>
      </c>
      <c r="E23" s="365">
        <v>44376</v>
      </c>
      <c r="F23" s="331" t="s">
        <v>4195</v>
      </c>
      <c r="G23" s="363">
        <v>24</v>
      </c>
      <c r="H23" s="363">
        <v>17</v>
      </c>
      <c r="I23" s="331" t="s">
        <v>2502</v>
      </c>
    </row>
    <row r="24" spans="1:9">
      <c r="A24" s="364" t="s">
        <v>4194</v>
      </c>
      <c r="B24" s="331"/>
      <c r="C24" s="344" t="s">
        <v>945</v>
      </c>
      <c r="D24" s="331" t="s">
        <v>946</v>
      </c>
      <c r="E24" s="365">
        <v>44379</v>
      </c>
      <c r="F24" s="331" t="s">
        <v>4193</v>
      </c>
      <c r="G24" s="363">
        <v>24</v>
      </c>
      <c r="H24" s="363">
        <v>18</v>
      </c>
      <c r="I24" s="331" t="s">
        <v>2502</v>
      </c>
    </row>
    <row r="25" spans="1:9">
      <c r="A25" s="364" t="s">
        <v>4192</v>
      </c>
      <c r="B25" s="331"/>
      <c r="C25" s="344" t="s">
        <v>374</v>
      </c>
      <c r="D25" s="331" t="s">
        <v>365</v>
      </c>
      <c r="E25" s="365">
        <v>44383</v>
      </c>
      <c r="F25" s="331" t="s">
        <v>4191</v>
      </c>
      <c r="G25" s="363">
        <v>24</v>
      </c>
      <c r="H25" s="363">
        <v>18</v>
      </c>
      <c r="I25" s="331" t="s">
        <v>2502</v>
      </c>
    </row>
    <row r="26" spans="1:9">
      <c r="A26" s="364" t="s">
        <v>4190</v>
      </c>
      <c r="B26" s="331"/>
      <c r="C26" s="344" t="s">
        <v>367</v>
      </c>
      <c r="D26" s="331" t="s">
        <v>4189</v>
      </c>
      <c r="E26" s="365">
        <v>44384</v>
      </c>
      <c r="F26" s="331" t="s">
        <v>4188</v>
      </c>
      <c r="G26" s="363">
        <v>12</v>
      </c>
      <c r="H26" s="363">
        <v>7</v>
      </c>
      <c r="I26" s="331"/>
    </row>
    <row r="27" spans="1:9">
      <c r="A27" s="364" t="s">
        <v>4187</v>
      </c>
      <c r="B27" s="331"/>
      <c r="C27" s="344" t="s">
        <v>1718</v>
      </c>
      <c r="D27" s="331" t="s">
        <v>4186</v>
      </c>
      <c r="E27" s="365">
        <v>44394</v>
      </c>
      <c r="F27" s="331" t="s">
        <v>4185</v>
      </c>
      <c r="G27" s="363">
        <v>24</v>
      </c>
      <c r="H27" s="363">
        <v>18</v>
      </c>
      <c r="I27" s="331" t="s">
        <v>2502</v>
      </c>
    </row>
    <row r="28" spans="1:9">
      <c r="A28" s="364" t="s">
        <v>4187</v>
      </c>
      <c r="B28" s="331"/>
      <c r="C28" s="344" t="s">
        <v>1695</v>
      </c>
      <c r="D28" s="331" t="s">
        <v>4186</v>
      </c>
      <c r="E28" s="365">
        <v>44394</v>
      </c>
      <c r="F28" s="331" t="s">
        <v>4185</v>
      </c>
      <c r="G28" s="363">
        <v>24</v>
      </c>
      <c r="H28" s="363">
        <v>18</v>
      </c>
      <c r="I28" s="331" t="s">
        <v>2502</v>
      </c>
    </row>
    <row r="29" spans="1:9" ht="27.75" customHeight="1">
      <c r="A29" s="364" t="s">
        <v>4184</v>
      </c>
      <c r="B29" s="331"/>
      <c r="C29" s="344" t="s">
        <v>4183</v>
      </c>
      <c r="D29" s="331" t="s">
        <v>4182</v>
      </c>
      <c r="E29" s="365">
        <v>44394</v>
      </c>
      <c r="F29" s="331" t="s">
        <v>4181</v>
      </c>
      <c r="G29" s="363">
        <v>24</v>
      </c>
      <c r="H29" s="363">
        <v>18</v>
      </c>
      <c r="I29" s="331" t="s">
        <v>2502</v>
      </c>
    </row>
    <row r="30" spans="1:9">
      <c r="A30" s="364" t="s">
        <v>4180</v>
      </c>
      <c r="B30" s="331"/>
      <c r="C30" s="344" t="s">
        <v>1126</v>
      </c>
      <c r="D30" s="331" t="s">
        <v>365</v>
      </c>
      <c r="E30" s="365">
        <v>44398</v>
      </c>
      <c r="F30" s="331" t="s">
        <v>4179</v>
      </c>
      <c r="G30" s="363">
        <v>24</v>
      </c>
      <c r="H30" s="363">
        <v>18</v>
      </c>
      <c r="I30" s="331" t="s">
        <v>2502</v>
      </c>
    </row>
    <row r="31" spans="1:9" ht="35.1" customHeight="1">
      <c r="A31" s="364" t="s">
        <v>4178</v>
      </c>
      <c r="B31" s="331"/>
      <c r="C31" s="344" t="s">
        <v>364</v>
      </c>
      <c r="D31" s="331" t="s">
        <v>363</v>
      </c>
      <c r="E31" s="365">
        <v>44427</v>
      </c>
      <c r="F31" s="331" t="s">
        <v>4177</v>
      </c>
      <c r="G31" s="363">
        <v>12</v>
      </c>
      <c r="H31" s="363">
        <v>7</v>
      </c>
      <c r="I31" s="331" t="s">
        <v>2502</v>
      </c>
    </row>
    <row r="32" spans="1:9" ht="35.1" customHeight="1">
      <c r="A32" s="364" t="s">
        <v>4176</v>
      </c>
      <c r="B32" s="331"/>
      <c r="C32" s="344" t="s">
        <v>362</v>
      </c>
      <c r="D32" s="331" t="s">
        <v>361</v>
      </c>
      <c r="E32" s="365">
        <v>44427</v>
      </c>
      <c r="F32" s="331" t="s">
        <v>4175</v>
      </c>
      <c r="G32" s="363">
        <v>12</v>
      </c>
      <c r="H32" s="363">
        <v>7</v>
      </c>
      <c r="I32" s="331" t="s">
        <v>2502</v>
      </c>
    </row>
    <row r="33" spans="1:9" ht="35.1" customHeight="1">
      <c r="A33" s="364" t="s">
        <v>4174</v>
      </c>
      <c r="B33" s="331"/>
      <c r="C33" s="344" t="s">
        <v>360</v>
      </c>
      <c r="D33" s="331" t="s">
        <v>359</v>
      </c>
      <c r="E33" s="365">
        <v>44427</v>
      </c>
      <c r="F33" s="331" t="s">
        <v>4173</v>
      </c>
      <c r="G33" s="363">
        <v>12</v>
      </c>
      <c r="H33" s="363">
        <v>7</v>
      </c>
      <c r="I33" s="331" t="s">
        <v>2502</v>
      </c>
    </row>
    <row r="34" spans="1:9" ht="35.1" customHeight="1">
      <c r="A34" s="364" t="s">
        <v>4172</v>
      </c>
      <c r="B34" s="331"/>
      <c r="C34" s="344" t="s">
        <v>358</v>
      </c>
      <c r="D34" s="331" t="s">
        <v>357</v>
      </c>
      <c r="E34" s="365">
        <v>44427</v>
      </c>
      <c r="F34" s="331" t="s">
        <v>4171</v>
      </c>
      <c r="G34" s="363">
        <v>12</v>
      </c>
      <c r="H34" s="363">
        <v>7</v>
      </c>
      <c r="I34" s="331" t="s">
        <v>2502</v>
      </c>
    </row>
    <row r="35" spans="1:9" ht="35.1" customHeight="1">
      <c r="A35" s="364" t="s">
        <v>4170</v>
      </c>
      <c r="B35" s="331"/>
      <c r="C35" s="344" t="s">
        <v>356</v>
      </c>
      <c r="D35" s="331" t="s">
        <v>355</v>
      </c>
      <c r="E35" s="365">
        <v>44427</v>
      </c>
      <c r="F35" s="331" t="s">
        <v>4169</v>
      </c>
      <c r="G35" s="363">
        <v>12</v>
      </c>
      <c r="H35" s="363">
        <v>7</v>
      </c>
      <c r="I35" s="331" t="s">
        <v>2502</v>
      </c>
    </row>
    <row r="36" spans="1:9">
      <c r="A36" s="364" t="s">
        <v>4168</v>
      </c>
      <c r="B36" s="331"/>
      <c r="C36" s="344" t="s">
        <v>2907</v>
      </c>
      <c r="D36" s="331" t="s">
        <v>4167</v>
      </c>
      <c r="E36" s="365">
        <v>44461</v>
      </c>
      <c r="F36" s="331" t="s">
        <v>4166</v>
      </c>
      <c r="G36" s="363">
        <v>12</v>
      </c>
      <c r="H36" s="363">
        <v>8</v>
      </c>
      <c r="I36" s="331" t="s">
        <v>2502</v>
      </c>
    </row>
    <row r="37" spans="1:9">
      <c r="A37" s="364" t="s">
        <v>4165</v>
      </c>
      <c r="B37" s="331"/>
      <c r="C37" s="344" t="s">
        <v>2909</v>
      </c>
      <c r="D37" s="331" t="s">
        <v>2910</v>
      </c>
      <c r="E37" s="365">
        <v>44467</v>
      </c>
      <c r="F37" s="331" t="s">
        <v>4164</v>
      </c>
      <c r="G37" s="363">
        <v>12</v>
      </c>
      <c r="H37" s="363">
        <v>8</v>
      </c>
      <c r="I37" s="331" t="s">
        <v>2502</v>
      </c>
    </row>
    <row r="38" spans="1:9">
      <c r="A38" s="364" t="s">
        <v>4163</v>
      </c>
      <c r="B38" s="331"/>
      <c r="C38" s="344" t="s">
        <v>630</v>
      </c>
      <c r="D38" s="331" t="s">
        <v>4162</v>
      </c>
      <c r="E38" s="365">
        <v>44469</v>
      </c>
      <c r="F38" s="331" t="s">
        <v>4161</v>
      </c>
      <c r="G38" s="363">
        <v>12</v>
      </c>
      <c r="H38" s="363">
        <v>8</v>
      </c>
      <c r="I38" s="331" t="s">
        <v>2502</v>
      </c>
    </row>
    <row r="39" spans="1:9">
      <c r="A39" s="364" t="s">
        <v>4160</v>
      </c>
      <c r="B39" s="331"/>
      <c r="C39" s="344" t="s">
        <v>1186</v>
      </c>
      <c r="D39" s="331" t="s">
        <v>4159</v>
      </c>
      <c r="E39" s="365">
        <v>44498</v>
      </c>
      <c r="F39" s="331" t="s">
        <v>4158</v>
      </c>
      <c r="G39" s="363">
        <v>12</v>
      </c>
      <c r="H39" s="363">
        <v>9</v>
      </c>
      <c r="I39" s="331" t="s">
        <v>2502</v>
      </c>
    </row>
    <row r="40" spans="1:9">
      <c r="A40" s="364" t="s">
        <v>4157</v>
      </c>
      <c r="B40" s="331"/>
      <c r="C40" s="344" t="s">
        <v>1188</v>
      </c>
      <c r="D40" s="331" t="s">
        <v>4156</v>
      </c>
      <c r="E40" s="365">
        <v>44498</v>
      </c>
      <c r="F40" s="331" t="s">
        <v>4155</v>
      </c>
      <c r="G40" s="363">
        <v>12</v>
      </c>
      <c r="H40" s="363">
        <v>9</v>
      </c>
      <c r="I40" s="331" t="s">
        <v>2502</v>
      </c>
    </row>
    <row r="41" spans="1:9">
      <c r="A41" s="364" t="s">
        <v>4154</v>
      </c>
      <c r="B41" s="331"/>
      <c r="C41" s="344" t="s">
        <v>1285</v>
      </c>
      <c r="D41" s="331" t="s">
        <v>4153</v>
      </c>
      <c r="E41" s="365">
        <v>44498</v>
      </c>
      <c r="F41" s="331" t="s">
        <v>4152</v>
      </c>
      <c r="G41" s="363">
        <v>12</v>
      </c>
      <c r="H41" s="363">
        <v>9</v>
      </c>
      <c r="I41" s="331" t="s">
        <v>2502</v>
      </c>
    </row>
    <row r="42" spans="1:9">
      <c r="A42" s="364" t="s">
        <v>4151</v>
      </c>
      <c r="B42" s="331"/>
      <c r="C42" s="344" t="s">
        <v>1617</v>
      </c>
      <c r="D42" s="331" t="s">
        <v>4150</v>
      </c>
      <c r="E42" s="365">
        <v>44510</v>
      </c>
      <c r="F42" s="331" t="s">
        <v>4149</v>
      </c>
      <c r="G42" s="363">
        <v>12</v>
      </c>
      <c r="H42" s="363">
        <v>10</v>
      </c>
      <c r="I42" s="331" t="s">
        <v>2502</v>
      </c>
    </row>
    <row r="43" spans="1:9">
      <c r="A43" s="364" t="s">
        <v>4148</v>
      </c>
      <c r="B43" s="331"/>
      <c r="C43" s="344" t="s">
        <v>1686</v>
      </c>
      <c r="D43" s="331" t="s">
        <v>4147</v>
      </c>
      <c r="E43" s="365">
        <v>44516</v>
      </c>
      <c r="F43" s="331" t="s">
        <v>4146</v>
      </c>
      <c r="G43" s="363">
        <v>12</v>
      </c>
      <c r="H43" s="363">
        <v>10</v>
      </c>
      <c r="I43" s="331" t="s">
        <v>2502</v>
      </c>
    </row>
    <row r="44" spans="1:9">
      <c r="A44" s="364" t="s">
        <v>4145</v>
      </c>
      <c r="B44" s="331"/>
      <c r="C44" s="344" t="s">
        <v>216</v>
      </c>
      <c r="D44" s="331" t="s">
        <v>4144</v>
      </c>
      <c r="E44" s="365">
        <v>44516</v>
      </c>
      <c r="F44" s="331" t="s">
        <v>4143</v>
      </c>
      <c r="G44" s="363">
        <v>12</v>
      </c>
      <c r="H44" s="363">
        <v>10</v>
      </c>
      <c r="I44" s="331" t="s">
        <v>2502</v>
      </c>
    </row>
    <row r="45" spans="1:9">
      <c r="A45" s="364" t="s">
        <v>4142</v>
      </c>
      <c r="B45" s="331"/>
      <c r="C45" s="344" t="s">
        <v>1300</v>
      </c>
      <c r="D45" s="331" t="s">
        <v>4141</v>
      </c>
      <c r="E45" s="365">
        <v>44516</v>
      </c>
      <c r="F45" s="331" t="s">
        <v>4140</v>
      </c>
      <c r="G45" s="363">
        <v>12</v>
      </c>
      <c r="H45" s="363">
        <v>10</v>
      </c>
      <c r="I45" s="331" t="s">
        <v>2502</v>
      </c>
    </row>
    <row r="46" spans="1:9">
      <c r="A46" s="364" t="s">
        <v>4139</v>
      </c>
      <c r="B46" s="331"/>
      <c r="C46" s="344" t="s">
        <v>930</v>
      </c>
      <c r="D46" s="331" t="s">
        <v>4138</v>
      </c>
      <c r="E46" s="365">
        <v>44523</v>
      </c>
      <c r="F46" s="331" t="s">
        <v>4137</v>
      </c>
      <c r="G46" s="363">
        <v>12</v>
      </c>
      <c r="H46" s="363">
        <v>10</v>
      </c>
      <c r="I46" s="331" t="s">
        <v>2502</v>
      </c>
    </row>
    <row r="47" spans="1:9">
      <c r="A47" s="364" t="s">
        <v>4136</v>
      </c>
      <c r="B47" s="331"/>
      <c r="C47" s="344" t="s">
        <v>268</v>
      </c>
      <c r="D47" s="331" t="s">
        <v>267</v>
      </c>
      <c r="E47" s="365">
        <v>44547</v>
      </c>
      <c r="F47" s="331" t="s">
        <v>4135</v>
      </c>
      <c r="G47" s="363">
        <v>12</v>
      </c>
      <c r="H47" s="363">
        <v>11</v>
      </c>
      <c r="I47" s="331" t="s">
        <v>2502</v>
      </c>
    </row>
    <row r="48" spans="1:9" ht="35.1" customHeight="1">
      <c r="A48" s="364" t="s">
        <v>4134</v>
      </c>
      <c r="B48" s="331"/>
      <c r="C48" s="344" t="s">
        <v>354</v>
      </c>
      <c r="D48" s="331" t="s">
        <v>352</v>
      </c>
      <c r="E48" s="365">
        <v>44547</v>
      </c>
      <c r="F48" s="331" t="s">
        <v>4133</v>
      </c>
      <c r="G48" s="363">
        <v>12</v>
      </c>
      <c r="H48" s="363">
        <v>11</v>
      </c>
      <c r="I48" s="331" t="s">
        <v>2502</v>
      </c>
    </row>
    <row r="49" spans="1:9" ht="35.1" customHeight="1">
      <c r="A49" s="364" t="s">
        <v>4134</v>
      </c>
      <c r="B49" s="331"/>
      <c r="C49" s="344" t="s">
        <v>353</v>
      </c>
      <c r="D49" s="331" t="s">
        <v>352</v>
      </c>
      <c r="E49" s="365">
        <v>44547</v>
      </c>
      <c r="F49" s="331" t="s">
        <v>4133</v>
      </c>
      <c r="G49" s="363">
        <v>12</v>
      </c>
      <c r="H49" s="363">
        <v>11</v>
      </c>
      <c r="I49" s="331" t="s">
        <v>2502</v>
      </c>
    </row>
    <row r="50" spans="1:9" ht="35.1" customHeight="1">
      <c r="A50" s="364" t="s">
        <v>4132</v>
      </c>
      <c r="B50" s="331"/>
      <c r="C50" s="344" t="s">
        <v>350</v>
      </c>
      <c r="D50" s="331" t="s">
        <v>349</v>
      </c>
      <c r="E50" s="365">
        <v>44547</v>
      </c>
      <c r="F50" s="331" t="s">
        <v>4131</v>
      </c>
      <c r="G50" s="363">
        <v>12</v>
      </c>
      <c r="H50" s="363">
        <v>11</v>
      </c>
      <c r="I50" s="331" t="s">
        <v>2496</v>
      </c>
    </row>
    <row r="51" spans="1:9">
      <c r="A51" s="364"/>
      <c r="B51" s="331"/>
      <c r="C51" s="344" t="s">
        <v>347</v>
      </c>
      <c r="D51" s="331" t="s">
        <v>346</v>
      </c>
      <c r="E51" s="365"/>
      <c r="F51" s="331"/>
      <c r="G51" s="363"/>
      <c r="H51" s="363"/>
      <c r="I51" s="331"/>
    </row>
    <row r="52" spans="1:9" ht="35.1" customHeight="1">
      <c r="A52" s="364" t="s">
        <v>4130</v>
      </c>
      <c r="B52" s="331"/>
      <c r="C52" s="344" t="s">
        <v>345</v>
      </c>
      <c r="D52" s="331" t="s">
        <v>344</v>
      </c>
      <c r="E52" s="365">
        <v>44550</v>
      </c>
      <c r="F52" s="331" t="s">
        <v>4129</v>
      </c>
      <c r="G52" s="363">
        <v>12</v>
      </c>
      <c r="H52" s="363">
        <v>11</v>
      </c>
      <c r="I52" s="331" t="s">
        <v>4128</v>
      </c>
    </row>
    <row r="53" spans="1:9" ht="35.1" customHeight="1">
      <c r="A53" s="364" t="s">
        <v>4127</v>
      </c>
      <c r="B53" s="331"/>
      <c r="C53" s="344" t="s">
        <v>2000</v>
      </c>
      <c r="D53" s="331" t="s">
        <v>4047</v>
      </c>
      <c r="E53" s="365">
        <v>44552</v>
      </c>
      <c r="F53" s="331" t="s">
        <v>4126</v>
      </c>
      <c r="G53" s="363">
        <v>12</v>
      </c>
      <c r="H53" s="363">
        <v>11</v>
      </c>
      <c r="I53" s="331" t="s">
        <v>2496</v>
      </c>
    </row>
    <row r="54" spans="1:9">
      <c r="A54" s="364" t="s">
        <v>4125</v>
      </c>
      <c r="B54" s="331"/>
      <c r="C54" s="344" t="s">
        <v>343</v>
      </c>
      <c r="D54" s="331" t="s">
        <v>340</v>
      </c>
      <c r="E54" s="365">
        <v>44552</v>
      </c>
      <c r="F54" s="331" t="s">
        <v>4124</v>
      </c>
      <c r="G54" s="363">
        <v>12</v>
      </c>
      <c r="H54" s="363">
        <v>11</v>
      </c>
      <c r="I54" s="331" t="s">
        <v>2496</v>
      </c>
    </row>
    <row r="55" spans="1:9">
      <c r="A55" s="364" t="s">
        <v>4125</v>
      </c>
      <c r="B55" s="331"/>
      <c r="C55" s="344" t="s">
        <v>342</v>
      </c>
      <c r="D55" s="331" t="s">
        <v>340</v>
      </c>
      <c r="E55" s="365">
        <v>44552</v>
      </c>
      <c r="F55" s="331" t="s">
        <v>4124</v>
      </c>
      <c r="G55" s="363">
        <v>12</v>
      </c>
      <c r="H55" s="363">
        <v>11</v>
      </c>
      <c r="I55" s="331" t="s">
        <v>2496</v>
      </c>
    </row>
    <row r="56" spans="1:9">
      <c r="A56" s="364" t="s">
        <v>4125</v>
      </c>
      <c r="B56" s="331"/>
      <c r="C56" s="344" t="s">
        <v>341</v>
      </c>
      <c r="D56" s="331" t="s">
        <v>340</v>
      </c>
      <c r="E56" s="365">
        <v>44552</v>
      </c>
      <c r="F56" s="331" t="s">
        <v>4124</v>
      </c>
      <c r="G56" s="363">
        <v>12</v>
      </c>
      <c r="H56" s="363">
        <v>11</v>
      </c>
      <c r="I56" s="331" t="s">
        <v>2496</v>
      </c>
    </row>
    <row r="57" spans="1:9">
      <c r="A57" s="364" t="s">
        <v>4123</v>
      </c>
      <c r="B57" s="331"/>
      <c r="C57" s="344" t="s">
        <v>464</v>
      </c>
      <c r="D57" s="331" t="s">
        <v>4122</v>
      </c>
      <c r="E57" s="365">
        <v>44552</v>
      </c>
      <c r="F57" s="331" t="s">
        <v>4121</v>
      </c>
      <c r="G57" s="363">
        <v>12</v>
      </c>
      <c r="H57" s="363">
        <v>11</v>
      </c>
      <c r="I57" s="331" t="s">
        <v>2496</v>
      </c>
    </row>
    <row r="58" spans="1:9">
      <c r="A58" s="364" t="s">
        <v>4120</v>
      </c>
      <c r="B58" s="331"/>
      <c r="C58" s="344" t="s">
        <v>1328</v>
      </c>
      <c r="D58" s="331" t="s">
        <v>4119</v>
      </c>
      <c r="E58" s="365">
        <v>44552</v>
      </c>
      <c r="F58" s="331"/>
      <c r="G58" s="363">
        <v>12</v>
      </c>
      <c r="H58" s="363">
        <v>11</v>
      </c>
      <c r="I58" s="331" t="s">
        <v>2502</v>
      </c>
    </row>
    <row r="59" spans="1:9">
      <c r="A59" s="364" t="s">
        <v>4118</v>
      </c>
      <c r="B59" s="331"/>
      <c r="C59" s="344" t="s">
        <v>1694</v>
      </c>
      <c r="D59" s="331" t="s">
        <v>4117</v>
      </c>
      <c r="E59" s="365">
        <v>44552</v>
      </c>
      <c r="F59" s="331" t="s">
        <v>4116</v>
      </c>
      <c r="G59" s="363">
        <v>12</v>
      </c>
      <c r="H59" s="363">
        <v>11</v>
      </c>
      <c r="I59" s="331" t="s">
        <v>2502</v>
      </c>
    </row>
    <row r="60" spans="1:9">
      <c r="A60" s="364" t="s">
        <v>4115</v>
      </c>
      <c r="B60" s="331"/>
      <c r="C60" s="344" t="s">
        <v>2135</v>
      </c>
      <c r="D60" s="331" t="s">
        <v>4114</v>
      </c>
      <c r="E60" s="365">
        <v>44552</v>
      </c>
      <c r="F60" s="331" t="s">
        <v>4113</v>
      </c>
      <c r="G60" s="363">
        <v>12</v>
      </c>
      <c r="H60" s="363">
        <v>11</v>
      </c>
      <c r="I60" s="331" t="s">
        <v>2502</v>
      </c>
    </row>
    <row r="61" spans="1:9">
      <c r="A61" s="364" t="s">
        <v>4112</v>
      </c>
      <c r="B61" s="331"/>
      <c r="C61" s="344" t="s">
        <v>1550</v>
      </c>
      <c r="D61" s="331" t="s">
        <v>4111</v>
      </c>
      <c r="E61" s="365">
        <v>44558</v>
      </c>
      <c r="F61" s="331" t="s">
        <v>4110</v>
      </c>
      <c r="G61" s="363">
        <v>12</v>
      </c>
      <c r="H61" s="363">
        <v>11</v>
      </c>
      <c r="I61" s="331" t="s">
        <v>566</v>
      </c>
    </row>
    <row r="62" spans="1:9">
      <c r="A62" s="364" t="s">
        <v>4112</v>
      </c>
      <c r="B62" s="331"/>
      <c r="C62" s="344" t="s">
        <v>1597</v>
      </c>
      <c r="D62" s="331" t="s">
        <v>4111</v>
      </c>
      <c r="E62" s="365">
        <v>44558</v>
      </c>
      <c r="F62" s="331" t="s">
        <v>4110</v>
      </c>
      <c r="G62" s="363">
        <v>12</v>
      </c>
      <c r="H62" s="363">
        <v>11</v>
      </c>
      <c r="I62" s="331" t="s">
        <v>566</v>
      </c>
    </row>
    <row r="63" spans="1:9">
      <c r="A63" s="364" t="s">
        <v>4109</v>
      </c>
      <c r="B63" s="331"/>
      <c r="C63" s="344" t="s">
        <v>1688</v>
      </c>
      <c r="D63" s="331" t="s">
        <v>4108</v>
      </c>
      <c r="E63" s="365">
        <v>44558</v>
      </c>
      <c r="F63" s="331" t="s">
        <v>4107</v>
      </c>
      <c r="G63" s="363">
        <v>12</v>
      </c>
      <c r="H63" s="363">
        <v>11</v>
      </c>
      <c r="I63" s="331" t="s">
        <v>566</v>
      </c>
    </row>
    <row r="64" spans="1:9" ht="18.75" customHeight="1">
      <c r="A64" s="364" t="s">
        <v>4106</v>
      </c>
      <c r="B64" s="331"/>
      <c r="C64" s="344" t="s">
        <v>1750</v>
      </c>
      <c r="D64" s="331" t="s">
        <v>4105</v>
      </c>
      <c r="E64" s="365">
        <v>44558</v>
      </c>
      <c r="F64" s="331" t="s">
        <v>4104</v>
      </c>
      <c r="G64" s="363">
        <v>12</v>
      </c>
      <c r="H64" s="363">
        <v>11</v>
      </c>
      <c r="I64" s="331" t="s">
        <v>566</v>
      </c>
    </row>
    <row r="65" spans="1:9" ht="20.25" customHeight="1">
      <c r="A65" s="364" t="s">
        <v>4103</v>
      </c>
      <c r="B65" s="331"/>
      <c r="C65" s="344" t="s">
        <v>338</v>
      </c>
      <c r="D65" s="331" t="s">
        <v>337</v>
      </c>
      <c r="E65" s="365">
        <v>44559</v>
      </c>
      <c r="F65" s="331" t="s">
        <v>4102</v>
      </c>
      <c r="G65" s="363">
        <v>12</v>
      </c>
      <c r="H65" s="363">
        <v>11</v>
      </c>
      <c r="I65" s="331" t="s">
        <v>566</v>
      </c>
    </row>
    <row r="66" spans="1:9" ht="20.25" customHeight="1">
      <c r="A66" s="364" t="s">
        <v>4101</v>
      </c>
      <c r="B66" s="331"/>
      <c r="C66" s="344" t="s">
        <v>1369</v>
      </c>
      <c r="D66" s="331" t="s">
        <v>4100</v>
      </c>
      <c r="E66" s="365">
        <v>44561</v>
      </c>
      <c r="F66" s="331" t="s">
        <v>4099</v>
      </c>
      <c r="G66" s="363">
        <v>12</v>
      </c>
      <c r="H66" s="363">
        <v>11</v>
      </c>
      <c r="I66" s="331" t="s">
        <v>2496</v>
      </c>
    </row>
    <row r="67" spans="1:9" ht="20.25" customHeight="1">
      <c r="A67" s="364" t="s">
        <v>4101</v>
      </c>
      <c r="B67" s="331"/>
      <c r="C67" s="344" t="s">
        <v>1371</v>
      </c>
      <c r="D67" s="331" t="s">
        <v>4100</v>
      </c>
      <c r="E67" s="365">
        <v>44561</v>
      </c>
      <c r="F67" s="331" t="s">
        <v>4099</v>
      </c>
      <c r="G67" s="363">
        <v>12</v>
      </c>
      <c r="H67" s="363">
        <v>11</v>
      </c>
      <c r="I67" s="331" t="s">
        <v>2496</v>
      </c>
    </row>
    <row r="68" spans="1:9" ht="18.75" customHeight="1">
      <c r="A68" s="364"/>
      <c r="B68" s="331"/>
      <c r="C68" s="344" t="s">
        <v>1581</v>
      </c>
      <c r="D68" s="331" t="s">
        <v>4098</v>
      </c>
      <c r="E68" s="365"/>
      <c r="F68" s="331"/>
      <c r="G68" s="363"/>
      <c r="H68" s="363"/>
      <c r="I68" s="331"/>
    </row>
    <row r="69" spans="1:9" ht="18.75" customHeight="1">
      <c r="A69" s="364"/>
      <c r="B69" s="331"/>
      <c r="C69" s="344" t="s">
        <v>1564</v>
      </c>
      <c r="D69" s="331" t="s">
        <v>4098</v>
      </c>
      <c r="E69" s="365"/>
      <c r="F69" s="331"/>
      <c r="G69" s="363"/>
      <c r="H69" s="363"/>
      <c r="I69" s="331"/>
    </row>
    <row r="70" spans="1:9" ht="35.1" customHeight="1">
      <c r="A70" s="364"/>
      <c r="B70" s="331"/>
      <c r="C70" s="344" t="s">
        <v>336</v>
      </c>
      <c r="D70" s="331" t="s">
        <v>335</v>
      </c>
      <c r="E70" s="365"/>
      <c r="F70" s="331"/>
      <c r="G70" s="363"/>
      <c r="H70" s="363"/>
      <c r="I70" s="331"/>
    </row>
    <row r="71" spans="1:9" ht="35.1" customHeight="1">
      <c r="A71" s="364"/>
      <c r="B71" s="331"/>
      <c r="C71" s="344" t="s">
        <v>334</v>
      </c>
      <c r="D71" s="331" t="s">
        <v>333</v>
      </c>
      <c r="E71" s="365"/>
      <c r="F71" s="331"/>
      <c r="G71" s="363"/>
      <c r="H71" s="363"/>
      <c r="I71" s="331"/>
    </row>
    <row r="72" spans="1:9" ht="35.1" customHeight="1">
      <c r="A72" s="364"/>
      <c r="B72" s="331"/>
      <c r="C72" s="344" t="s">
        <v>332</v>
      </c>
      <c r="D72" s="331" t="s">
        <v>331</v>
      </c>
      <c r="E72" s="365"/>
      <c r="F72" s="331"/>
      <c r="G72" s="363"/>
      <c r="H72" s="363"/>
      <c r="I72" s="331"/>
    </row>
    <row r="73" spans="1:9" ht="35.1" customHeight="1">
      <c r="A73" s="364"/>
      <c r="B73" s="331"/>
      <c r="C73" s="344" t="s">
        <v>330</v>
      </c>
      <c r="D73" s="331" t="s">
        <v>329</v>
      </c>
      <c r="E73" s="365"/>
      <c r="F73" s="331"/>
      <c r="G73" s="363"/>
      <c r="H73" s="363"/>
      <c r="I73" s="331"/>
    </row>
    <row r="74" spans="1:9" ht="35.1" customHeight="1">
      <c r="A74" s="364"/>
      <c r="B74" s="331"/>
      <c r="C74" s="344" t="s">
        <v>328</v>
      </c>
      <c r="D74" s="331" t="s">
        <v>327</v>
      </c>
      <c r="E74" s="365"/>
      <c r="F74" s="331"/>
      <c r="G74" s="363"/>
      <c r="H74" s="363"/>
      <c r="I74" s="331"/>
    </row>
    <row r="75" spans="1:9" ht="35.1" customHeight="1">
      <c r="A75" s="364"/>
      <c r="B75" s="331"/>
      <c r="C75" s="344" t="s">
        <v>326</v>
      </c>
      <c r="D75" s="331" t="s">
        <v>325</v>
      </c>
      <c r="E75" s="365"/>
      <c r="F75" s="331"/>
      <c r="G75" s="363"/>
      <c r="H75" s="363"/>
      <c r="I75" s="331"/>
    </row>
    <row r="76" spans="1:9" ht="35.1" customHeight="1">
      <c r="A76" s="364"/>
      <c r="B76" s="331"/>
      <c r="C76" s="344" t="s">
        <v>324</v>
      </c>
      <c r="D76" s="331" t="s">
        <v>323</v>
      </c>
      <c r="E76" s="365"/>
      <c r="F76" s="331"/>
      <c r="G76" s="363"/>
      <c r="H76" s="363"/>
      <c r="I76" s="331"/>
    </row>
    <row r="77" spans="1:9" ht="35.1" customHeight="1">
      <c r="A77" s="364"/>
      <c r="B77" s="331"/>
      <c r="C77" s="344" t="s">
        <v>322</v>
      </c>
      <c r="D77" s="331" t="s">
        <v>321</v>
      </c>
      <c r="E77" s="365"/>
      <c r="F77" s="331"/>
      <c r="G77" s="363"/>
      <c r="H77" s="363"/>
      <c r="I77" s="331"/>
    </row>
    <row r="78" spans="1:9" ht="35.1" customHeight="1">
      <c r="A78" s="364"/>
      <c r="B78" s="331"/>
      <c r="C78" s="344" t="s">
        <v>320</v>
      </c>
      <c r="D78" s="331" t="s">
        <v>319</v>
      </c>
      <c r="E78" s="365"/>
      <c r="F78" s="331"/>
      <c r="G78" s="363"/>
      <c r="H78" s="363"/>
      <c r="I78" s="331"/>
    </row>
    <row r="79" spans="1:9" ht="35.1" customHeight="1">
      <c r="A79" s="364"/>
      <c r="B79" s="331"/>
      <c r="C79" s="344" t="s">
        <v>318</v>
      </c>
      <c r="D79" s="331" t="s">
        <v>317</v>
      </c>
      <c r="E79" s="365"/>
      <c r="F79" s="331"/>
      <c r="G79" s="363"/>
      <c r="H79" s="363"/>
      <c r="I79" s="331"/>
    </row>
    <row r="80" spans="1:9" ht="35.1" customHeight="1">
      <c r="A80" s="364"/>
      <c r="B80" s="331"/>
      <c r="C80" s="344" t="s">
        <v>316</v>
      </c>
      <c r="D80" s="331" t="s">
        <v>315</v>
      </c>
      <c r="E80" s="365"/>
      <c r="F80" s="331"/>
      <c r="G80" s="363"/>
      <c r="H80" s="363"/>
      <c r="I80" s="331"/>
    </row>
    <row r="81" spans="1:9" ht="35.1" customHeight="1">
      <c r="A81" s="364"/>
      <c r="B81" s="331"/>
      <c r="C81" s="344" t="s">
        <v>314</v>
      </c>
      <c r="D81" s="331" t="s">
        <v>313</v>
      </c>
      <c r="E81" s="365"/>
      <c r="F81" s="331"/>
      <c r="G81" s="363"/>
      <c r="H81" s="363"/>
      <c r="I81" s="331"/>
    </row>
    <row r="82" spans="1:9" ht="35.1" customHeight="1">
      <c r="A82" s="364"/>
      <c r="B82" s="331"/>
      <c r="C82" s="344" t="s">
        <v>312</v>
      </c>
      <c r="D82" s="331" t="s">
        <v>311</v>
      </c>
      <c r="E82" s="365"/>
      <c r="F82" s="331"/>
      <c r="G82" s="363"/>
      <c r="H82" s="363"/>
      <c r="I82" s="331"/>
    </row>
    <row r="83" spans="1:9" ht="35.1" customHeight="1">
      <c r="A83" s="364"/>
      <c r="B83" s="331"/>
      <c r="C83" s="344" t="s">
        <v>310</v>
      </c>
      <c r="D83" s="331" t="s">
        <v>309</v>
      </c>
      <c r="E83" s="365"/>
      <c r="F83" s="331"/>
      <c r="G83" s="363"/>
      <c r="H83" s="363"/>
      <c r="I83" s="331"/>
    </row>
    <row r="84" spans="1:9" ht="35.1" customHeight="1">
      <c r="A84" s="364"/>
      <c r="B84" s="331"/>
      <c r="C84" s="344" t="s">
        <v>308</v>
      </c>
      <c r="D84" s="331" t="s">
        <v>307</v>
      </c>
      <c r="E84" s="365"/>
      <c r="F84" s="331"/>
      <c r="G84" s="363"/>
      <c r="H84" s="363"/>
      <c r="I84" s="331"/>
    </row>
    <row r="85" spans="1:9" ht="35.1" customHeight="1">
      <c r="A85" s="364"/>
      <c r="B85" s="331"/>
      <c r="C85" s="344" t="s">
        <v>306</v>
      </c>
      <c r="D85" s="331" t="s">
        <v>303</v>
      </c>
      <c r="E85" s="365"/>
      <c r="F85" s="331"/>
      <c r="G85" s="363"/>
      <c r="H85" s="363"/>
      <c r="I85" s="331"/>
    </row>
    <row r="86" spans="1:9" ht="35.1" customHeight="1">
      <c r="A86" s="364"/>
      <c r="B86" s="331"/>
      <c r="C86" s="344" t="s">
        <v>305</v>
      </c>
      <c r="D86" s="331" t="s">
        <v>303</v>
      </c>
      <c r="E86" s="365"/>
      <c r="F86" s="331"/>
      <c r="G86" s="363"/>
      <c r="H86" s="363"/>
      <c r="I86" s="331"/>
    </row>
    <row r="87" spans="1:9" ht="35.1" customHeight="1">
      <c r="A87" s="364"/>
      <c r="B87" s="331"/>
      <c r="C87" s="344" t="s">
        <v>304</v>
      </c>
      <c r="D87" s="331" t="s">
        <v>303</v>
      </c>
      <c r="E87" s="365"/>
      <c r="F87" s="331"/>
      <c r="G87" s="363"/>
      <c r="H87" s="363"/>
      <c r="I87" s="331"/>
    </row>
    <row r="88" spans="1:9" ht="35.1" customHeight="1">
      <c r="A88" s="364"/>
      <c r="B88" s="331"/>
      <c r="C88" s="344" t="s">
        <v>302</v>
      </c>
      <c r="D88" s="331" t="s">
        <v>301</v>
      </c>
      <c r="E88" s="365"/>
      <c r="F88" s="331"/>
      <c r="G88" s="363"/>
      <c r="H88" s="363"/>
      <c r="I88" s="331"/>
    </row>
    <row r="89" spans="1:9" ht="35.1" customHeight="1">
      <c r="A89" s="364"/>
      <c r="B89" s="331"/>
      <c r="C89" s="344" t="s">
        <v>717</v>
      </c>
      <c r="D89" s="331" t="s">
        <v>4090</v>
      </c>
      <c r="E89" s="365">
        <v>44636</v>
      </c>
      <c r="F89" s="331"/>
      <c r="G89" s="363"/>
      <c r="H89" s="363"/>
      <c r="I89" s="331"/>
    </row>
    <row r="90" spans="1:9" ht="35.1" customHeight="1">
      <c r="C90" s="344" t="s">
        <v>718</v>
      </c>
      <c r="D90" s="331" t="s">
        <v>4090</v>
      </c>
      <c r="E90" s="365">
        <v>44636</v>
      </c>
    </row>
    <row r="91" spans="1:9" ht="35.1" customHeight="1">
      <c r="C91" s="344" t="s">
        <v>719</v>
      </c>
      <c r="D91" s="331" t="s">
        <v>4090</v>
      </c>
      <c r="E91" s="365">
        <v>44636</v>
      </c>
    </row>
    <row r="92" spans="1:9" ht="35.1" customHeight="1">
      <c r="C92" s="344" t="s">
        <v>720</v>
      </c>
      <c r="D92" s="331" t="s">
        <v>4090</v>
      </c>
      <c r="E92" s="365">
        <v>44636</v>
      </c>
    </row>
    <row r="93" spans="1:9" ht="35.1" customHeight="1">
      <c r="C93" s="344" t="s">
        <v>721</v>
      </c>
      <c r="D93" s="331" t="s">
        <v>4090</v>
      </c>
      <c r="E93" s="365">
        <v>44636</v>
      </c>
    </row>
    <row r="94" spans="1:9" ht="35.1" customHeight="1">
      <c r="C94" s="344" t="s">
        <v>722</v>
      </c>
      <c r="D94" s="331" t="s">
        <v>4090</v>
      </c>
      <c r="E94" s="365">
        <v>44636</v>
      </c>
    </row>
    <row r="95" spans="1:9" ht="35.1" customHeight="1">
      <c r="C95" s="344" t="s">
        <v>4097</v>
      </c>
      <c r="D95" s="331" t="s">
        <v>4090</v>
      </c>
      <c r="E95" s="365">
        <v>44636</v>
      </c>
    </row>
    <row r="96" spans="1:9" ht="35.1" customHeight="1">
      <c r="C96" s="344" t="s">
        <v>4096</v>
      </c>
      <c r="D96" s="331" t="s">
        <v>4090</v>
      </c>
      <c r="E96" s="365">
        <v>44636</v>
      </c>
    </row>
    <row r="97" spans="3:8" s="324" customFormat="1" ht="35.1" customHeight="1">
      <c r="C97" s="344" t="s">
        <v>4095</v>
      </c>
      <c r="D97" s="331" t="s">
        <v>4090</v>
      </c>
      <c r="E97" s="365">
        <v>44636</v>
      </c>
      <c r="G97" s="325"/>
      <c r="H97" s="325"/>
    </row>
    <row r="98" spans="3:8" s="324" customFormat="1" ht="35.1" customHeight="1">
      <c r="C98" s="344" t="s">
        <v>4094</v>
      </c>
      <c r="D98" s="331" t="s">
        <v>4090</v>
      </c>
      <c r="E98" s="365">
        <v>44636</v>
      </c>
      <c r="G98" s="325"/>
      <c r="H98" s="325"/>
    </row>
    <row r="99" spans="3:8" s="324" customFormat="1" ht="35.1" customHeight="1">
      <c r="C99" s="344" t="s">
        <v>4093</v>
      </c>
      <c r="D99" s="331" t="s">
        <v>4090</v>
      </c>
      <c r="E99" s="365">
        <v>44636</v>
      </c>
      <c r="G99" s="325"/>
      <c r="H99" s="325"/>
    </row>
    <row r="100" spans="3:8" s="324" customFormat="1" ht="35.1" customHeight="1">
      <c r="C100" s="344" t="s">
        <v>4092</v>
      </c>
      <c r="D100" s="331" t="s">
        <v>4090</v>
      </c>
      <c r="E100" s="365">
        <v>44636</v>
      </c>
      <c r="G100" s="325"/>
      <c r="H100" s="325"/>
    </row>
    <row r="101" spans="3:8" s="324" customFormat="1" ht="35.1" customHeight="1">
      <c r="C101" s="344" t="s">
        <v>4091</v>
      </c>
      <c r="D101" s="331" t="s">
        <v>4090</v>
      </c>
      <c r="E101" s="365">
        <v>44636</v>
      </c>
      <c r="G101" s="325"/>
      <c r="H101" s="325"/>
    </row>
    <row r="102" spans="3:8" s="324" customFormat="1" ht="35.1" customHeight="1">
      <c r="C102" s="344" t="s">
        <v>971</v>
      </c>
      <c r="D102" s="331" t="s">
        <v>4090</v>
      </c>
      <c r="E102" s="365">
        <v>44636</v>
      </c>
      <c r="G102" s="325"/>
      <c r="H102" s="325"/>
    </row>
    <row r="103" spans="3:8" s="324" customFormat="1" ht="35.1" customHeight="1">
      <c r="C103" s="344" t="s">
        <v>972</v>
      </c>
      <c r="D103" s="331" t="s">
        <v>4090</v>
      </c>
      <c r="E103" s="365">
        <v>44636</v>
      </c>
      <c r="G103" s="325"/>
      <c r="H103" s="325"/>
    </row>
    <row r="104" spans="3:8" s="324" customFormat="1" ht="35.1" customHeight="1">
      <c r="C104" s="344" t="s">
        <v>978</v>
      </c>
      <c r="D104" s="331" t="s">
        <v>550</v>
      </c>
      <c r="E104" s="365">
        <v>44635</v>
      </c>
      <c r="G104" s="325"/>
      <c r="H104" s="325"/>
    </row>
    <row r="105" spans="3:8" s="324" customFormat="1" ht="35.1" customHeight="1">
      <c r="C105" s="344" t="s">
        <v>979</v>
      </c>
      <c r="D105" s="331" t="s">
        <v>550</v>
      </c>
      <c r="E105" s="365">
        <v>44635</v>
      </c>
      <c r="G105" s="325"/>
      <c r="H105" s="325"/>
    </row>
    <row r="106" spans="3:8" s="324" customFormat="1" ht="35.1" customHeight="1">
      <c r="C106" s="344" t="s">
        <v>980</v>
      </c>
      <c r="D106" s="331" t="s">
        <v>550</v>
      </c>
      <c r="E106" s="365">
        <v>44635</v>
      </c>
      <c r="G106" s="325"/>
      <c r="H106" s="325"/>
    </row>
    <row r="107" spans="3:8" s="324" customFormat="1" ht="35.1" customHeight="1">
      <c r="C107" s="344" t="s">
        <v>981</v>
      </c>
      <c r="D107" s="331" t="s">
        <v>550</v>
      </c>
      <c r="E107" s="365">
        <v>44635</v>
      </c>
      <c r="G107" s="325"/>
      <c r="H107" s="325"/>
    </row>
    <row r="108" spans="3:8" s="324" customFormat="1" ht="35.1" customHeight="1">
      <c r="C108" s="344" t="s">
        <v>1004</v>
      </c>
      <c r="D108" s="331" t="s">
        <v>550</v>
      </c>
      <c r="E108" s="365">
        <v>44635</v>
      </c>
      <c r="G108" s="325"/>
      <c r="H108" s="325"/>
    </row>
    <row r="109" spans="3:8" s="324" customFormat="1" ht="35.1" customHeight="1">
      <c r="C109" s="344" t="s">
        <v>1005</v>
      </c>
      <c r="D109" s="331" t="s">
        <v>550</v>
      </c>
      <c r="E109" s="365">
        <v>44635</v>
      </c>
      <c r="G109" s="325"/>
      <c r="H109" s="325"/>
    </row>
    <row r="110" spans="3:8" s="324" customFormat="1" ht="35.1" customHeight="1">
      <c r="C110" s="344" t="s">
        <v>411</v>
      </c>
      <c r="D110" s="331" t="s">
        <v>550</v>
      </c>
      <c r="E110" s="365">
        <v>44635</v>
      </c>
      <c r="G110" s="325"/>
      <c r="H110" s="325"/>
    </row>
    <row r="111" spans="3:8" s="324" customFormat="1" ht="35.1" customHeight="1">
      <c r="C111" s="344" t="s">
        <v>549</v>
      </c>
      <c r="D111" s="331" t="s">
        <v>550</v>
      </c>
      <c r="E111" s="365">
        <v>44635</v>
      </c>
      <c r="G111" s="325"/>
      <c r="H111" s="325"/>
    </row>
    <row r="112" spans="3:8" s="324" customFormat="1" ht="35.1" customHeight="1">
      <c r="C112" s="344" t="s">
        <v>552</v>
      </c>
      <c r="D112" s="331" t="s">
        <v>550</v>
      </c>
      <c r="E112" s="365">
        <v>44635</v>
      </c>
      <c r="G112" s="325"/>
      <c r="H112" s="325"/>
    </row>
    <row r="113" spans="3:8" s="324" customFormat="1" ht="35.1" customHeight="1">
      <c r="C113" s="344" t="s">
        <v>553</v>
      </c>
      <c r="D113" s="331" t="s">
        <v>550</v>
      </c>
      <c r="E113" s="365">
        <v>44635</v>
      </c>
      <c r="G113" s="325"/>
      <c r="H113" s="325"/>
    </row>
    <row r="114" spans="3:8" s="324" customFormat="1" ht="35.1" customHeight="1">
      <c r="C114" s="344" t="s">
        <v>554</v>
      </c>
      <c r="D114" s="331" t="s">
        <v>550</v>
      </c>
      <c r="E114" s="365">
        <v>44635</v>
      </c>
      <c r="G114" s="325"/>
      <c r="H114" s="325"/>
    </row>
    <row r="115" spans="3:8" s="324" customFormat="1" ht="35.1" customHeight="1">
      <c r="C115" s="344" t="s">
        <v>555</v>
      </c>
      <c r="D115" s="331" t="s">
        <v>550</v>
      </c>
      <c r="E115" s="365">
        <v>44635</v>
      </c>
      <c r="G115" s="325"/>
      <c r="H115" s="325"/>
    </row>
    <row r="116" spans="3:8" s="324" customFormat="1" ht="35.1" customHeight="1">
      <c r="C116" s="344" t="s">
        <v>556</v>
      </c>
      <c r="D116" s="331" t="s">
        <v>550</v>
      </c>
      <c r="E116" s="365">
        <v>44635</v>
      </c>
      <c r="G116" s="325"/>
      <c r="H116" s="325"/>
    </row>
    <row r="117" spans="3:8" s="324" customFormat="1" ht="35.1" customHeight="1">
      <c r="C117" s="344" t="s">
        <v>557</v>
      </c>
      <c r="D117" s="331" t="s">
        <v>550</v>
      </c>
      <c r="E117" s="365">
        <v>44635</v>
      </c>
      <c r="G117" s="325"/>
      <c r="H117" s="325"/>
    </row>
    <row r="118" spans="3:8" s="324" customFormat="1" ht="35.1" customHeight="1">
      <c r="C118" s="344" t="s">
        <v>1006</v>
      </c>
      <c r="D118" s="331" t="s">
        <v>550</v>
      </c>
      <c r="E118" s="365">
        <v>44635</v>
      </c>
      <c r="G118" s="325"/>
      <c r="H118" s="325"/>
    </row>
    <row r="119" spans="3:8" s="324" customFormat="1" ht="35.1" customHeight="1">
      <c r="C119" s="344" t="s">
        <v>1007</v>
      </c>
      <c r="D119" s="331" t="s">
        <v>550</v>
      </c>
      <c r="E119" s="375" t="s">
        <v>4087</v>
      </c>
      <c r="G119" s="325"/>
      <c r="H119" s="325"/>
    </row>
    <row r="120" spans="3:8" s="324" customFormat="1" ht="35.1" customHeight="1">
      <c r="C120" s="344" t="s">
        <v>1008</v>
      </c>
      <c r="D120" s="331" t="s">
        <v>550</v>
      </c>
      <c r="E120" s="375" t="s">
        <v>4087</v>
      </c>
      <c r="G120" s="325"/>
      <c r="H120" s="325"/>
    </row>
    <row r="121" spans="3:8" s="324" customFormat="1" ht="35.1" customHeight="1">
      <c r="C121" s="344" t="s">
        <v>1009</v>
      </c>
      <c r="D121" s="331" t="s">
        <v>550</v>
      </c>
      <c r="E121" s="375" t="s">
        <v>4087</v>
      </c>
      <c r="G121" s="325"/>
      <c r="H121" s="325"/>
    </row>
    <row r="122" spans="3:8" s="324" customFormat="1" ht="35.1" customHeight="1">
      <c r="C122" s="344" t="s">
        <v>1010</v>
      </c>
      <c r="D122" s="331" t="s">
        <v>550</v>
      </c>
      <c r="E122" s="375" t="s">
        <v>4087</v>
      </c>
      <c r="G122" s="325"/>
      <c r="H122" s="325"/>
    </row>
    <row r="123" spans="3:8" s="324" customFormat="1" ht="35.1" customHeight="1">
      <c r="C123" s="344" t="s">
        <v>1011</v>
      </c>
      <c r="D123" s="331" t="s">
        <v>550</v>
      </c>
      <c r="E123" s="375" t="s">
        <v>4087</v>
      </c>
      <c r="G123" s="325"/>
      <c r="H123" s="325"/>
    </row>
    <row r="124" spans="3:8" s="324" customFormat="1" ht="35.1" customHeight="1">
      <c r="C124" s="344" t="s">
        <v>1012</v>
      </c>
      <c r="D124" s="331" t="s">
        <v>550</v>
      </c>
      <c r="E124" s="375" t="s">
        <v>4087</v>
      </c>
      <c r="G124" s="325"/>
      <c r="H124" s="325"/>
    </row>
    <row r="125" spans="3:8" s="324" customFormat="1" ht="35.1" customHeight="1">
      <c r="C125" s="344" t="s">
        <v>1013</v>
      </c>
      <c r="D125" s="331" t="s">
        <v>550</v>
      </c>
      <c r="E125" s="375" t="s">
        <v>4087</v>
      </c>
      <c r="G125" s="325"/>
      <c r="H125" s="325"/>
    </row>
    <row r="126" spans="3:8" s="324" customFormat="1" ht="35.1" customHeight="1">
      <c r="C126" s="344" t="s">
        <v>1014</v>
      </c>
      <c r="D126" s="331" t="s">
        <v>550</v>
      </c>
      <c r="E126" s="375" t="s">
        <v>4087</v>
      </c>
      <c r="G126" s="325"/>
      <c r="H126" s="325"/>
    </row>
    <row r="127" spans="3:8" s="324" customFormat="1" ht="35.1" customHeight="1">
      <c r="C127" s="344" t="s">
        <v>1015</v>
      </c>
      <c r="D127" s="331" t="s">
        <v>550</v>
      </c>
      <c r="E127" s="375" t="s">
        <v>4087</v>
      </c>
      <c r="G127" s="325"/>
      <c r="H127" s="325"/>
    </row>
    <row r="128" spans="3:8" s="324" customFormat="1" ht="35.1" customHeight="1">
      <c r="C128" s="344" t="s">
        <v>1016</v>
      </c>
      <c r="D128" s="331" t="s">
        <v>550</v>
      </c>
      <c r="E128" s="375" t="s">
        <v>4087</v>
      </c>
      <c r="G128" s="325"/>
      <c r="H128" s="325"/>
    </row>
    <row r="129" spans="3:8" s="324" customFormat="1" ht="35.1" customHeight="1">
      <c r="C129" s="344" t="s">
        <v>1017</v>
      </c>
      <c r="D129" s="331" t="s">
        <v>550</v>
      </c>
      <c r="E129" s="375" t="s">
        <v>4087</v>
      </c>
      <c r="G129" s="325"/>
      <c r="H129" s="325"/>
    </row>
    <row r="130" spans="3:8" s="324" customFormat="1" ht="35.1" customHeight="1">
      <c r="C130" s="344" t="s">
        <v>1018</v>
      </c>
      <c r="D130" s="331" t="s">
        <v>550</v>
      </c>
      <c r="E130" s="375" t="s">
        <v>4087</v>
      </c>
      <c r="G130" s="325"/>
      <c r="H130" s="325"/>
    </row>
    <row r="131" spans="3:8" s="324" customFormat="1" ht="35.1" customHeight="1">
      <c r="C131" s="344" t="s">
        <v>1019</v>
      </c>
      <c r="D131" s="331" t="s">
        <v>550</v>
      </c>
      <c r="E131" s="375" t="s">
        <v>4087</v>
      </c>
      <c r="G131" s="325"/>
      <c r="H131" s="325"/>
    </row>
    <row r="132" spans="3:8" s="324" customFormat="1" ht="35.1" customHeight="1">
      <c r="C132" s="344" t="s">
        <v>1020</v>
      </c>
      <c r="D132" s="331" t="s">
        <v>550</v>
      </c>
      <c r="E132" s="375" t="s">
        <v>4087</v>
      </c>
      <c r="G132" s="325"/>
      <c r="H132" s="325"/>
    </row>
    <row r="133" spans="3:8" s="324" customFormat="1" ht="35.1" customHeight="1">
      <c r="C133" s="344" t="s">
        <v>1021</v>
      </c>
      <c r="D133" s="331" t="s">
        <v>550</v>
      </c>
      <c r="E133" s="375" t="s">
        <v>4087</v>
      </c>
      <c r="G133" s="325"/>
      <c r="H133" s="325"/>
    </row>
    <row r="134" spans="3:8" s="324" customFormat="1" ht="35.1" customHeight="1">
      <c r="C134" s="344" t="s">
        <v>1022</v>
      </c>
      <c r="D134" s="331" t="s">
        <v>550</v>
      </c>
      <c r="E134" s="375" t="s">
        <v>4087</v>
      </c>
      <c r="G134" s="325"/>
      <c r="H134" s="325"/>
    </row>
    <row r="135" spans="3:8" s="324" customFormat="1" ht="35.1" customHeight="1">
      <c r="C135" s="344" t="s">
        <v>1023</v>
      </c>
      <c r="D135" s="331" t="s">
        <v>550</v>
      </c>
      <c r="E135" s="375" t="s">
        <v>4087</v>
      </c>
      <c r="G135" s="325"/>
      <c r="H135" s="325"/>
    </row>
    <row r="136" spans="3:8" s="324" customFormat="1" ht="35.1" customHeight="1">
      <c r="C136" s="344" t="s">
        <v>1024</v>
      </c>
      <c r="D136" s="331" t="s">
        <v>4090</v>
      </c>
      <c r="E136" s="375" t="s">
        <v>4087</v>
      </c>
      <c r="G136" s="325"/>
      <c r="H136" s="325"/>
    </row>
    <row r="137" spans="3:8" s="324" customFormat="1" ht="35.1" customHeight="1">
      <c r="C137" s="344" t="s">
        <v>1025</v>
      </c>
      <c r="D137" s="331" t="s">
        <v>4090</v>
      </c>
      <c r="E137" s="375" t="s">
        <v>4087</v>
      </c>
      <c r="G137" s="325"/>
      <c r="H137" s="325"/>
    </row>
    <row r="138" spans="3:8" s="324" customFormat="1" ht="35.1" customHeight="1">
      <c r="C138" s="344" t="s">
        <v>1026</v>
      </c>
      <c r="D138" s="331" t="s">
        <v>4090</v>
      </c>
      <c r="E138" s="375" t="s">
        <v>4087</v>
      </c>
      <c r="G138" s="325"/>
      <c r="H138" s="325"/>
    </row>
    <row r="139" spans="3:8" s="324" customFormat="1" ht="35.1" customHeight="1">
      <c r="C139" s="344" t="s">
        <v>1027</v>
      </c>
      <c r="D139" s="331" t="s">
        <v>4090</v>
      </c>
      <c r="E139" s="375" t="s">
        <v>4087</v>
      </c>
      <c r="G139" s="325"/>
      <c r="H139" s="325"/>
    </row>
    <row r="140" spans="3:8" s="324" customFormat="1" ht="35.1" customHeight="1">
      <c r="C140" s="344" t="s">
        <v>1028</v>
      </c>
      <c r="D140" s="331" t="s">
        <v>4090</v>
      </c>
      <c r="E140" s="375" t="s">
        <v>4087</v>
      </c>
      <c r="G140" s="325"/>
      <c r="H140" s="325"/>
    </row>
    <row r="141" spans="3:8" s="324" customFormat="1" ht="35.1" customHeight="1">
      <c r="C141" s="344" t="s">
        <v>1029</v>
      </c>
      <c r="D141" s="331" t="s">
        <v>4090</v>
      </c>
      <c r="E141" s="375" t="s">
        <v>4087</v>
      </c>
      <c r="G141" s="325"/>
      <c r="H141" s="325"/>
    </row>
    <row r="142" spans="3:8" s="324" customFormat="1" ht="35.1" customHeight="1">
      <c r="C142" s="344" t="s">
        <v>1030</v>
      </c>
      <c r="D142" s="331" t="s">
        <v>4090</v>
      </c>
      <c r="E142" s="375" t="s">
        <v>4087</v>
      </c>
      <c r="G142" s="325"/>
      <c r="H142" s="325"/>
    </row>
    <row r="143" spans="3:8" s="324" customFormat="1" ht="35.1" customHeight="1">
      <c r="C143" s="344" t="s">
        <v>1031</v>
      </c>
      <c r="D143" s="331" t="s">
        <v>4090</v>
      </c>
      <c r="E143" s="375" t="s">
        <v>4087</v>
      </c>
      <c r="G143" s="325"/>
      <c r="H143" s="325"/>
    </row>
    <row r="144" spans="3:8" s="324" customFormat="1" ht="35.1" customHeight="1">
      <c r="C144" s="344" t="s">
        <v>1032</v>
      </c>
      <c r="D144" s="331" t="s">
        <v>4090</v>
      </c>
      <c r="E144" s="375" t="s">
        <v>4087</v>
      </c>
      <c r="G144" s="325"/>
      <c r="H144" s="325"/>
    </row>
    <row r="145" spans="1:8" s="324" customFormat="1" ht="35.1" customHeight="1">
      <c r="A145" s="323"/>
      <c r="C145" s="344" t="s">
        <v>1033</v>
      </c>
      <c r="D145" s="331" t="s">
        <v>4090</v>
      </c>
      <c r="E145" s="375" t="s">
        <v>4087</v>
      </c>
      <c r="G145" s="325"/>
      <c r="H145" s="325"/>
    </row>
    <row r="146" spans="1:8" s="324" customFormat="1" ht="35.1" customHeight="1">
      <c r="A146" s="323"/>
      <c r="C146" s="344" t="s">
        <v>1034</v>
      </c>
      <c r="D146" s="331" t="s">
        <v>4088</v>
      </c>
      <c r="E146" s="375" t="s">
        <v>4087</v>
      </c>
      <c r="G146" s="325"/>
      <c r="H146" s="325"/>
    </row>
    <row r="147" spans="1:8" s="324" customFormat="1" ht="35.1" customHeight="1">
      <c r="A147" s="323"/>
      <c r="C147" s="344" t="s">
        <v>1035</v>
      </c>
      <c r="D147" s="331" t="s">
        <v>4088</v>
      </c>
      <c r="E147" s="375" t="s">
        <v>4087</v>
      </c>
      <c r="G147" s="325"/>
      <c r="H147" s="325"/>
    </row>
    <row r="148" spans="1:8" s="324" customFormat="1" ht="35.1" customHeight="1">
      <c r="A148" s="323"/>
      <c r="C148" s="344" t="s">
        <v>1036</v>
      </c>
      <c r="D148" s="331" t="s">
        <v>4088</v>
      </c>
      <c r="E148" s="375" t="s">
        <v>4087</v>
      </c>
      <c r="G148" s="325"/>
      <c r="H148" s="325"/>
    </row>
    <row r="149" spans="1:8" s="324" customFormat="1" ht="35.1" customHeight="1">
      <c r="A149" s="323"/>
      <c r="C149" s="344" t="s">
        <v>1037</v>
      </c>
      <c r="D149" s="331" t="s">
        <v>4088</v>
      </c>
      <c r="E149" s="375" t="s">
        <v>4087</v>
      </c>
      <c r="G149" s="325"/>
      <c r="H149" s="325"/>
    </row>
    <row r="150" spans="1:8" s="324" customFormat="1" ht="35.1" customHeight="1">
      <c r="A150" s="323"/>
      <c r="C150" s="344" t="s">
        <v>1038</v>
      </c>
      <c r="D150" s="331" t="s">
        <v>4088</v>
      </c>
      <c r="E150" s="375" t="s">
        <v>4087</v>
      </c>
      <c r="G150" s="325"/>
      <c r="H150" s="325"/>
    </row>
    <row r="151" spans="1:8" s="324" customFormat="1" ht="35.1" customHeight="1">
      <c r="A151" s="323"/>
      <c r="C151" s="344" t="s">
        <v>1039</v>
      </c>
      <c r="D151" s="331" t="s">
        <v>4088</v>
      </c>
      <c r="E151" s="375" t="s">
        <v>4087</v>
      </c>
      <c r="G151" s="325"/>
      <c r="H151" s="325"/>
    </row>
    <row r="152" spans="1:8" s="324" customFormat="1" ht="35.1" customHeight="1">
      <c r="A152" s="323"/>
      <c r="C152" s="344" t="s">
        <v>1040</v>
      </c>
      <c r="D152" s="331" t="s">
        <v>4088</v>
      </c>
      <c r="E152" s="375" t="s">
        <v>4087</v>
      </c>
      <c r="G152" s="325"/>
      <c r="H152" s="325"/>
    </row>
    <row r="153" spans="1:8" s="324" customFormat="1" ht="35.1" customHeight="1">
      <c r="A153" s="323"/>
      <c r="C153" s="344" t="s">
        <v>1041</v>
      </c>
      <c r="D153" s="331" t="s">
        <v>4088</v>
      </c>
      <c r="E153" s="375" t="s">
        <v>4087</v>
      </c>
      <c r="G153" s="325"/>
      <c r="H153" s="325"/>
    </row>
    <row r="154" spans="1:8" s="324" customFormat="1" ht="35.1" customHeight="1">
      <c r="A154" s="323"/>
      <c r="C154" s="344" t="s">
        <v>1042</v>
      </c>
      <c r="D154" s="331" t="s">
        <v>4088</v>
      </c>
      <c r="E154" s="375" t="s">
        <v>4087</v>
      </c>
      <c r="F154" s="324" t="s">
        <v>4089</v>
      </c>
      <c r="G154" s="325"/>
      <c r="H154" s="325"/>
    </row>
    <row r="155" spans="1:8" s="324" customFormat="1" ht="35.1" customHeight="1">
      <c r="A155" s="323"/>
      <c r="C155" s="344" t="s">
        <v>1043</v>
      </c>
      <c r="D155" s="331" t="s">
        <v>4088</v>
      </c>
      <c r="E155" s="375" t="s">
        <v>4087</v>
      </c>
      <c r="G155" s="325"/>
      <c r="H155" s="325"/>
    </row>
    <row r="156" spans="1:8" s="324" customFormat="1" ht="35.1" customHeight="1">
      <c r="A156" s="323"/>
      <c r="C156" s="344" t="s">
        <v>4086</v>
      </c>
      <c r="D156" s="331" t="s">
        <v>4085</v>
      </c>
      <c r="E156" s="365">
        <v>44635</v>
      </c>
      <c r="G156" s="325"/>
      <c r="H156" s="325"/>
    </row>
    <row r="157" spans="1:8" s="324" customFormat="1" ht="35.1" customHeight="1">
      <c r="A157" s="364"/>
      <c r="B157" s="331"/>
      <c r="C157" s="344" t="s">
        <v>1582</v>
      </c>
      <c r="D157" s="331" t="s">
        <v>4084</v>
      </c>
      <c r="E157" s="375" t="s">
        <v>4083</v>
      </c>
      <c r="F157" s="363"/>
      <c r="G157" s="331"/>
    </row>
    <row r="158" spans="1:8" s="324" customFormat="1" ht="35.1" customHeight="1">
      <c r="A158" s="323"/>
      <c r="C158" s="344" t="s">
        <v>1997</v>
      </c>
      <c r="D158" s="331" t="s">
        <v>4084</v>
      </c>
      <c r="E158" s="375" t="s">
        <v>4083</v>
      </c>
      <c r="G158" s="325"/>
      <c r="H158" s="325"/>
    </row>
    <row r="159" spans="1:8" s="324" customFormat="1" ht="35.1" customHeight="1">
      <c r="A159" s="323"/>
      <c r="C159" s="344" t="s">
        <v>1995</v>
      </c>
      <c r="D159" s="331" t="s">
        <v>4084</v>
      </c>
      <c r="E159" s="375" t="s">
        <v>4083</v>
      </c>
      <c r="G159" s="325"/>
      <c r="H159" s="325"/>
    </row>
    <row r="160" spans="1:8" s="324" customFormat="1">
      <c r="A160" s="323"/>
      <c r="C160" s="344" t="s">
        <v>669</v>
      </c>
      <c r="D160" s="331" t="s">
        <v>4082</v>
      </c>
      <c r="E160" s="375">
        <v>44665</v>
      </c>
      <c r="G160" s="325"/>
      <c r="H160" s="325"/>
    </row>
    <row r="161" spans="3:8" s="324" customFormat="1">
      <c r="C161" s="344" t="s">
        <v>498</v>
      </c>
      <c r="D161" s="331" t="s">
        <v>4081</v>
      </c>
      <c r="E161" s="375">
        <v>44672</v>
      </c>
      <c r="G161" s="325"/>
      <c r="H161" s="325"/>
    </row>
    <row r="162" spans="3:8" s="324" customFormat="1">
      <c r="C162" s="344" t="s">
        <v>299</v>
      </c>
      <c r="D162" s="331" t="s">
        <v>298</v>
      </c>
      <c r="E162" s="375">
        <v>44672</v>
      </c>
      <c r="G162" s="325"/>
      <c r="H162" s="325"/>
    </row>
    <row r="163" spans="3:8" s="324" customFormat="1">
      <c r="C163" s="344" t="s">
        <v>297</v>
      </c>
      <c r="D163" s="331" t="s">
        <v>296</v>
      </c>
      <c r="E163" s="375">
        <v>44672</v>
      </c>
      <c r="G163" s="325"/>
      <c r="H163" s="325"/>
    </row>
    <row r="164" spans="3:8" s="324" customFormat="1">
      <c r="C164" s="344" t="s">
        <v>3868</v>
      </c>
      <c r="D164" s="331" t="s">
        <v>4080</v>
      </c>
      <c r="E164" s="375">
        <v>44679</v>
      </c>
      <c r="G164" s="325"/>
      <c r="H164" s="325"/>
    </row>
    <row r="165" spans="3:8" s="324" customFormat="1" ht="35.1" customHeight="1">
      <c r="C165" s="344" t="s">
        <v>175</v>
      </c>
      <c r="D165" s="331" t="s">
        <v>174</v>
      </c>
      <c r="E165" s="375">
        <v>44679</v>
      </c>
      <c r="G165" s="325"/>
      <c r="H165" s="325"/>
    </row>
    <row r="166" spans="3:8" s="324" customFormat="1">
      <c r="C166" s="344" t="s">
        <v>266</v>
      </c>
      <c r="D166" s="331" t="s">
        <v>265</v>
      </c>
      <c r="E166" s="375">
        <v>44680</v>
      </c>
      <c r="G166" s="325"/>
      <c r="H166" s="325"/>
    </row>
    <row r="167" spans="3:8" s="324" customFormat="1">
      <c r="C167" s="344" t="s">
        <v>264</v>
      </c>
      <c r="D167" s="331" t="s">
        <v>261</v>
      </c>
      <c r="E167" s="375">
        <v>44680</v>
      </c>
      <c r="G167" s="325"/>
      <c r="H167" s="325"/>
    </row>
    <row r="168" spans="3:8" s="324" customFormat="1">
      <c r="C168" s="344" t="s">
        <v>263</v>
      </c>
      <c r="D168" s="331" t="s">
        <v>261</v>
      </c>
      <c r="E168" s="375">
        <v>44680</v>
      </c>
      <c r="G168" s="325"/>
      <c r="H168" s="325"/>
    </row>
    <row r="169" spans="3:8" s="324" customFormat="1">
      <c r="C169" s="344" t="s">
        <v>262</v>
      </c>
      <c r="D169" s="331" t="s">
        <v>261</v>
      </c>
      <c r="E169" s="375">
        <v>44680</v>
      </c>
      <c r="G169" s="325"/>
      <c r="H169" s="325"/>
    </row>
    <row r="170" spans="3:8" s="324" customFormat="1">
      <c r="C170" s="344" t="s">
        <v>260</v>
      </c>
      <c r="D170" s="331" t="s">
        <v>259</v>
      </c>
      <c r="E170" s="375">
        <v>44680</v>
      </c>
      <c r="G170" s="325"/>
      <c r="H170" s="325"/>
    </row>
    <row r="171" spans="3:8" s="324" customFormat="1">
      <c r="C171" s="344" t="s">
        <v>258</v>
      </c>
      <c r="D171" s="331" t="s">
        <v>257</v>
      </c>
      <c r="E171" s="375">
        <v>44680</v>
      </c>
      <c r="G171" s="325"/>
      <c r="H171" s="325"/>
    </row>
    <row r="172" spans="3:8" s="324" customFormat="1">
      <c r="C172" s="344" t="s">
        <v>256</v>
      </c>
      <c r="D172" s="331" t="s">
        <v>254</v>
      </c>
      <c r="E172" s="375">
        <v>44680</v>
      </c>
      <c r="G172" s="325"/>
      <c r="H172" s="325"/>
    </row>
    <row r="173" spans="3:8" s="324" customFormat="1">
      <c r="C173" s="344" t="s">
        <v>255</v>
      </c>
      <c r="D173" s="331" t="s">
        <v>254</v>
      </c>
      <c r="E173" s="375">
        <v>44680</v>
      </c>
      <c r="G173" s="325"/>
      <c r="H173" s="325"/>
    </row>
    <row r="174" spans="3:8" s="324" customFormat="1" ht="35.1" customHeight="1">
      <c r="C174" s="329" t="s">
        <v>173</v>
      </c>
      <c r="D174" s="330" t="s">
        <v>172</v>
      </c>
      <c r="E174" s="376">
        <v>44691</v>
      </c>
      <c r="G174" s="325"/>
      <c r="H174" s="325"/>
    </row>
    <row r="175" spans="3:8" s="324" customFormat="1" ht="35.1" customHeight="1">
      <c r="C175" s="329" t="s">
        <v>171</v>
      </c>
      <c r="D175" s="330" t="s">
        <v>170</v>
      </c>
      <c r="E175" s="376">
        <v>44691</v>
      </c>
      <c r="G175" s="325"/>
      <c r="H175" s="325"/>
    </row>
    <row r="176" spans="3:8" s="324" customFormat="1" ht="45">
      <c r="C176" s="329" t="s">
        <v>168</v>
      </c>
      <c r="D176" s="362" t="s">
        <v>4079</v>
      </c>
      <c r="E176" s="376">
        <v>44691</v>
      </c>
      <c r="G176" s="325"/>
      <c r="H176" s="325"/>
    </row>
    <row r="177" spans="3:8" s="324" customFormat="1" ht="45">
      <c r="C177" s="329" t="s">
        <v>166</v>
      </c>
      <c r="D177" s="362" t="s">
        <v>164</v>
      </c>
      <c r="E177" s="376">
        <v>44691</v>
      </c>
      <c r="G177" s="325"/>
      <c r="H177" s="325"/>
    </row>
    <row r="178" spans="3:8" s="324" customFormat="1" ht="45">
      <c r="C178" s="329" t="s">
        <v>163</v>
      </c>
      <c r="D178" s="362" t="s">
        <v>4078</v>
      </c>
      <c r="E178" s="376">
        <v>44691</v>
      </c>
      <c r="G178" s="325"/>
      <c r="H178" s="325"/>
    </row>
    <row r="179" spans="3:8" s="324" customFormat="1" ht="35.1" customHeight="1">
      <c r="C179" s="329" t="s">
        <v>161</v>
      </c>
      <c r="D179" s="362" t="s">
        <v>4077</v>
      </c>
      <c r="E179" s="376">
        <v>44691</v>
      </c>
      <c r="G179" s="325"/>
      <c r="H179" s="325"/>
    </row>
    <row r="180" spans="3:8" s="324" customFormat="1" ht="45">
      <c r="C180" s="329" t="s">
        <v>159</v>
      </c>
      <c r="D180" s="362" t="s">
        <v>4076</v>
      </c>
      <c r="E180" s="376">
        <v>44691</v>
      </c>
      <c r="G180" s="325"/>
      <c r="H180" s="325"/>
    </row>
    <row r="181" spans="3:8" s="324" customFormat="1">
      <c r="C181" s="329" t="s">
        <v>157</v>
      </c>
      <c r="D181" s="324" t="s">
        <v>156</v>
      </c>
      <c r="E181" s="376">
        <v>44691</v>
      </c>
      <c r="G181" s="325"/>
      <c r="H181" s="325"/>
    </row>
    <row r="182" spans="3:8" s="324" customFormat="1">
      <c r="C182" s="344" t="s">
        <v>1840</v>
      </c>
      <c r="D182" s="331" t="s">
        <v>1841</v>
      </c>
      <c r="E182" s="375">
        <v>44692</v>
      </c>
      <c r="G182" s="325"/>
      <c r="H182" s="325"/>
    </row>
    <row r="183" spans="3:8" s="324" customFormat="1">
      <c r="C183" s="344" t="s">
        <v>4075</v>
      </c>
      <c r="D183" s="331" t="s">
        <v>4074</v>
      </c>
      <c r="E183" s="375">
        <v>44692</v>
      </c>
      <c r="G183" s="325"/>
      <c r="H183" s="325"/>
    </row>
    <row r="184" spans="3:8" s="324" customFormat="1">
      <c r="C184" s="329" t="s">
        <v>3133</v>
      </c>
      <c r="D184" s="331" t="s">
        <v>4073</v>
      </c>
      <c r="E184" s="376">
        <v>44714</v>
      </c>
      <c r="G184" s="325"/>
      <c r="H184" s="325"/>
    </row>
    <row r="185" spans="3:8" s="324" customFormat="1">
      <c r="C185" s="329" t="s">
        <v>3139</v>
      </c>
      <c r="D185" s="330" t="s">
        <v>4072</v>
      </c>
      <c r="E185" s="376">
        <v>44714</v>
      </c>
      <c r="G185" s="325"/>
      <c r="H185" s="325"/>
    </row>
    <row r="186" spans="3:8" s="324" customFormat="1">
      <c r="C186" s="329" t="s">
        <v>3145</v>
      </c>
      <c r="D186" s="362" t="s">
        <v>4071</v>
      </c>
      <c r="E186" s="376">
        <v>44714</v>
      </c>
      <c r="G186" s="325"/>
      <c r="H186" s="325"/>
    </row>
    <row r="187" spans="3:8" s="324" customFormat="1" ht="35.1" customHeight="1">
      <c r="C187" s="329" t="s">
        <v>3137</v>
      </c>
      <c r="D187" s="362" t="s">
        <v>4070</v>
      </c>
      <c r="E187" s="376">
        <v>44714</v>
      </c>
      <c r="G187" s="325"/>
      <c r="H187" s="325"/>
    </row>
    <row r="188" spans="3:8" s="324" customFormat="1" ht="35.1" customHeight="1">
      <c r="C188" s="329" t="s">
        <v>3155</v>
      </c>
      <c r="D188" s="362" t="s">
        <v>3207</v>
      </c>
      <c r="E188" s="376">
        <v>44714</v>
      </c>
      <c r="G188" s="325"/>
      <c r="H188" s="325"/>
    </row>
    <row r="189" spans="3:8" s="324" customFormat="1">
      <c r="C189" s="329" t="s">
        <v>3147</v>
      </c>
      <c r="D189" s="362" t="s">
        <v>4069</v>
      </c>
      <c r="E189" s="376">
        <v>44714</v>
      </c>
      <c r="G189" s="325"/>
      <c r="H189" s="325"/>
    </row>
    <row r="190" spans="3:8" s="324" customFormat="1" ht="35.1" customHeight="1">
      <c r="C190" s="329" t="s">
        <v>306</v>
      </c>
      <c r="D190" s="362" t="s">
        <v>4068</v>
      </c>
      <c r="E190" s="376">
        <v>44714</v>
      </c>
      <c r="G190" s="325"/>
      <c r="H190" s="325"/>
    </row>
    <row r="191" spans="3:8" s="324" customFormat="1">
      <c r="C191" s="329" t="s">
        <v>3153</v>
      </c>
      <c r="D191" s="324" t="s">
        <v>3206</v>
      </c>
      <c r="E191" s="376">
        <v>44714</v>
      </c>
      <c r="G191" s="325"/>
      <c r="H191" s="325"/>
    </row>
    <row r="192" spans="3:8" s="324" customFormat="1" ht="35.1" customHeight="1">
      <c r="C192" s="329" t="s">
        <v>3157</v>
      </c>
      <c r="D192" s="324" t="s">
        <v>4067</v>
      </c>
      <c r="E192" s="376">
        <v>44714</v>
      </c>
      <c r="G192" s="325"/>
      <c r="H192" s="325"/>
    </row>
    <row r="193" spans="3:8" s="324" customFormat="1">
      <c r="C193" s="329" t="s">
        <v>3151</v>
      </c>
      <c r="D193" s="324" t="s">
        <v>4066</v>
      </c>
      <c r="E193" s="376">
        <v>44714</v>
      </c>
      <c r="G193" s="325"/>
      <c r="H193" s="325"/>
    </row>
    <row r="194" spans="3:8" s="324" customFormat="1" ht="35.1" customHeight="1">
      <c r="C194" s="329" t="s">
        <v>3161</v>
      </c>
      <c r="D194" s="324" t="s">
        <v>3162</v>
      </c>
      <c r="E194" s="376">
        <v>44714</v>
      </c>
      <c r="G194" s="325"/>
      <c r="H194" s="325"/>
    </row>
    <row r="195" spans="3:8" s="324" customFormat="1">
      <c r="C195" s="329" t="s">
        <v>3159</v>
      </c>
      <c r="D195" s="324" t="s">
        <v>3208</v>
      </c>
      <c r="E195" s="376">
        <v>44714</v>
      </c>
      <c r="G195" s="325"/>
      <c r="H195" s="325"/>
    </row>
    <row r="196" spans="3:8" s="324" customFormat="1" ht="35.1" customHeight="1">
      <c r="C196" s="329" t="s">
        <v>3141</v>
      </c>
      <c r="D196" s="324" t="s">
        <v>2874</v>
      </c>
      <c r="E196" s="376">
        <v>44714</v>
      </c>
      <c r="G196" s="325"/>
      <c r="H196" s="325"/>
    </row>
    <row r="197" spans="3:8" s="324" customFormat="1">
      <c r="C197" s="329" t="s">
        <v>3143</v>
      </c>
      <c r="D197" s="324" t="s">
        <v>4065</v>
      </c>
      <c r="E197" s="376">
        <v>44714</v>
      </c>
      <c r="G197" s="325"/>
      <c r="H197" s="325"/>
    </row>
    <row r="198" spans="3:8" s="324" customFormat="1" ht="35.1" customHeight="1">
      <c r="C198" s="329" t="s">
        <v>647</v>
      </c>
      <c r="D198" s="324" t="s">
        <v>4064</v>
      </c>
      <c r="E198" s="376">
        <v>44714</v>
      </c>
      <c r="G198" s="325"/>
      <c r="H198" s="325"/>
    </row>
    <row r="199" spans="3:8" s="324" customFormat="1">
      <c r="C199" s="329" t="s">
        <v>674</v>
      </c>
      <c r="D199" s="324" t="s">
        <v>154</v>
      </c>
      <c r="E199" s="376">
        <v>44719</v>
      </c>
      <c r="G199" s="325"/>
      <c r="H199" s="325"/>
    </row>
    <row r="200" spans="3:8" s="324" customFormat="1">
      <c r="C200" s="329" t="s">
        <v>1773</v>
      </c>
      <c r="D200" s="324" t="s">
        <v>154</v>
      </c>
      <c r="E200" s="376">
        <v>44719</v>
      </c>
      <c r="G200" s="325"/>
      <c r="H200" s="325"/>
    </row>
    <row r="201" spans="3:8" s="324" customFormat="1">
      <c r="C201" s="329" t="s">
        <v>1774</v>
      </c>
      <c r="D201" s="324" t="s">
        <v>154</v>
      </c>
      <c r="E201" s="376">
        <v>44719</v>
      </c>
      <c r="G201" s="325"/>
      <c r="H201" s="325"/>
    </row>
    <row r="202" spans="3:8" s="324" customFormat="1">
      <c r="C202" s="329" t="s">
        <v>1842</v>
      </c>
      <c r="D202" s="324" t="s">
        <v>154</v>
      </c>
      <c r="E202" s="376">
        <v>44719</v>
      </c>
      <c r="G202" s="325"/>
      <c r="H202" s="325"/>
    </row>
    <row r="203" spans="3:8" s="324" customFormat="1">
      <c r="C203" s="329" t="s">
        <v>1843</v>
      </c>
      <c r="D203" s="324" t="s">
        <v>154</v>
      </c>
      <c r="E203" s="376">
        <v>44719</v>
      </c>
      <c r="G203" s="325"/>
      <c r="H203" s="325"/>
    </row>
    <row r="204" spans="3:8" s="324" customFormat="1">
      <c r="C204" s="329" t="s">
        <v>155</v>
      </c>
      <c r="D204" s="324" t="s">
        <v>154</v>
      </c>
      <c r="E204" s="376">
        <v>44719</v>
      </c>
      <c r="G204" s="325"/>
      <c r="H204" s="325"/>
    </row>
    <row r="205" spans="3:8" s="324" customFormat="1" ht="35.1" customHeight="1">
      <c r="C205" s="329" t="s">
        <v>252</v>
      </c>
      <c r="D205" s="324" t="s">
        <v>251</v>
      </c>
      <c r="E205" s="376">
        <v>44720</v>
      </c>
      <c r="G205" s="325"/>
      <c r="H205" s="325"/>
    </row>
    <row r="206" spans="3:8" s="324" customFormat="1" ht="35.1" customHeight="1">
      <c r="C206" s="329" t="s">
        <v>577</v>
      </c>
      <c r="D206" s="324" t="s">
        <v>32</v>
      </c>
      <c r="E206" s="376">
        <v>44721</v>
      </c>
      <c r="G206" s="325"/>
      <c r="H206" s="325"/>
    </row>
    <row r="207" spans="3:8" s="324" customFormat="1" ht="35.1" customHeight="1">
      <c r="C207" s="329" t="s">
        <v>136</v>
      </c>
      <c r="D207" s="324" t="s">
        <v>32</v>
      </c>
      <c r="E207" s="376">
        <v>44721</v>
      </c>
      <c r="G207" s="325"/>
      <c r="H207" s="325"/>
    </row>
    <row r="208" spans="3:8" s="324" customFormat="1">
      <c r="C208" s="329" t="s">
        <v>212</v>
      </c>
      <c r="D208" s="324" t="s">
        <v>154</v>
      </c>
      <c r="E208" s="376">
        <v>44721</v>
      </c>
      <c r="G208" s="325"/>
      <c r="H208" s="325"/>
    </row>
    <row r="209" spans="3:8" s="324" customFormat="1">
      <c r="C209" s="329" t="s">
        <v>211</v>
      </c>
      <c r="D209" s="324" t="s">
        <v>154</v>
      </c>
      <c r="E209" s="376">
        <v>44721</v>
      </c>
      <c r="G209" s="325"/>
      <c r="H209" s="325"/>
    </row>
    <row r="210" spans="3:8" s="324" customFormat="1">
      <c r="C210" s="329" t="s">
        <v>210</v>
      </c>
      <c r="D210" s="324" t="s">
        <v>154</v>
      </c>
      <c r="E210" s="376">
        <v>44721</v>
      </c>
      <c r="G210" s="325"/>
      <c r="H210" s="325"/>
    </row>
    <row r="211" spans="3:8" s="324" customFormat="1">
      <c r="C211" s="329" t="s">
        <v>1844</v>
      </c>
      <c r="D211" s="324" t="s">
        <v>154</v>
      </c>
      <c r="E211" s="376">
        <v>44721</v>
      </c>
      <c r="G211" s="325"/>
      <c r="H211" s="325"/>
    </row>
    <row r="212" spans="3:8" s="324" customFormat="1">
      <c r="C212" s="329" t="s">
        <v>249</v>
      </c>
      <c r="D212" s="324" t="s">
        <v>248</v>
      </c>
      <c r="E212" s="376">
        <v>44722</v>
      </c>
      <c r="G212" s="325"/>
      <c r="H212" s="325"/>
    </row>
    <row r="213" spans="3:8" s="324" customFormat="1">
      <c r="C213" s="329" t="s">
        <v>533</v>
      </c>
      <c r="D213" s="324" t="s">
        <v>4063</v>
      </c>
      <c r="E213" s="376">
        <v>44725</v>
      </c>
      <c r="G213" s="325"/>
      <c r="H213" s="325"/>
    </row>
    <row r="214" spans="3:8" s="324" customFormat="1">
      <c r="C214" s="329" t="s">
        <v>475</v>
      </c>
      <c r="D214" s="324" t="s">
        <v>4063</v>
      </c>
      <c r="E214" s="376">
        <v>44725</v>
      </c>
      <c r="G214" s="325"/>
      <c r="H214" s="325"/>
    </row>
    <row r="215" spans="3:8" s="324" customFormat="1" ht="30">
      <c r="C215" s="329" t="s">
        <v>997</v>
      </c>
      <c r="D215" s="327" t="s">
        <v>998</v>
      </c>
      <c r="E215" s="376">
        <v>44727</v>
      </c>
      <c r="G215" s="325"/>
      <c r="H215" s="325"/>
    </row>
    <row r="216" spans="3:8" s="324" customFormat="1">
      <c r="C216" s="329" t="s">
        <v>1845</v>
      </c>
      <c r="D216" s="324" t="s">
        <v>154</v>
      </c>
      <c r="E216" s="376">
        <v>44734</v>
      </c>
      <c r="G216" s="325"/>
      <c r="H216" s="325"/>
    </row>
    <row r="217" spans="3:8" s="324" customFormat="1">
      <c r="C217" s="329" t="s">
        <v>1846</v>
      </c>
      <c r="D217" s="324" t="s">
        <v>154</v>
      </c>
      <c r="E217" s="376">
        <v>44734</v>
      </c>
      <c r="G217" s="325"/>
      <c r="H217" s="325"/>
    </row>
    <row r="218" spans="3:8" s="324" customFormat="1">
      <c r="C218" s="329" t="s">
        <v>1847</v>
      </c>
      <c r="D218" s="324" t="s">
        <v>154</v>
      </c>
      <c r="E218" s="376">
        <v>44734</v>
      </c>
      <c r="G218" s="325"/>
      <c r="H218" s="325"/>
    </row>
    <row r="219" spans="3:8" s="324" customFormat="1">
      <c r="C219" s="329" t="s">
        <v>1848</v>
      </c>
      <c r="D219" s="324" t="s">
        <v>154</v>
      </c>
      <c r="E219" s="376">
        <v>44734</v>
      </c>
      <c r="G219" s="325"/>
      <c r="H219" s="325"/>
    </row>
    <row r="220" spans="3:8" s="324" customFormat="1" ht="35.1" customHeight="1">
      <c r="C220" s="329" t="s">
        <v>1628</v>
      </c>
      <c r="D220" s="324" t="s">
        <v>1629</v>
      </c>
      <c r="E220" s="376">
        <v>44735</v>
      </c>
      <c r="G220" s="325"/>
      <c r="H220" s="325"/>
    </row>
    <row r="221" spans="3:8" s="324" customFormat="1">
      <c r="C221" s="329" t="s">
        <v>548</v>
      </c>
      <c r="D221" s="324" t="s">
        <v>445</v>
      </c>
      <c r="E221" s="376">
        <v>44736</v>
      </c>
      <c r="G221" s="325"/>
      <c r="H221" s="325"/>
    </row>
    <row r="222" spans="3:8" s="324" customFormat="1">
      <c r="C222" s="329" t="s">
        <v>515</v>
      </c>
      <c r="D222" s="324" t="s">
        <v>445</v>
      </c>
      <c r="E222" s="376">
        <v>44737</v>
      </c>
      <c r="G222" s="325"/>
      <c r="H222" s="325"/>
    </row>
    <row r="223" spans="3:8" s="324" customFormat="1">
      <c r="C223" s="329" t="s">
        <v>478</v>
      </c>
      <c r="D223" s="324" t="s">
        <v>445</v>
      </c>
      <c r="E223" s="376">
        <v>44738</v>
      </c>
      <c r="G223" s="325"/>
      <c r="H223" s="325"/>
    </row>
    <row r="224" spans="3:8" s="324" customFormat="1">
      <c r="C224" s="329" t="s">
        <v>444</v>
      </c>
      <c r="D224" s="324" t="s">
        <v>445</v>
      </c>
      <c r="E224" s="376">
        <v>44739</v>
      </c>
      <c r="G224" s="325"/>
      <c r="H224" s="325"/>
    </row>
    <row r="225" spans="3:8" s="324" customFormat="1">
      <c r="C225" s="329" t="s">
        <v>461</v>
      </c>
      <c r="D225" s="324" t="s">
        <v>445</v>
      </c>
      <c r="E225" s="376">
        <v>44740</v>
      </c>
      <c r="G225" s="325"/>
      <c r="H225" s="325"/>
    </row>
    <row r="226" spans="3:8" s="324" customFormat="1">
      <c r="C226" s="329" t="s">
        <v>535</v>
      </c>
      <c r="D226" s="324" t="s">
        <v>445</v>
      </c>
      <c r="E226" s="376">
        <v>44741</v>
      </c>
      <c r="G226" s="325"/>
      <c r="H226" s="325"/>
    </row>
    <row r="227" spans="3:8" s="324" customFormat="1">
      <c r="C227" s="329" t="s">
        <v>501</v>
      </c>
      <c r="D227" s="324" t="s">
        <v>445</v>
      </c>
      <c r="E227" s="376">
        <v>44742</v>
      </c>
      <c r="G227" s="325"/>
      <c r="H227" s="325"/>
    </row>
    <row r="228" spans="3:8" s="324" customFormat="1">
      <c r="C228" s="329" t="s">
        <v>1586</v>
      </c>
      <c r="D228" s="324" t="s">
        <v>445</v>
      </c>
      <c r="E228" s="376">
        <v>44743</v>
      </c>
      <c r="G228" s="325"/>
      <c r="H228" s="325"/>
    </row>
    <row r="229" spans="3:8" s="324" customFormat="1">
      <c r="C229" s="329" t="s">
        <v>1607</v>
      </c>
      <c r="D229" s="324" t="s">
        <v>445</v>
      </c>
      <c r="E229" s="376">
        <v>44744</v>
      </c>
      <c r="G229" s="325"/>
      <c r="H229" s="325"/>
    </row>
    <row r="230" spans="3:8" s="324" customFormat="1">
      <c r="C230" s="329" t="s">
        <v>1566</v>
      </c>
      <c r="D230" s="324" t="s">
        <v>445</v>
      </c>
      <c r="E230" s="376">
        <v>44745</v>
      </c>
      <c r="G230" s="325"/>
      <c r="H230" s="325"/>
    </row>
    <row r="231" spans="3:8" s="324" customFormat="1">
      <c r="C231" s="329" t="s">
        <v>1602</v>
      </c>
      <c r="D231" s="324" t="s">
        <v>445</v>
      </c>
      <c r="E231" s="376">
        <v>44746</v>
      </c>
      <c r="G231" s="325"/>
      <c r="H231" s="325"/>
    </row>
    <row r="232" spans="3:8" s="324" customFormat="1">
      <c r="C232" s="329" t="s">
        <v>1552</v>
      </c>
      <c r="D232" s="324" t="s">
        <v>445</v>
      </c>
      <c r="E232" s="376">
        <v>44747</v>
      </c>
      <c r="G232" s="325"/>
      <c r="H232" s="325"/>
    </row>
    <row r="233" spans="3:8" s="324" customFormat="1">
      <c r="C233" s="329" t="s">
        <v>1571</v>
      </c>
      <c r="D233" s="324" t="s">
        <v>445</v>
      </c>
      <c r="E233" s="376">
        <v>44748</v>
      </c>
      <c r="G233" s="325"/>
      <c r="H233" s="325"/>
    </row>
    <row r="234" spans="3:8" s="324" customFormat="1">
      <c r="C234" s="329" t="s">
        <v>1540</v>
      </c>
      <c r="D234" s="324" t="s">
        <v>445</v>
      </c>
      <c r="E234" s="376">
        <v>44749</v>
      </c>
      <c r="G234" s="325"/>
      <c r="H234" s="325"/>
    </row>
    <row r="235" spans="3:8" s="324" customFormat="1">
      <c r="C235" s="329" t="s">
        <v>1593</v>
      </c>
      <c r="D235" s="324" t="s">
        <v>445</v>
      </c>
      <c r="E235" s="376">
        <v>44750</v>
      </c>
      <c r="G235" s="325"/>
      <c r="H235" s="325"/>
    </row>
    <row r="236" spans="3:8" s="324" customFormat="1">
      <c r="C236" s="329" t="s">
        <v>1707</v>
      </c>
      <c r="D236" s="324" t="s">
        <v>445</v>
      </c>
      <c r="E236" s="376">
        <v>44751</v>
      </c>
      <c r="G236" s="325"/>
      <c r="H236" s="325"/>
    </row>
    <row r="237" spans="3:8" s="324" customFormat="1">
      <c r="C237" s="329" t="s">
        <v>909</v>
      </c>
      <c r="D237" s="324" t="s">
        <v>445</v>
      </c>
      <c r="E237" s="376">
        <v>44752</v>
      </c>
      <c r="G237" s="325"/>
      <c r="H237" s="325"/>
    </row>
    <row r="238" spans="3:8" s="324" customFormat="1">
      <c r="C238" s="329" t="s">
        <v>1665</v>
      </c>
      <c r="D238" s="324" t="s">
        <v>445</v>
      </c>
      <c r="E238" s="376">
        <v>44753</v>
      </c>
      <c r="G238" s="325"/>
      <c r="H238" s="325"/>
    </row>
    <row r="239" spans="3:8" s="324" customFormat="1">
      <c r="C239" s="329" t="s">
        <v>2113</v>
      </c>
      <c r="D239" s="324" t="s">
        <v>445</v>
      </c>
      <c r="E239" s="376">
        <v>44754</v>
      </c>
      <c r="G239" s="325"/>
      <c r="H239" s="325"/>
    </row>
    <row r="240" spans="3:8" s="324" customFormat="1">
      <c r="C240" s="329" t="s">
        <v>2329</v>
      </c>
      <c r="D240" s="324" t="s">
        <v>445</v>
      </c>
      <c r="E240" s="376">
        <v>44755</v>
      </c>
      <c r="G240" s="325"/>
      <c r="H240" s="325"/>
    </row>
    <row r="241" spans="3:8" s="324" customFormat="1">
      <c r="C241" s="329" t="s">
        <v>1521</v>
      </c>
      <c r="D241" s="324" t="s">
        <v>445</v>
      </c>
      <c r="E241" s="376">
        <v>44756</v>
      </c>
      <c r="G241" s="325"/>
      <c r="H241" s="325"/>
    </row>
    <row r="242" spans="3:8" s="324" customFormat="1">
      <c r="C242" s="329" t="s">
        <v>2143</v>
      </c>
      <c r="D242" s="324" t="s">
        <v>445</v>
      </c>
      <c r="E242" s="376">
        <v>44757</v>
      </c>
      <c r="G242" s="325"/>
      <c r="H242" s="325"/>
    </row>
    <row r="243" spans="3:8" s="324" customFormat="1">
      <c r="C243" s="329" t="s">
        <v>2021</v>
      </c>
      <c r="D243" s="324" t="s">
        <v>445</v>
      </c>
      <c r="E243" s="376">
        <v>44758</v>
      </c>
      <c r="G243" s="325"/>
      <c r="H243" s="325"/>
    </row>
    <row r="244" spans="3:8" s="324" customFormat="1">
      <c r="C244" s="329" t="s">
        <v>2100</v>
      </c>
      <c r="D244" s="324" t="s">
        <v>445</v>
      </c>
      <c r="E244" s="376">
        <v>44759</v>
      </c>
      <c r="G244" s="325"/>
      <c r="H244" s="325"/>
    </row>
    <row r="245" spans="3:8" s="324" customFormat="1">
      <c r="C245" s="329" t="s">
        <v>2091</v>
      </c>
      <c r="D245" s="324" t="s">
        <v>445</v>
      </c>
      <c r="E245" s="376">
        <v>44760</v>
      </c>
      <c r="G245" s="325"/>
      <c r="H245" s="325"/>
    </row>
    <row r="246" spans="3:8" s="324" customFormat="1">
      <c r="C246" s="329" t="s">
        <v>1198</v>
      </c>
      <c r="D246" s="324" t="s">
        <v>445</v>
      </c>
      <c r="E246" s="376">
        <v>44761</v>
      </c>
      <c r="G246" s="325"/>
      <c r="H246" s="325"/>
    </row>
    <row r="247" spans="3:8" s="324" customFormat="1">
      <c r="C247" s="329" t="s">
        <v>987</v>
      </c>
      <c r="D247" s="324" t="s">
        <v>445</v>
      </c>
      <c r="E247" s="376">
        <v>44762</v>
      </c>
      <c r="G247" s="325"/>
      <c r="H247" s="325"/>
    </row>
    <row r="248" spans="3:8" s="324" customFormat="1">
      <c r="C248" s="329" t="s">
        <v>989</v>
      </c>
      <c r="D248" s="324" t="s">
        <v>445</v>
      </c>
      <c r="E248" s="376">
        <v>44763</v>
      </c>
      <c r="G248" s="325"/>
      <c r="H248" s="325"/>
    </row>
    <row r="249" spans="3:8" s="324" customFormat="1">
      <c r="C249" s="329" t="s">
        <v>986</v>
      </c>
      <c r="D249" s="324" t="s">
        <v>445</v>
      </c>
      <c r="E249" s="376">
        <v>44764</v>
      </c>
      <c r="G249" s="325"/>
      <c r="H249" s="325"/>
    </row>
    <row r="250" spans="3:8" s="324" customFormat="1">
      <c r="C250" s="329" t="s">
        <v>1187</v>
      </c>
      <c r="D250" s="324" t="s">
        <v>445</v>
      </c>
      <c r="E250" s="376">
        <v>44765</v>
      </c>
      <c r="G250" s="325"/>
      <c r="H250" s="325"/>
    </row>
    <row r="251" spans="3:8" s="324" customFormat="1">
      <c r="C251" s="329" t="s">
        <v>1790</v>
      </c>
      <c r="D251" s="343" t="s">
        <v>1791</v>
      </c>
      <c r="E251" s="376"/>
      <c r="G251" s="325"/>
      <c r="H251" s="325"/>
    </row>
    <row r="252" spans="3:8" s="324" customFormat="1">
      <c r="C252" s="329" t="s">
        <v>1792</v>
      </c>
      <c r="D252" s="343" t="s">
        <v>1791</v>
      </c>
      <c r="E252" s="376"/>
      <c r="G252" s="325"/>
      <c r="H252" s="325"/>
    </row>
    <row r="253" spans="3:8" s="324" customFormat="1">
      <c r="C253" s="329" t="s">
        <v>1793</v>
      </c>
      <c r="D253" s="343" t="s">
        <v>1791</v>
      </c>
      <c r="E253" s="376"/>
      <c r="G253" s="325"/>
      <c r="H253" s="325"/>
    </row>
    <row r="254" spans="3:8" s="324" customFormat="1">
      <c r="C254" s="329" t="s">
        <v>1794</v>
      </c>
      <c r="D254" s="343" t="s">
        <v>1791</v>
      </c>
      <c r="E254" s="376"/>
      <c r="G254" s="325"/>
      <c r="H254" s="325"/>
    </row>
    <row r="255" spans="3:8" s="324" customFormat="1">
      <c r="C255" s="329" t="s">
        <v>1795</v>
      </c>
      <c r="D255" s="343" t="s">
        <v>1791</v>
      </c>
      <c r="E255" s="376"/>
      <c r="G255" s="325"/>
      <c r="H255" s="325"/>
    </row>
    <row r="256" spans="3:8" s="324" customFormat="1">
      <c r="C256" s="329" t="s">
        <v>1796</v>
      </c>
      <c r="D256" s="343" t="s">
        <v>1797</v>
      </c>
      <c r="E256" s="376"/>
      <c r="G256" s="325"/>
      <c r="H256" s="325"/>
    </row>
    <row r="257" spans="3:8" s="324" customFormat="1">
      <c r="C257" s="329" t="s">
        <v>1798</v>
      </c>
      <c r="D257" s="343" t="s">
        <v>1797</v>
      </c>
      <c r="E257" s="376"/>
      <c r="G257" s="325"/>
      <c r="H257" s="325"/>
    </row>
    <row r="258" spans="3:8" s="324" customFormat="1">
      <c r="C258" s="329" t="s">
        <v>1987</v>
      </c>
      <c r="D258" s="324" t="s">
        <v>1741</v>
      </c>
      <c r="E258" s="376">
        <v>44741</v>
      </c>
      <c r="G258" s="325"/>
      <c r="H258" s="325"/>
    </row>
    <row r="259" spans="3:8" s="324" customFormat="1" ht="35.1" customHeight="1">
      <c r="C259" s="329" t="s">
        <v>3163</v>
      </c>
      <c r="D259" s="324" t="s">
        <v>23</v>
      </c>
      <c r="E259" s="376">
        <v>44742</v>
      </c>
      <c r="G259" s="325"/>
      <c r="H259" s="325"/>
    </row>
    <row r="260" spans="3:8" s="324" customFormat="1" ht="35.1" customHeight="1">
      <c r="C260" s="329" t="s">
        <v>3164</v>
      </c>
      <c r="D260" s="324" t="s">
        <v>23</v>
      </c>
      <c r="E260" s="376">
        <v>44742</v>
      </c>
      <c r="G260" s="325"/>
      <c r="H260" s="325"/>
    </row>
    <row r="261" spans="3:8" s="324" customFormat="1" ht="35.1" customHeight="1">
      <c r="C261" s="329" t="s">
        <v>3165</v>
      </c>
      <c r="D261" s="324" t="s">
        <v>23</v>
      </c>
      <c r="E261" s="376">
        <v>44742</v>
      </c>
      <c r="G261" s="325"/>
      <c r="H261" s="325"/>
    </row>
    <row r="262" spans="3:8" s="324" customFormat="1" ht="35.1" customHeight="1">
      <c r="C262" s="329" t="s">
        <v>3166</v>
      </c>
      <c r="D262" s="324" t="s">
        <v>1306</v>
      </c>
      <c r="E262" s="376">
        <v>44742</v>
      </c>
      <c r="G262" s="325"/>
      <c r="H262" s="325"/>
    </row>
    <row r="263" spans="3:8" s="324" customFormat="1" ht="35.1" customHeight="1">
      <c r="C263" s="329" t="s">
        <v>3167</v>
      </c>
      <c r="D263" s="324" t="s">
        <v>1306</v>
      </c>
      <c r="E263" s="376">
        <v>44742</v>
      </c>
      <c r="G263" s="325"/>
      <c r="H263" s="325"/>
    </row>
    <row r="264" spans="3:8" s="324" customFormat="1" ht="35.1" customHeight="1">
      <c r="C264" s="329" t="s">
        <v>3168</v>
      </c>
      <c r="D264" s="324" t="s">
        <v>1306</v>
      </c>
      <c r="E264" s="376">
        <v>44742</v>
      </c>
      <c r="G264" s="325"/>
      <c r="H264" s="325"/>
    </row>
    <row r="265" spans="3:8" s="324" customFormat="1" ht="35.1" customHeight="1">
      <c r="C265" s="329" t="s">
        <v>295</v>
      </c>
      <c r="D265" s="324" t="s">
        <v>294</v>
      </c>
      <c r="E265" s="376">
        <v>44742</v>
      </c>
      <c r="G265" s="325"/>
      <c r="H265" s="325"/>
    </row>
    <row r="266" spans="3:8" s="324" customFormat="1" ht="35.1" customHeight="1">
      <c r="C266" s="329" t="s">
        <v>247</v>
      </c>
      <c r="D266" s="324" t="s">
        <v>246</v>
      </c>
      <c r="E266" s="376">
        <v>44746</v>
      </c>
      <c r="G266" s="325"/>
      <c r="H266" s="325"/>
    </row>
    <row r="267" spans="3:8" s="324" customFormat="1" ht="35.1" customHeight="1">
      <c r="C267" s="329" t="s">
        <v>209</v>
      </c>
      <c r="D267" s="327" t="s">
        <v>208</v>
      </c>
      <c r="E267" s="376">
        <v>44747</v>
      </c>
      <c r="G267" s="325"/>
      <c r="H267" s="325"/>
    </row>
    <row r="268" spans="3:8" s="324" customFormat="1">
      <c r="C268" s="329" t="s">
        <v>1551</v>
      </c>
      <c r="D268" s="327" t="s">
        <v>4062</v>
      </c>
      <c r="E268" s="376">
        <v>44748</v>
      </c>
      <c r="G268" s="325"/>
      <c r="H268" s="325"/>
    </row>
    <row r="269" spans="3:8" s="324" customFormat="1">
      <c r="C269" s="329" t="s">
        <v>1590</v>
      </c>
      <c r="D269" s="327" t="s">
        <v>4062</v>
      </c>
      <c r="E269" s="376">
        <v>44748</v>
      </c>
      <c r="G269" s="325"/>
      <c r="H269" s="325"/>
    </row>
    <row r="270" spans="3:8" s="324" customFormat="1" ht="35.1" customHeight="1">
      <c r="C270" s="329" t="s">
        <v>153</v>
      </c>
      <c r="D270" s="327" t="s">
        <v>152</v>
      </c>
      <c r="E270" s="376"/>
      <c r="G270" s="325"/>
      <c r="H270" s="325"/>
    </row>
    <row r="271" spans="3:8" s="324" customFormat="1" ht="30">
      <c r="C271" s="329" t="s">
        <v>293</v>
      </c>
      <c r="D271" s="327" t="s">
        <v>292</v>
      </c>
      <c r="E271" s="376"/>
      <c r="G271" s="325"/>
      <c r="H271" s="325"/>
    </row>
    <row r="272" spans="3:8" s="324" customFormat="1">
      <c r="C272" s="329" t="s">
        <v>1720</v>
      </c>
      <c r="D272" s="327" t="s">
        <v>4061</v>
      </c>
      <c r="E272" s="376">
        <v>44756</v>
      </c>
      <c r="G272" s="325"/>
      <c r="H272" s="325"/>
    </row>
    <row r="273" spans="3:8" s="324" customFormat="1">
      <c r="C273" s="329" t="s">
        <v>1740</v>
      </c>
      <c r="D273" s="327" t="s">
        <v>4061</v>
      </c>
      <c r="E273" s="376">
        <v>44756</v>
      </c>
      <c r="G273" s="325"/>
      <c r="H273" s="325"/>
    </row>
    <row r="274" spans="3:8" s="324" customFormat="1" ht="35.1" customHeight="1">
      <c r="C274" s="329" t="s">
        <v>291</v>
      </c>
      <c r="D274" s="327" t="s">
        <v>290</v>
      </c>
      <c r="E274" s="376">
        <v>44757</v>
      </c>
      <c r="G274" s="325"/>
      <c r="H274" s="325"/>
    </row>
    <row r="275" spans="3:8" s="324" customFormat="1" ht="30">
      <c r="C275" s="329" t="s">
        <v>1714</v>
      </c>
      <c r="D275" s="327" t="s">
        <v>4060</v>
      </c>
      <c r="E275" s="376">
        <v>44758</v>
      </c>
      <c r="G275" s="325"/>
      <c r="H275" s="325"/>
    </row>
    <row r="276" spans="3:8" s="324" customFormat="1">
      <c r="C276" s="329" t="s">
        <v>1516</v>
      </c>
      <c r="D276" s="327" t="s">
        <v>1733</v>
      </c>
      <c r="E276" s="376">
        <v>44760</v>
      </c>
      <c r="G276" s="325"/>
      <c r="H276" s="325"/>
    </row>
    <row r="277" spans="3:8" s="324" customFormat="1" ht="35.1" customHeight="1">
      <c r="C277" s="329" t="s">
        <v>1351</v>
      </c>
      <c r="D277" s="327" t="s">
        <v>4059</v>
      </c>
      <c r="E277" s="376">
        <v>44761</v>
      </c>
      <c r="G277" s="325"/>
      <c r="H277" s="325"/>
    </row>
    <row r="278" spans="3:8" s="324" customFormat="1" ht="35.1" customHeight="1">
      <c r="C278" s="329" t="s">
        <v>1517</v>
      </c>
      <c r="D278" s="327" t="s">
        <v>4059</v>
      </c>
      <c r="E278" s="376">
        <v>44761</v>
      </c>
      <c r="G278" s="325"/>
      <c r="H278" s="325"/>
    </row>
    <row r="279" spans="3:8" s="324" customFormat="1" ht="30">
      <c r="C279" s="329" t="s">
        <v>1849</v>
      </c>
      <c r="D279" s="327" t="s">
        <v>1850</v>
      </c>
      <c r="E279" s="376">
        <v>44761</v>
      </c>
      <c r="G279" s="325"/>
      <c r="H279" s="325"/>
    </row>
    <row r="280" spans="3:8" s="324" customFormat="1" ht="30">
      <c r="C280" s="329" t="s">
        <v>1851</v>
      </c>
      <c r="D280" s="327" t="s">
        <v>1850</v>
      </c>
      <c r="E280" s="376">
        <v>44761</v>
      </c>
      <c r="G280" s="325"/>
      <c r="H280" s="325"/>
    </row>
    <row r="281" spans="3:8" s="324" customFormat="1" ht="30">
      <c r="C281" s="329" t="s">
        <v>1852</v>
      </c>
      <c r="D281" s="327" t="s">
        <v>1850</v>
      </c>
      <c r="E281" s="376">
        <v>44761</v>
      </c>
      <c r="G281" s="325"/>
      <c r="H281" s="325"/>
    </row>
    <row r="282" spans="3:8" s="324" customFormat="1" ht="30">
      <c r="C282" s="329" t="s">
        <v>1853</v>
      </c>
      <c r="D282" s="327" t="s">
        <v>1850</v>
      </c>
      <c r="E282" s="376">
        <v>44761</v>
      </c>
      <c r="G282" s="325"/>
      <c r="H282" s="325"/>
    </row>
    <row r="283" spans="3:8" s="324" customFormat="1" ht="30">
      <c r="C283" s="329" t="s">
        <v>1854</v>
      </c>
      <c r="D283" s="327" t="s">
        <v>1850</v>
      </c>
      <c r="E283" s="376">
        <v>44761</v>
      </c>
      <c r="G283" s="325"/>
      <c r="H283" s="325"/>
    </row>
    <row r="284" spans="3:8" s="324" customFormat="1" ht="30">
      <c r="C284" s="329" t="s">
        <v>1855</v>
      </c>
      <c r="D284" s="327" t="s">
        <v>1850</v>
      </c>
      <c r="E284" s="376">
        <v>44761</v>
      </c>
      <c r="G284" s="325"/>
      <c r="H284" s="325"/>
    </row>
    <row r="285" spans="3:8" s="324" customFormat="1" ht="35.1" customHeight="1">
      <c r="C285" s="329" t="s">
        <v>224</v>
      </c>
      <c r="D285" s="327" t="s">
        <v>46</v>
      </c>
      <c r="E285" s="376">
        <v>44764</v>
      </c>
      <c r="G285" s="325"/>
      <c r="H285" s="325"/>
    </row>
    <row r="286" spans="3:8" s="324" customFormat="1" ht="35.1" customHeight="1">
      <c r="C286" s="329" t="s">
        <v>223</v>
      </c>
      <c r="D286" s="327" t="s">
        <v>46</v>
      </c>
      <c r="E286" s="376">
        <v>44764</v>
      </c>
      <c r="G286" s="325"/>
      <c r="H286" s="325"/>
    </row>
    <row r="287" spans="3:8" s="324" customFormat="1" ht="30">
      <c r="C287" s="329" t="s">
        <v>1255</v>
      </c>
      <c r="D287" s="327" t="s">
        <v>1256</v>
      </c>
      <c r="E287" s="376">
        <v>44767</v>
      </c>
      <c r="G287" s="325"/>
      <c r="H287" s="325"/>
    </row>
    <row r="288" spans="3:8" s="324" customFormat="1" ht="30">
      <c r="C288" s="406" t="s">
        <v>1362</v>
      </c>
      <c r="D288" s="327" t="s">
        <v>4057</v>
      </c>
      <c r="E288" s="376">
        <v>44767</v>
      </c>
      <c r="G288" s="325"/>
      <c r="H288" s="325"/>
    </row>
    <row r="289" spans="3:8" s="324" customFormat="1">
      <c r="C289" s="407"/>
      <c r="D289" s="327" t="s">
        <v>4058</v>
      </c>
      <c r="E289" s="376">
        <v>44767</v>
      </c>
      <c r="G289" s="325"/>
      <c r="H289" s="325"/>
    </row>
    <row r="290" spans="3:8" s="324" customFormat="1" ht="30">
      <c r="C290" s="406" t="s">
        <v>1674</v>
      </c>
      <c r="D290" s="327" t="s">
        <v>4057</v>
      </c>
      <c r="E290" s="376">
        <v>44767</v>
      </c>
      <c r="G290" s="325"/>
      <c r="H290" s="325"/>
    </row>
    <row r="291" spans="3:8" s="324" customFormat="1">
      <c r="C291" s="407"/>
      <c r="D291" s="327" t="s">
        <v>4056</v>
      </c>
      <c r="E291" s="376">
        <v>44767</v>
      </c>
      <c r="G291" s="325"/>
      <c r="H291" s="325"/>
    </row>
    <row r="292" spans="3:8" s="324" customFormat="1" ht="35.1" customHeight="1">
      <c r="C292" s="329" t="s">
        <v>942</v>
      </c>
      <c r="D292" s="327" t="s">
        <v>288</v>
      </c>
      <c r="E292" s="376">
        <v>44769</v>
      </c>
      <c r="G292" s="325"/>
      <c r="H292" s="325"/>
    </row>
    <row r="293" spans="3:8" s="324" customFormat="1" ht="35.1" customHeight="1">
      <c r="C293" s="329" t="s">
        <v>289</v>
      </c>
      <c r="D293" s="327" t="s">
        <v>288</v>
      </c>
      <c r="E293" s="376">
        <v>44769</v>
      </c>
      <c r="G293" s="325"/>
      <c r="H293" s="325"/>
    </row>
    <row r="294" spans="3:8" s="324" customFormat="1" ht="35.1" customHeight="1">
      <c r="C294" s="329" t="s">
        <v>287</v>
      </c>
      <c r="D294" s="327" t="s">
        <v>286</v>
      </c>
      <c r="E294" s="376">
        <v>44770</v>
      </c>
      <c r="G294" s="325"/>
      <c r="H294" s="325"/>
    </row>
    <row r="295" spans="3:8" s="324" customFormat="1" ht="35.1" customHeight="1">
      <c r="C295" s="329" t="s">
        <v>285</v>
      </c>
      <c r="D295" s="327" t="s">
        <v>284</v>
      </c>
      <c r="E295" s="376"/>
      <c r="G295" s="325"/>
      <c r="H295" s="325"/>
    </row>
    <row r="296" spans="3:8" s="324" customFormat="1" ht="35.1" customHeight="1">
      <c r="C296" s="329" t="s">
        <v>1063</v>
      </c>
      <c r="D296" s="327" t="s">
        <v>4055</v>
      </c>
      <c r="E296" s="376">
        <v>44770</v>
      </c>
      <c r="G296" s="325"/>
      <c r="H296" s="325"/>
    </row>
    <row r="297" spans="3:8" s="324" customFormat="1" ht="35.1" customHeight="1">
      <c r="C297" s="329" t="s">
        <v>283</v>
      </c>
      <c r="D297" s="327" t="s">
        <v>282</v>
      </c>
      <c r="E297" s="376">
        <v>44771</v>
      </c>
      <c r="G297" s="325"/>
      <c r="H297" s="325"/>
    </row>
    <row r="298" spans="3:8" s="324" customFormat="1" ht="30">
      <c r="C298" s="329" t="s">
        <v>4054</v>
      </c>
      <c r="D298" s="327" t="s">
        <v>4053</v>
      </c>
      <c r="E298" s="376">
        <v>44772</v>
      </c>
      <c r="G298" s="325"/>
      <c r="H298" s="325"/>
    </row>
    <row r="299" spans="3:8" s="324" customFormat="1">
      <c r="C299" s="329" t="s">
        <v>245</v>
      </c>
      <c r="D299" s="327" t="s">
        <v>244</v>
      </c>
      <c r="E299" s="376">
        <v>44772</v>
      </c>
      <c r="G299" s="325"/>
      <c r="H299" s="325"/>
    </row>
    <row r="300" spans="3:8" s="324" customFormat="1" ht="30">
      <c r="C300" s="329" t="s">
        <v>1747</v>
      </c>
      <c r="D300" s="327" t="s">
        <v>4052</v>
      </c>
      <c r="E300" s="376">
        <v>44772</v>
      </c>
      <c r="G300" s="325"/>
      <c r="H300" s="325"/>
    </row>
    <row r="301" spans="3:8" s="324" customFormat="1" ht="35.1" customHeight="1">
      <c r="C301" s="329" t="s">
        <v>1518</v>
      </c>
      <c r="D301" s="327" t="s">
        <v>32</v>
      </c>
      <c r="E301" s="376">
        <v>44774</v>
      </c>
      <c r="G301" s="325"/>
      <c r="H301" s="325"/>
    </row>
    <row r="302" spans="3:8" s="324" customFormat="1" ht="35.1" customHeight="1">
      <c r="C302" s="329" t="s">
        <v>1368</v>
      </c>
      <c r="D302" s="327" t="s">
        <v>32</v>
      </c>
      <c r="E302" s="376">
        <v>44774</v>
      </c>
      <c r="G302" s="325"/>
      <c r="H302" s="325"/>
    </row>
    <row r="303" spans="3:8" s="324" customFormat="1" ht="35.1" customHeight="1">
      <c r="C303" s="329" t="s">
        <v>636</v>
      </c>
      <c r="D303" s="327" t="s">
        <v>32</v>
      </c>
      <c r="E303" s="376">
        <v>44774</v>
      </c>
      <c r="G303" s="325"/>
      <c r="H303" s="325"/>
    </row>
    <row r="304" spans="3:8" s="324" customFormat="1" ht="35.1" customHeight="1">
      <c r="C304" s="329" t="s">
        <v>1342</v>
      </c>
      <c r="D304" s="327" t="s">
        <v>32</v>
      </c>
      <c r="E304" s="376">
        <v>44774</v>
      </c>
      <c r="G304" s="325"/>
      <c r="H304" s="325"/>
    </row>
    <row r="305" spans="2:9" s="325" customFormat="1" ht="35.1" customHeight="1">
      <c r="B305" s="324"/>
      <c r="C305" s="329" t="s">
        <v>2224</v>
      </c>
      <c r="D305" s="327" t="s">
        <v>32</v>
      </c>
      <c r="E305" s="376">
        <v>44774</v>
      </c>
      <c r="F305" s="324"/>
      <c r="I305" s="324"/>
    </row>
    <row r="306" spans="2:9" s="325" customFormat="1" ht="35.1" customHeight="1">
      <c r="B306" s="324"/>
      <c r="C306" s="329" t="s">
        <v>2223</v>
      </c>
      <c r="D306" s="327" t="s">
        <v>32</v>
      </c>
      <c r="E306" s="376">
        <v>44774</v>
      </c>
      <c r="F306" s="324"/>
      <c r="I306" s="324"/>
    </row>
    <row r="307" spans="2:9" s="325" customFormat="1" ht="35.1" customHeight="1">
      <c r="B307" s="324"/>
      <c r="C307" s="329" t="s">
        <v>2225</v>
      </c>
      <c r="D307" s="327" t="s">
        <v>32</v>
      </c>
      <c r="E307" s="376">
        <v>44774</v>
      </c>
      <c r="F307" s="324"/>
      <c r="I307" s="324"/>
    </row>
    <row r="308" spans="2:9" s="325" customFormat="1" ht="35.1" customHeight="1">
      <c r="B308" s="324"/>
      <c r="C308" s="329" t="s">
        <v>1309</v>
      </c>
      <c r="D308" s="327" t="s">
        <v>32</v>
      </c>
      <c r="E308" s="376">
        <v>44774</v>
      </c>
      <c r="F308" s="324" t="s">
        <v>4051</v>
      </c>
      <c r="I308" s="324"/>
    </row>
    <row r="309" spans="2:9" s="325" customFormat="1" ht="35.1" customHeight="1">
      <c r="B309" s="324"/>
      <c r="C309" s="329" t="s">
        <v>207</v>
      </c>
      <c r="D309" s="327" t="s">
        <v>205</v>
      </c>
      <c r="E309" s="376">
        <v>44774</v>
      </c>
      <c r="F309" s="324"/>
      <c r="I309" s="324"/>
    </row>
    <row r="310" spans="2:9" s="325" customFormat="1" ht="35.1" customHeight="1">
      <c r="B310" s="324"/>
      <c r="C310" s="329" t="s">
        <v>206</v>
      </c>
      <c r="D310" s="327" t="s">
        <v>205</v>
      </c>
      <c r="E310" s="376">
        <v>44774</v>
      </c>
      <c r="F310" s="324"/>
      <c r="I310" s="324"/>
    </row>
    <row r="311" spans="2:9" s="325" customFormat="1" ht="35.1" customHeight="1">
      <c r="B311" s="324"/>
      <c r="C311" s="329" t="s">
        <v>281</v>
      </c>
      <c r="D311" s="327" t="s">
        <v>278</v>
      </c>
      <c r="E311" s="376"/>
      <c r="F311" s="324"/>
      <c r="I311" s="324"/>
    </row>
    <row r="312" spans="2:9" s="325" customFormat="1" ht="35.1" customHeight="1">
      <c r="B312" s="324"/>
      <c r="C312" s="329" t="s">
        <v>280</v>
      </c>
      <c r="D312" s="327" t="s">
        <v>278</v>
      </c>
      <c r="E312" s="376"/>
      <c r="F312" s="324"/>
      <c r="I312" s="324"/>
    </row>
    <row r="313" spans="2:9" s="325" customFormat="1" ht="35.1" customHeight="1">
      <c r="B313" s="324"/>
      <c r="C313" s="329" t="s">
        <v>279</v>
      </c>
      <c r="D313" s="327" t="s">
        <v>278</v>
      </c>
      <c r="E313" s="376"/>
      <c r="F313" s="324"/>
      <c r="I313" s="324"/>
    </row>
    <row r="314" spans="2:9" s="325" customFormat="1" ht="35.1" customHeight="1">
      <c r="B314" s="324"/>
      <c r="C314" s="329" t="s">
        <v>277</v>
      </c>
      <c r="D314" s="327" t="s">
        <v>276</v>
      </c>
      <c r="E314" s="376">
        <v>44774</v>
      </c>
      <c r="F314" s="324"/>
      <c r="I314" s="324"/>
    </row>
    <row r="315" spans="2:9" s="325" customFormat="1" ht="35.1" customHeight="1">
      <c r="B315" s="324"/>
      <c r="C315" s="329" t="s">
        <v>275</v>
      </c>
      <c r="D315" s="327" t="s">
        <v>273</v>
      </c>
      <c r="E315" s="376">
        <v>44758</v>
      </c>
      <c r="F315" s="324"/>
      <c r="I315" s="324"/>
    </row>
    <row r="316" spans="2:9" s="325" customFormat="1" ht="35.1" customHeight="1">
      <c r="B316" s="324"/>
      <c r="C316" s="329" t="s">
        <v>274</v>
      </c>
      <c r="D316" s="327" t="s">
        <v>273</v>
      </c>
      <c r="E316" s="376">
        <v>44758</v>
      </c>
      <c r="F316" s="324"/>
      <c r="I316" s="324"/>
    </row>
    <row r="317" spans="2:9" s="325" customFormat="1" ht="45">
      <c r="B317" s="324"/>
      <c r="C317" s="329" t="s">
        <v>639</v>
      </c>
      <c r="D317" s="327" t="s">
        <v>4050</v>
      </c>
      <c r="E317" s="376">
        <v>44774</v>
      </c>
      <c r="F317" s="324"/>
      <c r="I317" s="324"/>
    </row>
    <row r="318" spans="2:9" s="325" customFormat="1" ht="35.1" customHeight="1">
      <c r="B318" s="324"/>
      <c r="C318" s="329" t="s">
        <v>1755</v>
      </c>
      <c r="D318" s="327" t="s">
        <v>1756</v>
      </c>
      <c r="E318" s="376">
        <v>44776</v>
      </c>
      <c r="F318" s="324"/>
      <c r="I318" s="324"/>
    </row>
    <row r="319" spans="2:9" s="325" customFormat="1" ht="30">
      <c r="B319" s="324"/>
      <c r="C319" s="329" t="s">
        <v>1584</v>
      </c>
      <c r="D319" s="327" t="s">
        <v>4049</v>
      </c>
      <c r="E319" s="376">
        <v>44776</v>
      </c>
      <c r="F319" s="324"/>
      <c r="I319" s="324"/>
    </row>
    <row r="320" spans="2:9" s="325" customFormat="1">
      <c r="B320" s="324"/>
      <c r="C320" s="329" t="s">
        <v>243</v>
      </c>
      <c r="D320" s="327" t="s">
        <v>4048</v>
      </c>
      <c r="E320" s="376">
        <v>44776</v>
      </c>
      <c r="F320" s="324"/>
      <c r="I320" s="324"/>
    </row>
    <row r="321" spans="1:8" s="324" customFormat="1">
      <c r="A321" s="323"/>
      <c r="C321" s="329" t="s">
        <v>241</v>
      </c>
      <c r="D321" s="327" t="s">
        <v>240</v>
      </c>
      <c r="E321" s="376">
        <v>44776</v>
      </c>
      <c r="G321" s="325"/>
      <c r="H321" s="325"/>
    </row>
    <row r="322" spans="1:8" s="324" customFormat="1" ht="35.1" customHeight="1">
      <c r="A322" s="323"/>
      <c r="C322" s="329" t="s">
        <v>2023</v>
      </c>
      <c r="D322" s="327" t="s">
        <v>2024</v>
      </c>
      <c r="E322" s="376">
        <v>44778</v>
      </c>
      <c r="G322" s="325"/>
      <c r="H322" s="325"/>
    </row>
    <row r="323" spans="1:8" s="324" customFormat="1" ht="35.1" customHeight="1">
      <c r="A323" s="361"/>
      <c r="C323" s="329" t="s">
        <v>239</v>
      </c>
      <c r="D323" s="327" t="s">
        <v>238</v>
      </c>
      <c r="E323" s="376">
        <v>44778</v>
      </c>
    </row>
    <row r="324" spans="1:8" s="324" customFormat="1" ht="35.1" customHeight="1">
      <c r="A324" s="323"/>
      <c r="C324" s="329" t="s">
        <v>2025</v>
      </c>
      <c r="D324" s="327" t="s">
        <v>2026</v>
      </c>
      <c r="E324" s="376">
        <v>44779</v>
      </c>
    </row>
    <row r="325" spans="1:8" s="324" customFormat="1">
      <c r="A325" s="323"/>
      <c r="C325" s="329" t="s">
        <v>952</v>
      </c>
      <c r="D325" s="327" t="s">
        <v>1786</v>
      </c>
      <c r="E325" s="376">
        <v>44781</v>
      </c>
    </row>
    <row r="326" spans="1:8" s="324" customFormat="1">
      <c r="A326" s="323"/>
      <c r="C326" s="329" t="s">
        <v>1072</v>
      </c>
      <c r="D326" s="327" t="s">
        <v>1786</v>
      </c>
      <c r="E326" s="376">
        <v>44781</v>
      </c>
    </row>
    <row r="327" spans="1:8" s="324" customFormat="1">
      <c r="A327" s="323"/>
      <c r="C327" s="329" t="s">
        <v>1074</v>
      </c>
      <c r="D327" s="327" t="s">
        <v>1786</v>
      </c>
      <c r="E327" s="376">
        <v>44781</v>
      </c>
    </row>
    <row r="328" spans="1:8" s="324" customFormat="1">
      <c r="A328" s="323"/>
      <c r="C328" s="329" t="s">
        <v>1785</v>
      </c>
      <c r="D328" s="327" t="s">
        <v>1786</v>
      </c>
      <c r="E328" s="376">
        <v>44781</v>
      </c>
    </row>
    <row r="329" spans="1:8" s="324" customFormat="1">
      <c r="A329" s="323"/>
      <c r="C329" s="329" t="s">
        <v>1787</v>
      </c>
      <c r="D329" s="327" t="s">
        <v>1786</v>
      </c>
      <c r="E329" s="376">
        <v>44781</v>
      </c>
    </row>
    <row r="330" spans="1:8" s="324" customFormat="1" ht="35.1" customHeight="1">
      <c r="A330" s="323"/>
      <c r="C330" s="329" t="s">
        <v>204</v>
      </c>
      <c r="D330" s="327" t="s">
        <v>93</v>
      </c>
      <c r="E330" s="376">
        <v>44781</v>
      </c>
    </row>
    <row r="331" spans="1:8" s="324" customFormat="1" ht="35.1" customHeight="1">
      <c r="A331" s="323"/>
      <c r="C331" s="329" t="s">
        <v>912</v>
      </c>
      <c r="D331" s="327" t="s">
        <v>913</v>
      </c>
      <c r="E331" s="376">
        <v>44781</v>
      </c>
    </row>
    <row r="332" spans="1:8" s="324" customFormat="1" ht="35.1" customHeight="1">
      <c r="A332" s="323"/>
      <c r="C332" s="329" t="s">
        <v>914</v>
      </c>
      <c r="D332" s="327" t="s">
        <v>913</v>
      </c>
      <c r="E332" s="376">
        <v>44781</v>
      </c>
    </row>
    <row r="333" spans="1:8" s="324" customFormat="1" ht="35.1" customHeight="1">
      <c r="A333" s="323"/>
      <c r="C333" s="329" t="s">
        <v>915</v>
      </c>
      <c r="D333" s="327" t="s">
        <v>913</v>
      </c>
      <c r="E333" s="376">
        <v>44781</v>
      </c>
    </row>
    <row r="334" spans="1:8" s="324" customFormat="1" ht="35.1" customHeight="1">
      <c r="A334" s="323"/>
      <c r="C334" s="329" t="s">
        <v>2002</v>
      </c>
      <c r="D334" s="327" t="s">
        <v>4047</v>
      </c>
      <c r="E334" s="376">
        <v>44781</v>
      </c>
    </row>
    <row r="335" spans="1:8" s="324" customFormat="1" ht="35.1" customHeight="1">
      <c r="A335" s="323"/>
      <c r="C335" s="329" t="s">
        <v>1290</v>
      </c>
      <c r="D335" s="327" t="s">
        <v>1291</v>
      </c>
      <c r="E335" s="376">
        <v>44782</v>
      </c>
    </row>
    <row r="336" spans="1:8" s="324" customFormat="1">
      <c r="A336" s="323"/>
      <c r="C336" s="329" t="s">
        <v>1605</v>
      </c>
      <c r="D336" s="327" t="s">
        <v>4046</v>
      </c>
      <c r="E336" s="376">
        <v>44782</v>
      </c>
    </row>
    <row r="337" spans="3:5" s="324" customFormat="1" ht="35.1" customHeight="1">
      <c r="C337" s="329" t="s">
        <v>1327</v>
      </c>
      <c r="D337" s="327" t="s">
        <v>1291</v>
      </c>
      <c r="E337" s="376">
        <v>44782</v>
      </c>
    </row>
    <row r="338" spans="3:5" s="324" customFormat="1" ht="35.1" customHeight="1">
      <c r="C338" s="329" t="s">
        <v>203</v>
      </c>
      <c r="D338" s="327" t="s">
        <v>202</v>
      </c>
      <c r="E338" s="376">
        <v>44777</v>
      </c>
    </row>
    <row r="339" spans="3:5" s="324" customFormat="1" ht="30">
      <c r="C339" s="329" t="s">
        <v>1670</v>
      </c>
      <c r="D339" s="327" t="s">
        <v>4045</v>
      </c>
      <c r="E339" s="376">
        <v>44791</v>
      </c>
    </row>
    <row r="340" spans="3:5" s="324" customFormat="1">
      <c r="C340" s="329" t="s">
        <v>4044</v>
      </c>
      <c r="D340" s="327" t="s">
        <v>4043</v>
      </c>
      <c r="E340" s="376">
        <v>44706</v>
      </c>
    </row>
    <row r="341" spans="3:5" s="324" customFormat="1">
      <c r="C341" s="329" t="s">
        <v>1171</v>
      </c>
      <c r="D341" s="327" t="s">
        <v>1172</v>
      </c>
      <c r="E341" s="376">
        <v>44691</v>
      </c>
    </row>
    <row r="342" spans="3:5" s="324" customFormat="1" ht="35.1" customHeight="1">
      <c r="C342" s="329" t="s">
        <v>1064</v>
      </c>
      <c r="D342" s="327" t="s">
        <v>723</v>
      </c>
      <c r="E342" s="376">
        <v>44690</v>
      </c>
    </row>
    <row r="343" spans="3:5" s="324" customFormat="1">
      <c r="C343" s="329" t="s">
        <v>1142</v>
      </c>
      <c r="D343" s="327" t="s">
        <v>4042</v>
      </c>
      <c r="E343" s="376">
        <v>44660</v>
      </c>
    </row>
    <row r="344" spans="3:5" s="324" customFormat="1">
      <c r="C344" s="329" t="s">
        <v>1140</v>
      </c>
      <c r="D344" s="327" t="s">
        <v>4041</v>
      </c>
      <c r="E344" s="376">
        <v>44746</v>
      </c>
    </row>
    <row r="345" spans="3:5" s="324" customFormat="1">
      <c r="C345" s="329" t="s">
        <v>1164</v>
      </c>
      <c r="D345" s="327" t="s">
        <v>4040</v>
      </c>
      <c r="E345" s="376">
        <v>44690</v>
      </c>
    </row>
    <row r="346" spans="3:5" s="324" customFormat="1">
      <c r="C346" s="329" t="s">
        <v>4039</v>
      </c>
      <c r="D346" s="327" t="s">
        <v>4038</v>
      </c>
      <c r="E346" s="376">
        <v>44692</v>
      </c>
    </row>
    <row r="347" spans="3:5" s="324" customFormat="1" ht="35.1" customHeight="1">
      <c r="C347" s="329" t="s">
        <v>1125</v>
      </c>
      <c r="D347" s="327" t="s">
        <v>4037</v>
      </c>
      <c r="E347" s="376">
        <v>44691</v>
      </c>
    </row>
    <row r="348" spans="3:5" s="324" customFormat="1">
      <c r="C348" s="329" t="s">
        <v>1166</v>
      </c>
      <c r="D348" s="327" t="s">
        <v>4036</v>
      </c>
      <c r="E348" s="376">
        <v>44690</v>
      </c>
    </row>
    <row r="349" spans="3:5" s="324" customFormat="1" ht="35.1" customHeight="1">
      <c r="C349" s="329" t="s">
        <v>2189</v>
      </c>
      <c r="D349" s="327" t="s">
        <v>4035</v>
      </c>
      <c r="E349" s="376">
        <v>44798</v>
      </c>
    </row>
    <row r="350" spans="3:5" s="324" customFormat="1" ht="35.1" customHeight="1">
      <c r="C350" s="329" t="s">
        <v>558</v>
      </c>
      <c r="D350" s="327" t="s">
        <v>559</v>
      </c>
      <c r="E350" s="376">
        <v>44802</v>
      </c>
    </row>
    <row r="351" spans="3:5" s="324" customFormat="1" ht="35.1" customHeight="1">
      <c r="C351" s="329" t="s">
        <v>3169</v>
      </c>
      <c r="D351" s="327" t="s">
        <v>1071</v>
      </c>
      <c r="E351" s="376">
        <v>44795</v>
      </c>
    </row>
    <row r="352" spans="3:5" s="324" customFormat="1" ht="35.1" customHeight="1">
      <c r="C352" s="329" t="s">
        <v>221</v>
      </c>
      <c r="D352" s="327" t="s">
        <v>218</v>
      </c>
      <c r="E352" s="376">
        <v>44793</v>
      </c>
    </row>
    <row r="353" spans="3:5" s="324" customFormat="1">
      <c r="C353" s="329" t="s">
        <v>1545</v>
      </c>
      <c r="D353" s="327" t="s">
        <v>1546</v>
      </c>
      <c r="E353" s="376">
        <v>44812</v>
      </c>
    </row>
    <row r="354" spans="3:5" s="324" customFormat="1" ht="35.1" customHeight="1">
      <c r="C354" s="329" t="s">
        <v>2921</v>
      </c>
      <c r="D354" s="327" t="s">
        <v>2922</v>
      </c>
      <c r="E354" s="376">
        <v>44812</v>
      </c>
    </row>
    <row r="355" spans="3:5" s="324" customFormat="1">
      <c r="C355" s="329" t="s">
        <v>2923</v>
      </c>
      <c r="D355" s="327" t="s">
        <v>2924</v>
      </c>
      <c r="E355" s="376">
        <v>44812</v>
      </c>
    </row>
    <row r="356" spans="3:5" s="324" customFormat="1" ht="35.1" customHeight="1">
      <c r="C356" s="329" t="s">
        <v>2925</v>
      </c>
      <c r="D356" s="327" t="s">
        <v>234</v>
      </c>
      <c r="E356" s="376">
        <v>44812</v>
      </c>
    </row>
    <row r="357" spans="3:5" s="324" customFormat="1">
      <c r="C357" s="329" t="s">
        <v>995</v>
      </c>
      <c r="D357" s="327" t="s">
        <v>996</v>
      </c>
      <c r="E357" s="376">
        <v>44819</v>
      </c>
    </row>
    <row r="358" spans="3:5" s="324" customFormat="1" ht="35.1" customHeight="1">
      <c r="C358" s="329" t="s">
        <v>1547</v>
      </c>
      <c r="D358" s="327" t="s">
        <v>4034</v>
      </c>
      <c r="E358" s="376">
        <v>44819</v>
      </c>
    </row>
    <row r="359" spans="3:5" s="324" customFormat="1" ht="35.1" customHeight="1">
      <c r="C359" s="329" t="s">
        <v>1553</v>
      </c>
      <c r="D359" s="327" t="s">
        <v>32</v>
      </c>
      <c r="E359" s="376">
        <v>44819</v>
      </c>
    </row>
    <row r="360" spans="3:5" s="324" customFormat="1" ht="35.1" customHeight="1">
      <c r="C360" s="329" t="s">
        <v>1634</v>
      </c>
      <c r="D360" s="327" t="s">
        <v>32</v>
      </c>
      <c r="E360" s="376">
        <v>44819</v>
      </c>
    </row>
    <row r="361" spans="3:5" s="324" customFormat="1" ht="35.1" customHeight="1">
      <c r="C361" s="329" t="s">
        <v>1591</v>
      </c>
      <c r="D361" s="327" t="s">
        <v>32</v>
      </c>
      <c r="E361" s="376">
        <v>44819</v>
      </c>
    </row>
    <row r="362" spans="3:5" s="324" customFormat="1" ht="35.1" customHeight="1">
      <c r="C362" s="329" t="s">
        <v>237</v>
      </c>
      <c r="D362" s="327" t="s">
        <v>236</v>
      </c>
      <c r="E362" s="376">
        <v>44820</v>
      </c>
    </row>
    <row r="363" spans="3:5" s="324" customFormat="1" ht="35.1" customHeight="1">
      <c r="C363" s="329" t="s">
        <v>235</v>
      </c>
      <c r="D363" s="327" t="s">
        <v>234</v>
      </c>
      <c r="E363" s="376">
        <v>44820</v>
      </c>
    </row>
    <row r="364" spans="3:5" s="324" customFormat="1" ht="30">
      <c r="C364" s="329" t="s">
        <v>1229</v>
      </c>
      <c r="D364" s="327" t="s">
        <v>4033</v>
      </c>
      <c r="E364" s="376">
        <v>44820</v>
      </c>
    </row>
    <row r="365" spans="3:5" s="324" customFormat="1" ht="30">
      <c r="C365" s="329" t="s">
        <v>2042</v>
      </c>
      <c r="D365" s="327" t="s">
        <v>4032</v>
      </c>
      <c r="E365" s="376" t="s">
        <v>4031</v>
      </c>
    </row>
    <row r="366" spans="3:5" s="324" customFormat="1" ht="30">
      <c r="C366" s="329" t="s">
        <v>2061</v>
      </c>
      <c r="D366" s="327" t="s">
        <v>4030</v>
      </c>
      <c r="E366" s="376" t="s">
        <v>4028</v>
      </c>
    </row>
    <row r="367" spans="3:5" s="324" customFormat="1" ht="30">
      <c r="C367" s="329" t="s">
        <v>2053</v>
      </c>
      <c r="D367" s="327" t="s">
        <v>4029</v>
      </c>
      <c r="E367" s="376" t="s">
        <v>4028</v>
      </c>
    </row>
    <row r="368" spans="3:5" s="324" customFormat="1">
      <c r="C368" s="329" t="s">
        <v>2015</v>
      </c>
      <c r="D368" s="327" t="s">
        <v>1741</v>
      </c>
      <c r="E368" s="376" t="s">
        <v>4027</v>
      </c>
    </row>
    <row r="369" spans="3:5" s="324" customFormat="1" ht="45">
      <c r="C369" s="329" t="s">
        <v>271</v>
      </c>
      <c r="D369" s="327" t="s">
        <v>270</v>
      </c>
      <c r="E369" s="376" t="s">
        <v>4026</v>
      </c>
    </row>
    <row r="370" spans="3:5" s="324" customFormat="1" ht="35.1" customHeight="1">
      <c r="C370" s="329" t="s">
        <v>1729</v>
      </c>
      <c r="D370" s="327" t="s">
        <v>2493</v>
      </c>
      <c r="E370" s="376" t="s">
        <v>4026</v>
      </c>
    </row>
    <row r="371" spans="3:5" s="324" customFormat="1" ht="35.1" customHeight="1">
      <c r="C371" s="329" t="s">
        <v>1685</v>
      </c>
      <c r="D371" s="327" t="s">
        <v>2493</v>
      </c>
      <c r="E371" s="376" t="s">
        <v>4026</v>
      </c>
    </row>
    <row r="372" spans="3:5" s="324" customFormat="1" ht="35.1" customHeight="1">
      <c r="C372" s="329" t="s">
        <v>1671</v>
      </c>
      <c r="D372" s="327" t="s">
        <v>2493</v>
      </c>
      <c r="E372" s="376" t="s">
        <v>4026</v>
      </c>
    </row>
    <row r="373" spans="3:5" s="324" customFormat="1" ht="35.1" customHeight="1">
      <c r="C373" s="329" t="s">
        <v>1726</v>
      </c>
      <c r="D373" s="327" t="s">
        <v>2493</v>
      </c>
      <c r="E373" s="376" t="s">
        <v>4026</v>
      </c>
    </row>
    <row r="374" spans="3:5" s="324" customFormat="1" ht="35.1" customHeight="1">
      <c r="C374" s="329" t="s">
        <v>2033</v>
      </c>
      <c r="D374" s="327" t="s">
        <v>1067</v>
      </c>
      <c r="E374" s="376" t="s">
        <v>4026</v>
      </c>
    </row>
    <row r="375" spans="3:5" s="324" customFormat="1" ht="35.1" customHeight="1">
      <c r="C375" s="329" t="s">
        <v>2034</v>
      </c>
      <c r="D375" s="327" t="s">
        <v>1067</v>
      </c>
      <c r="E375" s="376" t="s">
        <v>4026</v>
      </c>
    </row>
    <row r="376" spans="3:5" s="324" customFormat="1" ht="35.1" customHeight="1">
      <c r="C376" s="329" t="s">
        <v>232</v>
      </c>
      <c r="D376" s="327" t="s">
        <v>231</v>
      </c>
      <c r="E376" s="376" t="s">
        <v>4026</v>
      </c>
    </row>
    <row r="377" spans="3:5" s="324" customFormat="1">
      <c r="C377" s="329" t="s">
        <v>2027</v>
      </c>
      <c r="D377" s="327" t="s">
        <v>2028</v>
      </c>
      <c r="E377" s="376" t="s">
        <v>4026</v>
      </c>
    </row>
    <row r="378" spans="3:5" s="324" customFormat="1" ht="30">
      <c r="C378" s="329" t="s">
        <v>1336</v>
      </c>
      <c r="D378" s="327" t="s">
        <v>4025</v>
      </c>
      <c r="E378" s="376"/>
    </row>
    <row r="379" spans="3:5" s="324" customFormat="1">
      <c r="C379" s="329" t="s">
        <v>1338</v>
      </c>
      <c r="D379" s="327" t="s">
        <v>4024</v>
      </c>
      <c r="E379" s="376"/>
    </row>
    <row r="380" spans="3:5" s="324" customFormat="1">
      <c r="C380" s="329" t="s">
        <v>1303</v>
      </c>
      <c r="D380" s="327" t="s">
        <v>4023</v>
      </c>
      <c r="E380" s="376"/>
    </row>
    <row r="381" spans="3:5" s="324" customFormat="1">
      <c r="C381" s="329" t="s">
        <v>2674</v>
      </c>
      <c r="D381" s="327" t="s">
        <v>2675</v>
      </c>
      <c r="E381" s="376">
        <v>44905</v>
      </c>
    </row>
    <row r="382" spans="3:5" s="324" customFormat="1" ht="35.1" customHeight="1">
      <c r="C382" s="329" t="s">
        <v>200</v>
      </c>
      <c r="D382" s="327" t="s">
        <v>199</v>
      </c>
      <c r="E382" s="376">
        <v>44905</v>
      </c>
    </row>
    <row r="383" spans="3:5" s="324" customFormat="1" ht="35.1" customHeight="1">
      <c r="C383" s="329" t="s">
        <v>2676</v>
      </c>
      <c r="D383" s="327" t="s">
        <v>4022</v>
      </c>
      <c r="E383" s="376">
        <v>44905</v>
      </c>
    </row>
    <row r="384" spans="3:5" s="324" customFormat="1" ht="45">
      <c r="C384" s="329" t="s">
        <v>2680</v>
      </c>
      <c r="D384" s="327" t="s">
        <v>4021</v>
      </c>
      <c r="E384" s="376">
        <v>44905</v>
      </c>
    </row>
    <row r="385" spans="3:5" s="324" customFormat="1" ht="45">
      <c r="C385" s="329" t="s">
        <v>2682</v>
      </c>
      <c r="D385" s="327" t="s">
        <v>2683</v>
      </c>
      <c r="E385" s="376">
        <v>44905</v>
      </c>
    </row>
    <row r="386" spans="3:5" s="324" customFormat="1" ht="35.1" customHeight="1">
      <c r="C386" s="329" t="s">
        <v>1580</v>
      </c>
      <c r="D386" s="327" t="s">
        <v>2698</v>
      </c>
      <c r="E386" s="376">
        <v>44905</v>
      </c>
    </row>
    <row r="387" spans="3:5" s="324" customFormat="1" ht="35.1" customHeight="1">
      <c r="C387" s="329" t="s">
        <v>1549</v>
      </c>
      <c r="D387" s="327" t="s">
        <v>2698</v>
      </c>
      <c r="E387" s="376">
        <v>44905</v>
      </c>
    </row>
    <row r="388" spans="3:5" s="324" customFormat="1" ht="35.1" customHeight="1">
      <c r="C388" s="329" t="s">
        <v>1592</v>
      </c>
      <c r="D388" s="327" t="s">
        <v>2698</v>
      </c>
      <c r="E388" s="376">
        <v>44905</v>
      </c>
    </row>
    <row r="389" spans="3:5" s="324" customFormat="1" ht="35.1" customHeight="1">
      <c r="C389" s="329" t="s">
        <v>2277</v>
      </c>
      <c r="D389" s="327" t="s">
        <v>2698</v>
      </c>
      <c r="E389" s="376">
        <v>44905</v>
      </c>
    </row>
    <row r="390" spans="3:5" s="324" customFormat="1" ht="35.1" customHeight="1">
      <c r="C390" s="329" t="s">
        <v>2278</v>
      </c>
      <c r="D390" s="327" t="s">
        <v>2698</v>
      </c>
      <c r="E390" s="376">
        <v>44905</v>
      </c>
    </row>
    <row r="391" spans="3:5" s="324" customFormat="1" ht="35.1" customHeight="1">
      <c r="C391" s="329" t="s">
        <v>2279</v>
      </c>
      <c r="D391" s="327" t="s">
        <v>2698</v>
      </c>
      <c r="E391" s="376">
        <v>44905</v>
      </c>
    </row>
    <row r="392" spans="3:5" s="324" customFormat="1" ht="35.1" customHeight="1">
      <c r="C392" s="329" t="s">
        <v>2280</v>
      </c>
      <c r="D392" s="327" t="s">
        <v>2698</v>
      </c>
      <c r="E392" s="376">
        <v>44905</v>
      </c>
    </row>
    <row r="393" spans="3:5" s="324" customFormat="1" ht="35.1" customHeight="1">
      <c r="C393" s="329" t="s">
        <v>2281</v>
      </c>
      <c r="D393" s="327" t="s">
        <v>2698</v>
      </c>
      <c r="E393" s="376">
        <v>44905</v>
      </c>
    </row>
    <row r="394" spans="3:5" s="324" customFormat="1" ht="35.1" customHeight="1">
      <c r="C394" s="329" t="s">
        <v>2282</v>
      </c>
      <c r="D394" s="327" t="s">
        <v>2698</v>
      </c>
      <c r="E394" s="376">
        <v>44905</v>
      </c>
    </row>
    <row r="395" spans="3:5" s="324" customFormat="1" ht="35.1" customHeight="1">
      <c r="C395" s="329" t="s">
        <v>2283</v>
      </c>
      <c r="D395" s="327" t="s">
        <v>2698</v>
      </c>
      <c r="E395" s="376">
        <v>44905</v>
      </c>
    </row>
    <row r="396" spans="3:5" s="324" customFormat="1" ht="30">
      <c r="C396" s="329" t="s">
        <v>4020</v>
      </c>
      <c r="D396" s="327" t="s">
        <v>4019</v>
      </c>
      <c r="E396" s="376" t="s">
        <v>4017</v>
      </c>
    </row>
    <row r="397" spans="3:5" s="324" customFormat="1" ht="45">
      <c r="C397" s="329" t="s">
        <v>2689</v>
      </c>
      <c r="D397" s="327" t="s">
        <v>4018</v>
      </c>
      <c r="E397" s="376" t="s">
        <v>4017</v>
      </c>
    </row>
    <row r="398" spans="3:5" s="324" customFormat="1">
      <c r="C398" s="329" t="s">
        <v>4016</v>
      </c>
      <c r="D398" s="327" t="s">
        <v>2694</v>
      </c>
      <c r="E398" s="376" t="s">
        <v>4013</v>
      </c>
    </row>
    <row r="399" spans="3:5" s="324" customFormat="1" ht="35.1" customHeight="1">
      <c r="C399" s="329" t="s">
        <v>4015</v>
      </c>
      <c r="D399" s="327" t="s">
        <v>2698</v>
      </c>
      <c r="E399" s="376" t="s">
        <v>4013</v>
      </c>
    </row>
    <row r="400" spans="3:5" s="324" customFormat="1" ht="35.1" customHeight="1">
      <c r="C400" s="329" t="s">
        <v>4014</v>
      </c>
      <c r="D400" s="327" t="s">
        <v>2719</v>
      </c>
      <c r="E400" s="376" t="s">
        <v>4013</v>
      </c>
    </row>
    <row r="401" spans="3:8" s="324" customFormat="1" ht="35.1" customHeight="1">
      <c r="C401" s="329" t="s">
        <v>2729</v>
      </c>
      <c r="D401" s="327" t="s">
        <v>2730</v>
      </c>
      <c r="E401" s="376" t="s">
        <v>4013</v>
      </c>
    </row>
    <row r="402" spans="3:8" s="324" customFormat="1">
      <c r="C402" s="329" t="s">
        <v>198</v>
      </c>
      <c r="D402" s="327" t="s">
        <v>197</v>
      </c>
      <c r="E402" s="376">
        <v>44905</v>
      </c>
    </row>
    <row r="403" spans="3:8" s="324" customFormat="1">
      <c r="C403" s="329" t="s">
        <v>2855</v>
      </c>
      <c r="D403" s="327" t="s">
        <v>2856</v>
      </c>
      <c r="E403" s="376">
        <v>44905</v>
      </c>
    </row>
    <row r="404" spans="3:8" s="324" customFormat="1" ht="35.1" customHeight="1">
      <c r="C404" s="329" t="s">
        <v>1630</v>
      </c>
      <c r="D404" s="324" t="s">
        <v>1629</v>
      </c>
      <c r="E404" s="376">
        <v>44905</v>
      </c>
      <c r="G404" s="325"/>
      <c r="H404" s="325"/>
    </row>
    <row r="405" spans="3:8" s="324" customFormat="1" ht="35.1" customHeight="1">
      <c r="C405" s="329" t="s">
        <v>1631</v>
      </c>
      <c r="D405" s="324" t="s">
        <v>1629</v>
      </c>
      <c r="E405" s="376">
        <v>44905</v>
      </c>
      <c r="G405" s="325"/>
      <c r="H405" s="325"/>
    </row>
    <row r="406" spans="3:8" s="324" customFormat="1" ht="35.1" customHeight="1">
      <c r="C406" s="329" t="s">
        <v>2731</v>
      </c>
      <c r="D406" s="324" t="s">
        <v>2732</v>
      </c>
      <c r="E406" s="376" t="s">
        <v>4012</v>
      </c>
      <c r="G406" s="325"/>
      <c r="H406" s="325"/>
    </row>
    <row r="407" spans="3:8" s="324" customFormat="1">
      <c r="C407" s="329" t="s">
        <v>1742</v>
      </c>
      <c r="D407" s="324" t="s">
        <v>2028</v>
      </c>
      <c r="E407" s="376" t="s">
        <v>4011</v>
      </c>
      <c r="G407" s="325"/>
      <c r="H407" s="325"/>
    </row>
    <row r="408" spans="3:8" s="324" customFormat="1">
      <c r="C408" s="329" t="s">
        <v>4010</v>
      </c>
      <c r="D408" s="324" t="s">
        <v>2858</v>
      </c>
      <c r="E408" s="376">
        <v>44905</v>
      </c>
      <c r="G408" s="325"/>
      <c r="H408" s="325"/>
    </row>
    <row r="409" spans="3:8" s="324" customFormat="1" ht="35.1" customHeight="1">
      <c r="C409" s="329" t="s">
        <v>2862</v>
      </c>
      <c r="D409" s="324" t="s">
        <v>2863</v>
      </c>
      <c r="E409" s="376">
        <v>44905</v>
      </c>
      <c r="G409" s="325"/>
      <c r="H409" s="325"/>
    </row>
    <row r="410" spans="3:8" s="324" customFormat="1">
      <c r="C410" s="329" t="s">
        <v>2864</v>
      </c>
      <c r="D410" s="324" t="s">
        <v>2865</v>
      </c>
      <c r="E410" s="376">
        <v>44905</v>
      </c>
      <c r="G410" s="325"/>
      <c r="H410" s="325"/>
    </row>
    <row r="411" spans="3:8" s="324" customFormat="1">
      <c r="C411" s="329" t="s">
        <v>2866</v>
      </c>
      <c r="D411" s="324" t="s">
        <v>2867</v>
      </c>
      <c r="E411" s="376">
        <v>44905</v>
      </c>
      <c r="G411" s="325"/>
      <c r="H411" s="325"/>
    </row>
    <row r="412" spans="3:8" s="324" customFormat="1">
      <c r="C412" s="329" t="s">
        <v>370</v>
      </c>
      <c r="D412" s="324" t="s">
        <v>2868</v>
      </c>
      <c r="E412" s="376">
        <v>44905</v>
      </c>
      <c r="G412" s="325"/>
      <c r="H412" s="325"/>
    </row>
    <row r="413" spans="3:8" s="324" customFormat="1">
      <c r="C413" s="329" t="s">
        <v>2869</v>
      </c>
      <c r="D413" s="324" t="s">
        <v>2870</v>
      </c>
      <c r="E413" s="376">
        <v>44905</v>
      </c>
      <c r="G413" s="325"/>
      <c r="H413" s="325"/>
    </row>
    <row r="414" spans="3:8" s="324" customFormat="1" ht="35.1" customHeight="1">
      <c r="C414" s="329" t="s">
        <v>2871</v>
      </c>
      <c r="D414" s="324" t="s">
        <v>2872</v>
      </c>
      <c r="E414" s="376">
        <v>44905</v>
      </c>
      <c r="G414" s="325"/>
      <c r="H414" s="325"/>
    </row>
    <row r="415" spans="3:8" s="324" customFormat="1" ht="35.1" customHeight="1">
      <c r="C415" s="329" t="s">
        <v>4009</v>
      </c>
      <c r="D415" s="324" t="s">
        <v>2734</v>
      </c>
      <c r="E415" s="376">
        <v>44905</v>
      </c>
      <c r="G415" s="325"/>
      <c r="H415" s="325"/>
    </row>
    <row r="416" spans="3:8" s="324" customFormat="1" ht="30">
      <c r="C416" s="329" t="s">
        <v>2738</v>
      </c>
      <c r="D416" s="327" t="s">
        <v>4008</v>
      </c>
      <c r="E416" s="376" t="s">
        <v>4007</v>
      </c>
      <c r="G416" s="325"/>
      <c r="H416" s="325"/>
    </row>
    <row r="417" spans="3:8" s="324" customFormat="1" ht="30">
      <c r="C417" s="329" t="s">
        <v>2740</v>
      </c>
      <c r="D417" s="327" t="s">
        <v>2741</v>
      </c>
      <c r="E417" s="376" t="s">
        <v>4007</v>
      </c>
      <c r="G417" s="325"/>
      <c r="H417" s="325"/>
    </row>
    <row r="418" spans="3:8" s="324" customFormat="1" ht="30">
      <c r="C418" s="329" t="s">
        <v>2742</v>
      </c>
      <c r="D418" s="327" t="s">
        <v>2743</v>
      </c>
      <c r="E418" s="376" t="s">
        <v>4007</v>
      </c>
      <c r="G418" s="325"/>
      <c r="H418" s="325"/>
    </row>
    <row r="419" spans="3:8" s="324" customFormat="1" ht="35.1" customHeight="1">
      <c r="C419" s="329" t="s">
        <v>1065</v>
      </c>
      <c r="D419" s="327" t="s">
        <v>562</v>
      </c>
      <c r="E419" s="376" t="s">
        <v>4007</v>
      </c>
      <c r="G419" s="325"/>
      <c r="H419" s="325"/>
    </row>
    <row r="420" spans="3:8" s="324" customFormat="1" ht="35.1" customHeight="1">
      <c r="C420" s="329" t="s">
        <v>966</v>
      </c>
      <c r="D420" s="327" t="s">
        <v>967</v>
      </c>
      <c r="E420" s="376" t="s">
        <v>4006</v>
      </c>
      <c r="G420" s="325"/>
      <c r="H420" s="325"/>
    </row>
    <row r="421" spans="3:8" s="324" customFormat="1">
      <c r="C421" s="329" t="s">
        <v>2799</v>
      </c>
      <c r="D421" s="327" t="s">
        <v>2800</v>
      </c>
      <c r="E421" s="376" t="s">
        <v>4005</v>
      </c>
      <c r="G421" s="325"/>
      <c r="H421" s="325"/>
    </row>
    <row r="422" spans="3:8" s="324" customFormat="1" ht="35.1" customHeight="1">
      <c r="C422" s="329" t="s">
        <v>2801</v>
      </c>
      <c r="D422" s="327" t="s">
        <v>2802</v>
      </c>
      <c r="E422" s="376" t="s">
        <v>4005</v>
      </c>
      <c r="G422" s="325"/>
      <c r="H422" s="325"/>
    </row>
    <row r="423" spans="3:8" s="324" customFormat="1" ht="35.1" customHeight="1">
      <c r="C423" s="329" t="s">
        <v>561</v>
      </c>
      <c r="D423" s="327" t="s">
        <v>562</v>
      </c>
      <c r="E423" s="376" t="s">
        <v>4005</v>
      </c>
      <c r="G423" s="325"/>
      <c r="H423" s="325"/>
    </row>
    <row r="424" spans="3:8" s="324" customFormat="1" ht="35.1" customHeight="1">
      <c r="C424" s="329" t="s">
        <v>1999</v>
      </c>
      <c r="D424" s="327" t="s">
        <v>2444</v>
      </c>
      <c r="E424" s="376" t="s">
        <v>4005</v>
      </c>
      <c r="G424" s="325"/>
      <c r="H424" s="325"/>
    </row>
    <row r="425" spans="3:8" s="324" customFormat="1" ht="35.1" customHeight="1">
      <c r="C425" s="329" t="s">
        <v>4004</v>
      </c>
      <c r="D425" s="327" t="s">
        <v>2804</v>
      </c>
      <c r="E425" s="376" t="s">
        <v>3999</v>
      </c>
      <c r="G425" s="325"/>
      <c r="H425" s="325"/>
    </row>
    <row r="426" spans="3:8" s="324" customFormat="1" ht="35.1" customHeight="1">
      <c r="C426" s="329" t="s">
        <v>4003</v>
      </c>
      <c r="D426" s="327" t="s">
        <v>2818</v>
      </c>
      <c r="E426" s="376" t="s">
        <v>3999</v>
      </c>
      <c r="G426" s="325"/>
      <c r="H426" s="325"/>
    </row>
    <row r="427" spans="3:8" s="324" customFormat="1" ht="35.1" customHeight="1">
      <c r="C427" s="329" t="s">
        <v>4002</v>
      </c>
      <c r="D427" s="327" t="s">
        <v>2493</v>
      </c>
      <c r="E427" s="376" t="s">
        <v>3999</v>
      </c>
      <c r="G427" s="325"/>
      <c r="H427" s="325"/>
    </row>
    <row r="428" spans="3:8" s="324" customFormat="1" ht="35.1" customHeight="1">
      <c r="C428" s="329" t="s">
        <v>4001</v>
      </c>
      <c r="D428" s="327" t="s">
        <v>2839</v>
      </c>
      <c r="E428" s="376" t="s">
        <v>3999</v>
      </c>
      <c r="G428" s="325"/>
      <c r="H428" s="325"/>
    </row>
    <row r="429" spans="3:8" s="324" customFormat="1" ht="30">
      <c r="C429" s="329" t="s">
        <v>4000</v>
      </c>
      <c r="D429" s="327" t="s">
        <v>2842</v>
      </c>
      <c r="E429" s="376" t="s">
        <v>3999</v>
      </c>
      <c r="G429" s="325"/>
      <c r="H429" s="325"/>
    </row>
    <row r="430" spans="3:8" s="324" customFormat="1" ht="35.1" customHeight="1">
      <c r="C430" s="329" t="s">
        <v>2851</v>
      </c>
      <c r="D430" s="327" t="s">
        <v>2852</v>
      </c>
      <c r="E430" s="376" t="s">
        <v>3999</v>
      </c>
      <c r="G430" s="325"/>
      <c r="H430" s="325"/>
    </row>
    <row r="431" spans="3:8" s="324" customFormat="1" ht="35.1" customHeight="1">
      <c r="C431" s="329" t="s">
        <v>219</v>
      </c>
      <c r="D431" s="327" t="s">
        <v>218</v>
      </c>
      <c r="E431" s="376" t="s">
        <v>3998</v>
      </c>
      <c r="G431" s="325"/>
      <c r="H431" s="325"/>
    </row>
    <row r="432" spans="3:8" s="324" customFormat="1">
      <c r="C432" s="329" t="s">
        <v>2853</v>
      </c>
      <c r="D432" s="327" t="s">
        <v>2854</v>
      </c>
      <c r="E432" s="376" t="s">
        <v>3998</v>
      </c>
      <c r="G432" s="325"/>
      <c r="H432" s="325"/>
    </row>
    <row r="433" spans="3:8" s="324" customFormat="1" ht="35.1" customHeight="1">
      <c r="C433" s="329" t="s">
        <v>2873</v>
      </c>
      <c r="D433" s="327" t="s">
        <v>2874</v>
      </c>
      <c r="E433" s="376" t="s">
        <v>3998</v>
      </c>
      <c r="G433" s="325"/>
      <c r="H433" s="325"/>
    </row>
    <row r="434" spans="3:8" s="324" customFormat="1" ht="35.1" customHeight="1">
      <c r="C434" s="329" t="s">
        <v>3997</v>
      </c>
      <c r="D434" s="327" t="s">
        <v>2876</v>
      </c>
      <c r="E434" s="376">
        <v>44862</v>
      </c>
      <c r="G434" s="325"/>
      <c r="H434" s="325"/>
    </row>
    <row r="435" spans="3:8" s="324" customFormat="1" ht="35.1" customHeight="1">
      <c r="C435" s="329" t="s">
        <v>2881</v>
      </c>
      <c r="D435" s="327" t="s">
        <v>2882</v>
      </c>
      <c r="E435" s="376">
        <v>44862</v>
      </c>
      <c r="G435" s="325"/>
      <c r="H435" s="325"/>
    </row>
    <row r="436" spans="3:8" s="324" customFormat="1">
      <c r="C436" s="329" t="s">
        <v>2883</v>
      </c>
      <c r="D436" s="327" t="s">
        <v>2884</v>
      </c>
      <c r="E436" s="376">
        <v>44862</v>
      </c>
      <c r="G436" s="325"/>
      <c r="H436" s="325"/>
    </row>
    <row r="437" spans="3:8" s="324" customFormat="1" ht="35.1" customHeight="1">
      <c r="C437" s="329" t="s">
        <v>2885</v>
      </c>
      <c r="D437" s="327" t="s">
        <v>2886</v>
      </c>
      <c r="E437" s="376">
        <v>44862</v>
      </c>
      <c r="G437" s="325"/>
      <c r="H437" s="325"/>
    </row>
    <row r="438" spans="3:8" s="324" customFormat="1" ht="35.1" customHeight="1">
      <c r="C438" s="329" t="s">
        <v>2887</v>
      </c>
      <c r="D438" s="327" t="s">
        <v>2888</v>
      </c>
      <c r="E438" s="376">
        <v>44862</v>
      </c>
      <c r="G438" s="325"/>
      <c r="H438" s="325"/>
    </row>
    <row r="439" spans="3:8" s="324" customFormat="1">
      <c r="C439" s="329" t="s">
        <v>3996</v>
      </c>
      <c r="D439" s="327" t="s">
        <v>192</v>
      </c>
      <c r="E439" s="376">
        <v>44865</v>
      </c>
      <c r="G439" s="325"/>
      <c r="H439" s="325"/>
    </row>
    <row r="440" spans="3:8" s="324" customFormat="1" ht="35.1" customHeight="1">
      <c r="C440" s="329" t="s">
        <v>2889</v>
      </c>
      <c r="D440" s="327" t="s">
        <v>1071</v>
      </c>
      <c r="E440" s="376">
        <v>44867</v>
      </c>
      <c r="G440" s="325"/>
      <c r="H440" s="325"/>
    </row>
    <row r="441" spans="3:8" s="324" customFormat="1" ht="35.1" customHeight="1">
      <c r="C441" s="329" t="s">
        <v>2678</v>
      </c>
      <c r="D441" s="327" t="s">
        <v>3995</v>
      </c>
      <c r="E441" s="376"/>
      <c r="G441" s="325"/>
      <c r="H441" s="325"/>
    </row>
    <row r="442" spans="3:8" s="324" customFormat="1">
      <c r="C442" s="329" t="s">
        <v>2691</v>
      </c>
      <c r="D442" s="327" t="s">
        <v>3994</v>
      </c>
      <c r="E442" s="376"/>
      <c r="G442" s="325"/>
      <c r="H442" s="325"/>
    </row>
    <row r="443" spans="3:8" s="324" customFormat="1" ht="35.1" customHeight="1">
      <c r="C443" s="329" t="s">
        <v>3993</v>
      </c>
      <c r="D443" s="327" t="s">
        <v>186</v>
      </c>
      <c r="E443" s="376">
        <v>44867</v>
      </c>
      <c r="G443" s="325"/>
      <c r="H443" s="325"/>
    </row>
    <row r="444" spans="3:8" s="324" customFormat="1" ht="35.1" customHeight="1">
      <c r="C444" s="329" t="s">
        <v>2926</v>
      </c>
      <c r="D444" s="327" t="s">
        <v>2927</v>
      </c>
      <c r="E444" s="376">
        <v>44867</v>
      </c>
      <c r="G444" s="325"/>
      <c r="H444" s="325"/>
    </row>
    <row r="445" spans="3:8" s="324" customFormat="1" ht="35.1" customHeight="1">
      <c r="C445" s="329" t="s">
        <v>2928</v>
      </c>
      <c r="D445" s="327" t="s">
        <v>2929</v>
      </c>
      <c r="E445" s="376">
        <v>44867</v>
      </c>
      <c r="G445" s="325"/>
      <c r="H445" s="325"/>
    </row>
    <row r="446" spans="3:8" s="324" customFormat="1" ht="35.1" customHeight="1">
      <c r="C446" s="329" t="s">
        <v>2005</v>
      </c>
      <c r="D446" s="327" t="s">
        <v>2006</v>
      </c>
      <c r="E446" s="376">
        <v>44867</v>
      </c>
      <c r="G446" s="325"/>
      <c r="H446" s="325"/>
    </row>
    <row r="447" spans="3:8" s="324" customFormat="1" ht="35.1" customHeight="1">
      <c r="C447" s="329" t="s">
        <v>2007</v>
      </c>
      <c r="D447" s="327" t="s">
        <v>2008</v>
      </c>
      <c r="E447" s="376">
        <v>44903</v>
      </c>
      <c r="G447" s="325"/>
      <c r="H447" s="325"/>
    </row>
    <row r="448" spans="3:8" s="324" customFormat="1">
      <c r="C448" s="329" t="s">
        <v>2890</v>
      </c>
      <c r="D448" s="327" t="s">
        <v>2891</v>
      </c>
      <c r="E448" s="376">
        <v>44868</v>
      </c>
      <c r="G448" s="325"/>
      <c r="H448" s="325"/>
    </row>
    <row r="449" spans="3:8" s="324" customFormat="1">
      <c r="C449" s="329" t="s">
        <v>2892</v>
      </c>
      <c r="D449" s="327" t="s">
        <v>2893</v>
      </c>
      <c r="E449" s="376">
        <v>44868</v>
      </c>
      <c r="G449" s="325"/>
      <c r="H449" s="325"/>
    </row>
    <row r="450" spans="3:8" s="324" customFormat="1" ht="30">
      <c r="C450" s="329" t="s">
        <v>2894</v>
      </c>
      <c r="D450" s="327" t="s">
        <v>2895</v>
      </c>
      <c r="E450" s="376">
        <v>44868</v>
      </c>
      <c r="G450" s="325"/>
      <c r="H450" s="325"/>
    </row>
    <row r="451" spans="3:8" s="324" customFormat="1" ht="35.1" customHeight="1">
      <c r="C451" s="329" t="s">
        <v>2896</v>
      </c>
      <c r="D451" s="327" t="s">
        <v>2897</v>
      </c>
      <c r="E451" s="376">
        <v>44868</v>
      </c>
      <c r="G451" s="325"/>
      <c r="H451" s="325"/>
    </row>
    <row r="452" spans="3:8" s="324" customFormat="1">
      <c r="C452" s="329" t="s">
        <v>185</v>
      </c>
      <c r="D452" s="327" t="s">
        <v>184</v>
      </c>
      <c r="E452" s="376">
        <v>44868</v>
      </c>
      <c r="G452" s="325"/>
      <c r="H452" s="325"/>
    </row>
    <row r="453" spans="3:8" s="324" customFormat="1">
      <c r="C453" s="329" t="s">
        <v>185</v>
      </c>
      <c r="D453" s="327" t="s">
        <v>184</v>
      </c>
      <c r="E453" s="376">
        <v>44868</v>
      </c>
      <c r="G453" s="325"/>
      <c r="H453" s="325"/>
    </row>
    <row r="454" spans="3:8" s="324" customFormat="1" ht="30">
      <c r="C454" s="329" t="s">
        <v>2903</v>
      </c>
      <c r="D454" s="327" t="s">
        <v>3992</v>
      </c>
      <c r="E454" s="376">
        <v>44869</v>
      </c>
      <c r="G454" s="325"/>
      <c r="H454" s="325"/>
    </row>
    <row r="455" spans="3:8" s="324" customFormat="1" ht="35.1" customHeight="1">
      <c r="C455" s="329" t="s">
        <v>2905</v>
      </c>
      <c r="D455" s="327" t="s">
        <v>3991</v>
      </c>
      <c r="E455" s="376">
        <v>44869</v>
      </c>
      <c r="G455" s="325"/>
      <c r="H455" s="325"/>
    </row>
    <row r="456" spans="3:8" s="324" customFormat="1" ht="45">
      <c r="C456" s="329" t="s">
        <v>2898</v>
      </c>
      <c r="D456" s="327" t="s">
        <v>3990</v>
      </c>
      <c r="E456" s="376">
        <v>44869</v>
      </c>
      <c r="G456" s="325"/>
      <c r="H456" s="325"/>
    </row>
    <row r="457" spans="3:8" s="324" customFormat="1" ht="35.1" customHeight="1">
      <c r="C457" s="329" t="s">
        <v>2102</v>
      </c>
      <c r="D457" s="327" t="s">
        <v>2103</v>
      </c>
      <c r="E457" s="376">
        <v>44869</v>
      </c>
      <c r="G457" s="325"/>
      <c r="H457" s="325"/>
    </row>
    <row r="458" spans="3:8" s="324" customFormat="1" ht="35.1" customHeight="1">
      <c r="C458" s="329" t="s">
        <v>2029</v>
      </c>
      <c r="D458" s="327" t="s">
        <v>2030</v>
      </c>
      <c r="E458" s="376">
        <v>44869</v>
      </c>
      <c r="G458" s="325"/>
      <c r="H458" s="325"/>
    </row>
    <row r="459" spans="3:8" s="324" customFormat="1">
      <c r="C459" s="329" t="s">
        <v>1658</v>
      </c>
      <c r="D459" s="327" t="s">
        <v>3989</v>
      </c>
      <c r="E459" s="376">
        <v>44869</v>
      </c>
      <c r="G459" s="325"/>
      <c r="H459" s="325"/>
    </row>
    <row r="460" spans="3:8" s="324" customFormat="1">
      <c r="C460" s="329" t="s">
        <v>1661</v>
      </c>
      <c r="D460" s="323" t="s">
        <v>3988</v>
      </c>
      <c r="E460" s="376">
        <v>44869</v>
      </c>
      <c r="G460" s="325"/>
      <c r="H460" s="325"/>
    </row>
    <row r="461" spans="3:8" s="324" customFormat="1" ht="35.1" customHeight="1">
      <c r="C461" s="329" t="s">
        <v>183</v>
      </c>
      <c r="D461" s="327" t="s">
        <v>182</v>
      </c>
      <c r="E461" s="376">
        <v>44872</v>
      </c>
      <c r="G461" s="325"/>
      <c r="H461" s="325"/>
    </row>
    <row r="462" spans="3:8" s="324" customFormat="1">
      <c r="C462" s="329" t="s">
        <v>2900</v>
      </c>
      <c r="D462" s="327" t="s">
        <v>2901</v>
      </c>
      <c r="E462" s="376">
        <v>44872</v>
      </c>
      <c r="G462" s="325"/>
      <c r="H462" s="325"/>
    </row>
    <row r="463" spans="3:8" s="324" customFormat="1" ht="35.1" customHeight="1">
      <c r="C463" s="329" t="s">
        <v>27</v>
      </c>
      <c r="D463" s="324" t="s">
        <v>2902</v>
      </c>
      <c r="E463" s="376">
        <v>44872</v>
      </c>
      <c r="G463" s="325"/>
      <c r="H463" s="325"/>
    </row>
    <row r="464" spans="3:8" s="324" customFormat="1" ht="35.1" customHeight="1">
      <c r="C464" s="329" t="s">
        <v>180</v>
      </c>
      <c r="D464" s="324" t="s">
        <v>179</v>
      </c>
      <c r="E464" s="376">
        <v>44873</v>
      </c>
      <c r="G464" s="325"/>
      <c r="H464" s="325"/>
    </row>
    <row r="465" spans="3:8" s="324" customFormat="1">
      <c r="C465" s="329" t="s">
        <v>1660</v>
      </c>
      <c r="D465" s="324" t="s">
        <v>3987</v>
      </c>
      <c r="E465" s="376">
        <v>44873</v>
      </c>
      <c r="G465" s="325"/>
      <c r="H465" s="325"/>
    </row>
    <row r="466" spans="3:8" s="324" customFormat="1" ht="35.1" customHeight="1">
      <c r="C466" s="329" t="s">
        <v>3986</v>
      </c>
      <c r="D466" s="324" t="s">
        <v>1067</v>
      </c>
      <c r="E466" s="376">
        <v>44879</v>
      </c>
      <c r="G466" s="325"/>
      <c r="H466" s="325"/>
    </row>
    <row r="467" spans="3:8" s="324" customFormat="1" ht="30">
      <c r="C467" s="329" t="s">
        <v>1727</v>
      </c>
      <c r="D467" s="327" t="s">
        <v>3985</v>
      </c>
      <c r="E467" s="376">
        <v>44882</v>
      </c>
      <c r="G467" s="325"/>
      <c r="H467" s="325"/>
    </row>
    <row r="468" spans="3:8" s="324" customFormat="1">
      <c r="C468" s="329" t="s">
        <v>1728</v>
      </c>
      <c r="D468" s="327" t="s">
        <v>3984</v>
      </c>
      <c r="E468" s="376">
        <v>44882</v>
      </c>
      <c r="G468" s="325"/>
      <c r="H468" s="325"/>
    </row>
    <row r="469" spans="3:8" s="324" customFormat="1">
      <c r="C469" s="329" t="s">
        <v>2917</v>
      </c>
      <c r="D469" s="327" t="s">
        <v>3983</v>
      </c>
      <c r="E469" s="376"/>
      <c r="G469" s="325"/>
      <c r="H469" s="325"/>
    </row>
    <row r="470" spans="3:8" s="324" customFormat="1">
      <c r="C470" s="338" t="s">
        <v>2919</v>
      </c>
      <c r="D470" s="330" t="s">
        <v>3884</v>
      </c>
      <c r="E470" s="376"/>
      <c r="G470" s="325"/>
      <c r="H470" s="325"/>
    </row>
    <row r="471" spans="3:8" s="324" customFormat="1" ht="35.1" customHeight="1">
      <c r="C471" s="338" t="s">
        <v>2915</v>
      </c>
      <c r="D471" s="330" t="s">
        <v>3982</v>
      </c>
      <c r="E471" s="376"/>
      <c r="G471" s="325"/>
      <c r="H471" s="325"/>
    </row>
    <row r="472" spans="3:8" s="324" customFormat="1" ht="35.1" customHeight="1">
      <c r="C472" s="356" t="s">
        <v>3981</v>
      </c>
      <c r="D472" s="330" t="s">
        <v>3980</v>
      </c>
      <c r="E472" s="376"/>
      <c r="G472" s="325"/>
      <c r="H472" s="325"/>
    </row>
    <row r="473" spans="3:8" s="324" customFormat="1" ht="45">
      <c r="C473" s="356" t="s">
        <v>1213</v>
      </c>
      <c r="D473" s="339" t="s">
        <v>1214</v>
      </c>
      <c r="E473" s="376">
        <v>44884</v>
      </c>
      <c r="G473" s="325"/>
      <c r="H473" s="325"/>
    </row>
    <row r="474" spans="3:8" s="324" customFormat="1" ht="35.1" customHeight="1">
      <c r="C474" s="356" t="s">
        <v>178</v>
      </c>
      <c r="D474" s="339" t="s">
        <v>177</v>
      </c>
      <c r="E474" s="376">
        <v>44891</v>
      </c>
      <c r="G474" s="325"/>
      <c r="H474" s="325"/>
    </row>
    <row r="475" spans="3:8" s="324" customFormat="1">
      <c r="C475" s="356" t="s">
        <v>943</v>
      </c>
      <c r="D475" s="339" t="s">
        <v>944</v>
      </c>
      <c r="E475" s="376">
        <v>44893</v>
      </c>
      <c r="G475" s="325"/>
      <c r="H475" s="325"/>
    </row>
    <row r="476" spans="3:8" s="324" customFormat="1">
      <c r="C476" s="356" t="s">
        <v>2930</v>
      </c>
      <c r="D476" s="339" t="s">
        <v>2931</v>
      </c>
      <c r="E476" s="376">
        <v>44894</v>
      </c>
      <c r="G476" s="325"/>
      <c r="H476" s="325"/>
    </row>
    <row r="477" spans="3:8" s="324" customFormat="1">
      <c r="C477" s="356" t="s">
        <v>2040</v>
      </c>
      <c r="D477" s="339" t="s">
        <v>3979</v>
      </c>
      <c r="E477" s="376">
        <v>44896</v>
      </c>
      <c r="G477" s="325"/>
      <c r="H477" s="325"/>
    </row>
    <row r="478" spans="3:8" s="324" customFormat="1">
      <c r="C478" s="356" t="s">
        <v>2070</v>
      </c>
      <c r="D478" s="339" t="s">
        <v>3978</v>
      </c>
      <c r="E478" s="376">
        <v>44896</v>
      </c>
      <c r="G478" s="325"/>
      <c r="H478" s="325"/>
    </row>
    <row r="479" spans="3:8" s="324" customFormat="1">
      <c r="C479" s="356" t="s">
        <v>2146</v>
      </c>
      <c r="D479" s="339" t="s">
        <v>3978</v>
      </c>
      <c r="E479" s="376">
        <v>44896</v>
      </c>
      <c r="G479" s="325"/>
      <c r="H479" s="325"/>
    </row>
    <row r="480" spans="3:8" s="324" customFormat="1">
      <c r="C480" s="356" t="s">
        <v>3131</v>
      </c>
      <c r="D480" s="339" t="s">
        <v>3203</v>
      </c>
      <c r="E480" s="376">
        <v>44902</v>
      </c>
      <c r="G480" s="325"/>
      <c r="H480" s="325"/>
    </row>
    <row r="481" spans="3:8" s="324" customFormat="1" ht="35.1" customHeight="1">
      <c r="C481" s="356" t="s">
        <v>3135</v>
      </c>
      <c r="D481" s="339" t="s">
        <v>3205</v>
      </c>
      <c r="E481" s="376">
        <v>44902</v>
      </c>
      <c r="G481" s="325"/>
      <c r="H481" s="325"/>
    </row>
    <row r="482" spans="3:8" s="324" customFormat="1" ht="35.1" customHeight="1">
      <c r="C482" s="356" t="s">
        <v>2932</v>
      </c>
      <c r="D482" s="339" t="s">
        <v>2933</v>
      </c>
      <c r="E482" s="376">
        <v>44902</v>
      </c>
      <c r="G482" s="325"/>
      <c r="H482" s="325"/>
    </row>
    <row r="483" spans="3:8" s="324" customFormat="1" ht="35.1" customHeight="1">
      <c r="C483" s="356" t="s">
        <v>2161</v>
      </c>
      <c r="D483" s="339" t="s">
        <v>2162</v>
      </c>
      <c r="E483" s="376">
        <v>44908</v>
      </c>
      <c r="G483" s="325"/>
      <c r="H483" s="325"/>
    </row>
    <row r="484" spans="3:8" s="324" customFormat="1" ht="35.1" customHeight="1">
      <c r="C484" s="356" t="s">
        <v>1626</v>
      </c>
      <c r="D484" s="339" t="s">
        <v>1627</v>
      </c>
      <c r="E484" s="376">
        <v>44908</v>
      </c>
      <c r="G484" s="325"/>
      <c r="H484" s="325"/>
    </row>
    <row r="485" spans="3:8" s="324" customFormat="1" ht="35.1" customHeight="1">
      <c r="C485" s="356" t="s">
        <v>3977</v>
      </c>
      <c r="D485" s="339" t="s">
        <v>3976</v>
      </c>
      <c r="E485" s="376"/>
      <c r="G485" s="325"/>
      <c r="H485" s="325"/>
    </row>
    <row r="486" spans="3:8" s="324" customFormat="1" ht="35.1" customHeight="1">
      <c r="C486" s="356" t="s">
        <v>3975</v>
      </c>
      <c r="D486" s="339" t="s">
        <v>3974</v>
      </c>
      <c r="E486" s="376"/>
      <c r="G486" s="325"/>
      <c r="H486" s="325"/>
    </row>
    <row r="487" spans="3:8" s="324" customFormat="1" ht="35.1" customHeight="1">
      <c r="C487" s="356" t="s">
        <v>3973</v>
      </c>
      <c r="D487" s="339" t="s">
        <v>3972</v>
      </c>
      <c r="E487" s="376"/>
      <c r="G487" s="325"/>
      <c r="H487" s="325"/>
    </row>
    <row r="488" spans="3:8" s="324" customFormat="1" ht="35.1" customHeight="1">
      <c r="C488" s="356" t="s">
        <v>3971</v>
      </c>
      <c r="D488" s="339" t="s">
        <v>2935</v>
      </c>
      <c r="E488" s="376"/>
      <c r="G488" s="325"/>
      <c r="H488" s="325"/>
    </row>
    <row r="489" spans="3:8" s="339" customFormat="1" ht="35.1" customHeight="1">
      <c r="C489" s="339" t="s">
        <v>2944</v>
      </c>
      <c r="D489" s="339" t="s">
        <v>2935</v>
      </c>
      <c r="E489" s="343"/>
    </row>
    <row r="490" spans="3:8" s="324" customFormat="1" ht="35.1" customHeight="1">
      <c r="C490" s="356" t="s">
        <v>2945</v>
      </c>
      <c r="D490" s="339" t="s">
        <v>2946</v>
      </c>
      <c r="E490" s="376"/>
      <c r="G490" s="325"/>
      <c r="H490" s="325"/>
    </row>
    <row r="491" spans="3:8" s="324" customFormat="1" ht="51" customHeight="1">
      <c r="C491" s="356" t="s">
        <v>3970</v>
      </c>
      <c r="D491" s="339" t="s">
        <v>2948</v>
      </c>
      <c r="E491" s="376"/>
      <c r="G491" s="325"/>
      <c r="H491" s="325"/>
    </row>
    <row r="492" spans="3:8" s="324" customFormat="1" ht="35.1" customHeight="1">
      <c r="C492" s="359" t="s">
        <v>3969</v>
      </c>
      <c r="D492" s="339" t="s">
        <v>3967</v>
      </c>
      <c r="E492" s="376"/>
      <c r="G492" s="325"/>
      <c r="H492" s="325"/>
    </row>
    <row r="493" spans="3:8" s="324" customFormat="1" ht="35.1" customHeight="1">
      <c r="C493" s="359" t="s">
        <v>3968</v>
      </c>
      <c r="D493" s="339" t="s">
        <v>3967</v>
      </c>
      <c r="E493" s="376"/>
      <c r="G493" s="325"/>
      <c r="H493" s="325"/>
    </row>
    <row r="494" spans="3:8" s="324" customFormat="1" ht="52.5" customHeight="1">
      <c r="C494" s="359" t="s">
        <v>3001</v>
      </c>
      <c r="D494" s="339" t="s">
        <v>3966</v>
      </c>
      <c r="E494" s="376"/>
      <c r="G494" s="325"/>
      <c r="H494" s="325"/>
    </row>
    <row r="495" spans="3:8" s="324" customFormat="1" ht="52.5" customHeight="1">
      <c r="C495" s="359" t="s">
        <v>3003</v>
      </c>
      <c r="D495" s="339" t="s">
        <v>3004</v>
      </c>
      <c r="E495" s="376"/>
      <c r="G495" s="325"/>
      <c r="H495" s="325"/>
    </row>
    <row r="496" spans="3:8" s="324" customFormat="1" ht="30">
      <c r="C496" s="359" t="s">
        <v>3005</v>
      </c>
      <c r="D496" s="339" t="s">
        <v>3964</v>
      </c>
      <c r="E496" s="376">
        <v>44902</v>
      </c>
      <c r="G496" s="325"/>
      <c r="H496" s="325"/>
    </row>
    <row r="497" spans="3:8" s="324" customFormat="1" ht="30">
      <c r="C497" s="359" t="s">
        <v>3007</v>
      </c>
      <c r="D497" s="339" t="s">
        <v>3964</v>
      </c>
      <c r="E497" s="376">
        <v>44902</v>
      </c>
      <c r="G497" s="325"/>
      <c r="H497" s="325"/>
    </row>
    <row r="498" spans="3:8" s="324" customFormat="1" ht="30">
      <c r="C498" s="359" t="s">
        <v>3008</v>
      </c>
      <c r="D498" s="339" t="s">
        <v>3964</v>
      </c>
      <c r="E498" s="376">
        <v>44902</v>
      </c>
      <c r="G498" s="325"/>
      <c r="H498" s="325"/>
    </row>
    <row r="499" spans="3:8" s="324" customFormat="1">
      <c r="C499" s="359" t="s">
        <v>3009</v>
      </c>
      <c r="D499" s="339" t="s">
        <v>685</v>
      </c>
      <c r="E499" s="376">
        <v>44902</v>
      </c>
      <c r="G499" s="325"/>
      <c r="H499" s="325"/>
    </row>
    <row r="500" spans="3:8" s="324" customFormat="1" ht="35.1" customHeight="1">
      <c r="C500" s="359" t="s">
        <v>1146</v>
      </c>
      <c r="D500" s="339" t="s">
        <v>3965</v>
      </c>
      <c r="E500" s="376">
        <v>44902</v>
      </c>
      <c r="G500" s="325"/>
      <c r="H500" s="325"/>
    </row>
    <row r="501" spans="3:8" s="324" customFormat="1" ht="35.1" customHeight="1">
      <c r="C501" s="359" t="s">
        <v>3024</v>
      </c>
      <c r="D501" s="339" t="s">
        <v>3025</v>
      </c>
      <c r="E501" s="376">
        <v>44902</v>
      </c>
      <c r="G501" s="325"/>
      <c r="H501" s="325"/>
    </row>
    <row r="502" spans="3:8" s="324" customFormat="1" ht="35.1" customHeight="1">
      <c r="C502" s="359" t="s">
        <v>3026</v>
      </c>
      <c r="D502" s="339" t="s">
        <v>3025</v>
      </c>
      <c r="E502" s="376">
        <v>44902</v>
      </c>
      <c r="G502" s="325"/>
      <c r="H502" s="325"/>
    </row>
    <row r="503" spans="3:8" s="324" customFormat="1" ht="35.1" customHeight="1">
      <c r="C503" s="359" t="s">
        <v>3027</v>
      </c>
      <c r="D503" s="339" t="s">
        <v>3025</v>
      </c>
      <c r="E503" s="376">
        <v>44902</v>
      </c>
      <c r="G503" s="325"/>
      <c r="H503" s="325"/>
    </row>
    <row r="504" spans="3:8" s="324" customFormat="1" ht="30">
      <c r="C504" s="359" t="s">
        <v>3028</v>
      </c>
      <c r="D504" s="339" t="s">
        <v>3964</v>
      </c>
      <c r="E504" s="376">
        <v>44905</v>
      </c>
      <c r="G504" s="325"/>
      <c r="H504" s="325"/>
    </row>
    <row r="505" spans="3:8" s="324" customFormat="1" ht="30">
      <c r="C505" s="359" t="s">
        <v>3029</v>
      </c>
      <c r="D505" s="339" t="s">
        <v>3964</v>
      </c>
      <c r="E505" s="376">
        <v>44905</v>
      </c>
      <c r="G505" s="325"/>
      <c r="H505" s="325"/>
    </row>
    <row r="506" spans="3:8" s="324" customFormat="1" ht="315">
      <c r="C506" s="359" t="s">
        <v>3030</v>
      </c>
      <c r="D506" s="339" t="s">
        <v>3031</v>
      </c>
      <c r="E506" s="376">
        <v>44905</v>
      </c>
      <c r="G506" s="325"/>
      <c r="H506" s="325"/>
    </row>
    <row r="507" spans="3:8" s="324" customFormat="1" ht="30">
      <c r="C507" s="359" t="s">
        <v>3032</v>
      </c>
      <c r="D507" s="339" t="s">
        <v>3033</v>
      </c>
      <c r="E507" s="376">
        <v>44905</v>
      </c>
      <c r="G507" s="325"/>
      <c r="H507" s="325"/>
    </row>
    <row r="508" spans="3:8" s="324" customFormat="1">
      <c r="C508" s="359" t="s">
        <v>3963</v>
      </c>
      <c r="D508" s="339" t="s">
        <v>3035</v>
      </c>
      <c r="E508" s="376">
        <v>44905</v>
      </c>
      <c r="G508" s="325"/>
      <c r="H508" s="325"/>
    </row>
    <row r="509" spans="3:8" s="324" customFormat="1">
      <c r="C509" s="359" t="s">
        <v>3962</v>
      </c>
      <c r="D509" s="339" t="s">
        <v>3043</v>
      </c>
      <c r="E509" s="376">
        <v>44905</v>
      </c>
      <c r="G509" s="325"/>
      <c r="H509" s="325"/>
    </row>
    <row r="510" spans="3:8" s="324" customFormat="1" ht="35.1" customHeight="1">
      <c r="C510" s="359" t="s">
        <v>3050</v>
      </c>
      <c r="D510" s="339" t="s">
        <v>3051</v>
      </c>
      <c r="E510" s="376">
        <v>44905</v>
      </c>
      <c r="G510" s="325"/>
      <c r="H510" s="325"/>
    </row>
    <row r="511" spans="3:8" s="324" customFormat="1" ht="35.1" customHeight="1">
      <c r="C511" s="360" t="s">
        <v>31</v>
      </c>
      <c r="D511" s="339" t="s">
        <v>3961</v>
      </c>
      <c r="E511" s="376">
        <v>44905</v>
      </c>
      <c r="G511" s="325"/>
      <c r="H511" s="325"/>
    </row>
    <row r="512" spans="3:8" s="324" customFormat="1" ht="35.1" customHeight="1">
      <c r="C512" s="360" t="s">
        <v>1624</v>
      </c>
      <c r="D512" s="339" t="s">
        <v>1625</v>
      </c>
      <c r="E512" s="376">
        <v>44905</v>
      </c>
      <c r="G512" s="325"/>
      <c r="H512" s="325"/>
    </row>
    <row r="513" spans="3:8" s="324" customFormat="1" ht="35.1" customHeight="1">
      <c r="C513" s="359" t="s">
        <v>3960</v>
      </c>
      <c r="D513" s="339" t="s">
        <v>3053</v>
      </c>
      <c r="E513" s="376">
        <v>44905</v>
      </c>
      <c r="G513" s="325"/>
      <c r="H513" s="325"/>
    </row>
    <row r="514" spans="3:8" s="324" customFormat="1" ht="35.1" customHeight="1">
      <c r="C514" s="359" t="s">
        <v>3959</v>
      </c>
      <c r="D514" s="339" t="s">
        <v>3060</v>
      </c>
      <c r="E514" s="376">
        <v>44905</v>
      </c>
      <c r="G514" s="325"/>
      <c r="H514" s="325"/>
    </row>
    <row r="515" spans="3:8" s="324" customFormat="1" ht="35.1" customHeight="1">
      <c r="C515" s="359" t="s">
        <v>3958</v>
      </c>
      <c r="D515" s="339" t="s">
        <v>3073</v>
      </c>
      <c r="E515" s="376">
        <v>44905</v>
      </c>
      <c r="G515" s="325"/>
      <c r="H515" s="325"/>
    </row>
    <row r="516" spans="3:8" s="324" customFormat="1" ht="60" customHeight="1">
      <c r="C516" s="359" t="s">
        <v>3080</v>
      </c>
      <c r="D516" s="339" t="s">
        <v>3081</v>
      </c>
      <c r="E516" s="376">
        <v>44905</v>
      </c>
      <c r="G516" s="325"/>
      <c r="H516" s="325"/>
    </row>
    <row r="517" spans="3:8" s="324" customFormat="1" ht="35.1" customHeight="1">
      <c r="C517" s="359" t="s">
        <v>3082</v>
      </c>
      <c r="D517" s="339" t="s">
        <v>3957</v>
      </c>
      <c r="E517" s="376">
        <v>44905</v>
      </c>
      <c r="G517" s="325"/>
      <c r="H517" s="325"/>
    </row>
    <row r="518" spans="3:8" s="324" customFormat="1" ht="35.1" customHeight="1">
      <c r="C518" s="359" t="s">
        <v>3084</v>
      </c>
      <c r="D518" s="339" t="s">
        <v>3085</v>
      </c>
      <c r="E518" s="376">
        <v>44905</v>
      </c>
      <c r="G518" s="325"/>
      <c r="H518" s="325"/>
    </row>
    <row r="519" spans="3:8" s="324" customFormat="1" ht="35.1" customHeight="1">
      <c r="C519" s="359" t="s">
        <v>3086</v>
      </c>
      <c r="D519" s="339" t="s">
        <v>3087</v>
      </c>
      <c r="E519" s="376">
        <v>44905</v>
      </c>
      <c r="G519" s="325"/>
      <c r="H519" s="325"/>
    </row>
    <row r="520" spans="3:8" s="324" customFormat="1" ht="30.6" customHeight="1">
      <c r="C520" s="359" t="s">
        <v>3956</v>
      </c>
      <c r="D520" s="339" t="s">
        <v>3955</v>
      </c>
      <c r="E520" s="376">
        <v>44905</v>
      </c>
      <c r="G520" s="325"/>
      <c r="H520" s="325"/>
    </row>
    <row r="521" spans="3:8" s="324" customFormat="1" ht="30.6" customHeight="1">
      <c r="C521" s="358" t="s">
        <v>3092</v>
      </c>
      <c r="D521" s="339" t="s">
        <v>3093</v>
      </c>
      <c r="E521" s="376">
        <v>44905</v>
      </c>
      <c r="G521" s="325"/>
      <c r="H521" s="325"/>
    </row>
    <row r="522" spans="3:8" s="324" customFormat="1" ht="30.6" customHeight="1">
      <c r="C522" s="358" t="s">
        <v>3094</v>
      </c>
      <c r="D522" s="339" t="s">
        <v>3095</v>
      </c>
      <c r="E522" s="376">
        <v>44905</v>
      </c>
      <c r="G522" s="325"/>
      <c r="H522" s="325"/>
    </row>
    <row r="523" spans="3:8" s="324" customFormat="1" ht="35.1" customHeight="1">
      <c r="C523" s="358" t="s">
        <v>3096</v>
      </c>
      <c r="D523" s="339" t="s">
        <v>3097</v>
      </c>
      <c r="E523" s="376">
        <v>44905</v>
      </c>
      <c r="G523" s="325"/>
      <c r="H523" s="325"/>
    </row>
    <row r="524" spans="3:8" s="324" customFormat="1" ht="30.6" customHeight="1">
      <c r="C524" s="358" t="s">
        <v>3098</v>
      </c>
      <c r="D524" s="339" t="s">
        <v>3099</v>
      </c>
      <c r="E524" s="376">
        <v>44905</v>
      </c>
      <c r="G524" s="325"/>
      <c r="H524" s="325"/>
    </row>
    <row r="525" spans="3:8" s="324" customFormat="1" ht="30.6" customHeight="1">
      <c r="C525" s="358" t="s">
        <v>3100</v>
      </c>
      <c r="D525" s="339" t="s">
        <v>3101</v>
      </c>
      <c r="E525" s="376">
        <v>44905</v>
      </c>
      <c r="G525" s="325"/>
      <c r="H525" s="325"/>
    </row>
    <row r="526" spans="3:8" s="324" customFormat="1" ht="30.6" customHeight="1">
      <c r="C526" s="358" t="s">
        <v>3102</v>
      </c>
      <c r="D526" s="339" t="s">
        <v>3103</v>
      </c>
      <c r="E526" s="376">
        <v>44905</v>
      </c>
      <c r="G526" s="325"/>
      <c r="H526" s="325"/>
    </row>
    <row r="527" spans="3:8" s="324" customFormat="1" ht="30.6" customHeight="1">
      <c r="C527" s="358" t="s">
        <v>3104</v>
      </c>
      <c r="D527" s="339" t="s">
        <v>3105</v>
      </c>
      <c r="E527" s="376">
        <v>44905</v>
      </c>
      <c r="G527" s="325"/>
      <c r="H527" s="325"/>
    </row>
    <row r="528" spans="3:8" s="324" customFormat="1" ht="30.6" customHeight="1">
      <c r="C528" s="358" t="s">
        <v>3106</v>
      </c>
      <c r="D528" s="339" t="s">
        <v>3107</v>
      </c>
      <c r="E528" s="376">
        <v>44905</v>
      </c>
      <c r="G528" s="325"/>
      <c r="H528" s="325"/>
    </row>
    <row r="529" spans="3:8" s="324" customFormat="1" ht="71.099999999999994" customHeight="1">
      <c r="C529" s="358" t="s">
        <v>3108</v>
      </c>
      <c r="D529" s="339" t="s">
        <v>3109</v>
      </c>
      <c r="E529" s="376">
        <v>44907</v>
      </c>
      <c r="G529" s="325"/>
      <c r="H529" s="325"/>
    </row>
    <row r="530" spans="3:8" s="324" customFormat="1" ht="35.450000000000003" customHeight="1">
      <c r="C530" s="358" t="s">
        <v>3110</v>
      </c>
      <c r="D530" s="339" t="s">
        <v>3111</v>
      </c>
      <c r="E530" s="376">
        <v>44909</v>
      </c>
      <c r="G530" s="325"/>
      <c r="H530" s="325"/>
    </row>
    <row r="531" spans="3:8" s="324" customFormat="1" ht="35.450000000000003" customHeight="1">
      <c r="C531" s="358" t="s">
        <v>3954</v>
      </c>
      <c r="D531" s="339" t="s">
        <v>3953</v>
      </c>
      <c r="E531" s="376">
        <v>44909</v>
      </c>
      <c r="G531" s="325"/>
      <c r="H531" s="325"/>
    </row>
    <row r="532" spans="3:8" s="324" customFormat="1" ht="62.45" customHeight="1">
      <c r="C532" s="358" t="s">
        <v>3114</v>
      </c>
      <c r="D532" s="339" t="s">
        <v>3115</v>
      </c>
      <c r="E532" s="376">
        <v>44917</v>
      </c>
      <c r="G532" s="325"/>
      <c r="H532" s="325"/>
    </row>
    <row r="533" spans="3:8" s="324" customFormat="1" ht="62.45" customHeight="1">
      <c r="C533" s="358" t="s">
        <v>3112</v>
      </c>
      <c r="D533" s="339" t="s">
        <v>3113</v>
      </c>
      <c r="E533" s="376">
        <v>44919</v>
      </c>
      <c r="G533" s="325"/>
      <c r="H533" s="325"/>
    </row>
    <row r="534" spans="3:8" s="324" customFormat="1" ht="62.45" customHeight="1">
      <c r="C534" s="358" t="s">
        <v>3116</v>
      </c>
      <c r="D534" s="339" t="s">
        <v>3117</v>
      </c>
      <c r="E534" s="376"/>
      <c r="G534" s="325"/>
      <c r="H534" s="325"/>
    </row>
    <row r="535" spans="3:8" s="324" customFormat="1" ht="62.45" customHeight="1">
      <c r="C535" s="358" t="s">
        <v>3118</v>
      </c>
      <c r="D535" s="339" t="s">
        <v>3119</v>
      </c>
      <c r="E535" s="376"/>
      <c r="G535" s="325"/>
      <c r="H535" s="325"/>
    </row>
    <row r="536" spans="3:8" s="324" customFormat="1" ht="41.1" customHeight="1">
      <c r="C536" s="357" t="s">
        <v>2196</v>
      </c>
      <c r="D536" s="339" t="s">
        <v>2045</v>
      </c>
      <c r="E536" s="376">
        <v>44917</v>
      </c>
      <c r="G536" s="325"/>
      <c r="H536" s="325"/>
    </row>
    <row r="537" spans="3:8" s="324" customFormat="1" ht="40.5" customHeight="1">
      <c r="C537" s="357" t="s">
        <v>2093</v>
      </c>
      <c r="D537" s="339" t="s">
        <v>2045</v>
      </c>
      <c r="E537" s="376">
        <v>44917</v>
      </c>
      <c r="G537" s="325"/>
      <c r="H537" s="325"/>
    </row>
    <row r="538" spans="3:8" s="324" customFormat="1" ht="38.1" customHeight="1">
      <c r="C538" s="357" t="s">
        <v>2044</v>
      </c>
      <c r="D538" s="339" t="s">
        <v>2045</v>
      </c>
      <c r="E538" s="376">
        <v>44917</v>
      </c>
      <c r="G538" s="325"/>
      <c r="H538" s="325"/>
    </row>
    <row r="539" spans="3:8" s="324" customFormat="1" ht="38.1" customHeight="1">
      <c r="C539" s="357" t="s">
        <v>2197</v>
      </c>
      <c r="D539" s="339" t="s">
        <v>2047</v>
      </c>
      <c r="E539" s="376">
        <v>44917</v>
      </c>
      <c r="G539" s="325"/>
      <c r="H539" s="325"/>
    </row>
    <row r="540" spans="3:8" s="324" customFormat="1" ht="38.1" customHeight="1">
      <c r="C540" s="357" t="s">
        <v>2095</v>
      </c>
      <c r="D540" s="339" t="s">
        <v>2047</v>
      </c>
      <c r="E540" s="376">
        <v>44917</v>
      </c>
      <c r="G540" s="325"/>
      <c r="H540" s="325"/>
    </row>
    <row r="541" spans="3:8" s="324" customFormat="1" ht="38.1" customHeight="1">
      <c r="C541" s="357" t="s">
        <v>2046</v>
      </c>
      <c r="D541" s="339" t="s">
        <v>2047</v>
      </c>
      <c r="E541" s="376">
        <v>44917</v>
      </c>
      <c r="G541" s="325"/>
      <c r="H541" s="325"/>
    </row>
    <row r="542" spans="3:8" s="324" customFormat="1" ht="38.1" customHeight="1">
      <c r="C542" s="357" t="s">
        <v>1257</v>
      </c>
      <c r="D542" s="339" t="s">
        <v>1258</v>
      </c>
      <c r="E542" s="376">
        <v>44919</v>
      </c>
      <c r="G542" s="325"/>
      <c r="H542" s="325"/>
    </row>
    <row r="543" spans="3:8" s="324" customFormat="1" ht="38.1" customHeight="1">
      <c r="C543" s="357" t="s">
        <v>1558</v>
      </c>
      <c r="D543" s="339" t="s">
        <v>1559</v>
      </c>
      <c r="E543" s="376">
        <v>44939</v>
      </c>
      <c r="G543" s="325"/>
      <c r="H543" s="325"/>
    </row>
    <row r="544" spans="3:8" s="324" customFormat="1" ht="38.1" customHeight="1">
      <c r="C544" s="357" t="s">
        <v>687</v>
      </c>
      <c r="D544" s="339" t="s">
        <v>685</v>
      </c>
      <c r="E544" s="376">
        <v>44938</v>
      </c>
      <c r="G544" s="325"/>
      <c r="H544" s="325"/>
    </row>
    <row r="545" spans="3:8" s="324" customFormat="1" ht="38.1" customHeight="1">
      <c r="C545" s="357" t="s">
        <v>890</v>
      </c>
      <c r="D545" s="339" t="s">
        <v>3952</v>
      </c>
      <c r="E545" s="376"/>
      <c r="G545" s="325"/>
      <c r="H545" s="325"/>
    </row>
    <row r="546" spans="3:8" s="324" customFormat="1" ht="38.1" customHeight="1">
      <c r="C546" s="357" t="s">
        <v>1838</v>
      </c>
      <c r="D546" s="339" t="s">
        <v>1839</v>
      </c>
      <c r="E546" s="376"/>
      <c r="G546" s="325"/>
      <c r="H546" s="325"/>
    </row>
    <row r="547" spans="3:8" s="324" customFormat="1" ht="38.1" customHeight="1">
      <c r="C547" s="357" t="s">
        <v>1373</v>
      </c>
      <c r="D547" s="339" t="s">
        <v>3951</v>
      </c>
      <c r="E547" s="376"/>
      <c r="G547" s="325"/>
      <c r="H547" s="325"/>
    </row>
    <row r="548" spans="3:8" s="324" customFormat="1" ht="38.1" customHeight="1">
      <c r="C548" s="357" t="s">
        <v>688</v>
      </c>
      <c r="D548" s="339" t="s">
        <v>689</v>
      </c>
      <c r="E548" s="376"/>
      <c r="G548" s="325"/>
      <c r="H548" s="325"/>
    </row>
    <row r="549" spans="3:8" s="324" customFormat="1" ht="38.1" customHeight="1">
      <c r="C549" s="357" t="s">
        <v>1759</v>
      </c>
      <c r="D549" s="339" t="s">
        <v>2493</v>
      </c>
      <c r="E549" s="376">
        <v>44942</v>
      </c>
      <c r="G549" s="325"/>
      <c r="H549" s="325"/>
    </row>
    <row r="550" spans="3:8" s="324" customFormat="1" ht="38.1" customHeight="1">
      <c r="C550" s="357" t="s">
        <v>1622</v>
      </c>
      <c r="D550" s="339" t="s">
        <v>3950</v>
      </c>
      <c r="E550" s="376">
        <v>44956</v>
      </c>
      <c r="G550" s="325"/>
      <c r="H550" s="325"/>
    </row>
    <row r="551" spans="3:8" s="324" customFormat="1">
      <c r="C551" s="356"/>
      <c r="D551" s="339"/>
      <c r="E551" s="376"/>
      <c r="G551" s="325"/>
      <c r="H551" s="325"/>
    </row>
    <row r="552" spans="3:8" s="324" customFormat="1">
      <c r="C552" s="408" t="s">
        <v>2517</v>
      </c>
      <c r="D552" s="408"/>
      <c r="E552" s="376"/>
      <c r="G552" s="325"/>
      <c r="H552" s="325"/>
    </row>
    <row r="553" spans="3:8" s="324" customFormat="1" ht="35.1" customHeight="1">
      <c r="C553" s="338" t="s">
        <v>1387</v>
      </c>
      <c r="D553" s="330" t="s">
        <v>2451</v>
      </c>
      <c r="E553" s="376"/>
      <c r="G553" s="325"/>
      <c r="H553" s="325"/>
    </row>
    <row r="554" spans="3:8" s="324" customFormat="1" ht="35.1" customHeight="1">
      <c r="C554" s="338" t="s">
        <v>1181</v>
      </c>
      <c r="D554" s="330" t="s">
        <v>2451</v>
      </c>
      <c r="E554" s="376"/>
      <c r="G554" s="325"/>
      <c r="H554" s="325"/>
    </row>
    <row r="555" spans="3:8" s="324" customFormat="1" ht="35.1" customHeight="1">
      <c r="C555" s="338" t="s">
        <v>1193</v>
      </c>
      <c r="D555" s="330" t="s">
        <v>2451</v>
      </c>
      <c r="E555" s="376"/>
      <c r="G555" s="325"/>
      <c r="H555" s="325"/>
    </row>
    <row r="556" spans="3:8" s="324" customFormat="1" ht="35.1" customHeight="1">
      <c r="C556" s="338" t="s">
        <v>1183</v>
      </c>
      <c r="D556" s="330" t="s">
        <v>3949</v>
      </c>
      <c r="E556" s="376"/>
      <c r="G556" s="325"/>
      <c r="H556" s="325"/>
    </row>
    <row r="557" spans="3:8" s="324" customFormat="1" ht="35.1" customHeight="1">
      <c r="C557" s="338" t="s">
        <v>2327</v>
      </c>
      <c r="D557" s="330" t="s">
        <v>3949</v>
      </c>
      <c r="E557" s="376"/>
      <c r="G557" s="325"/>
      <c r="H557" s="325"/>
    </row>
    <row r="558" spans="3:8" s="324" customFormat="1" ht="35.1" customHeight="1">
      <c r="C558" s="338" t="s">
        <v>2328</v>
      </c>
      <c r="D558" s="330" t="s">
        <v>3949</v>
      </c>
      <c r="E558" s="376"/>
      <c r="G558" s="325"/>
      <c r="H558" s="325"/>
    </row>
    <row r="559" spans="3:8" s="324" customFormat="1" ht="35.1" customHeight="1">
      <c r="C559" s="338" t="s">
        <v>1185</v>
      </c>
      <c r="D559" s="330" t="s">
        <v>32</v>
      </c>
      <c r="E559" s="376"/>
      <c r="G559" s="325"/>
      <c r="H559" s="325"/>
    </row>
    <row r="560" spans="3:8" s="324" customFormat="1" ht="35.1" customHeight="1">
      <c r="C560" s="338" t="s">
        <v>1195</v>
      </c>
      <c r="D560" s="330" t="s">
        <v>32</v>
      </c>
      <c r="E560" s="376"/>
      <c r="G560" s="325"/>
      <c r="H560" s="325"/>
    </row>
    <row r="561" spans="3:8" s="324" customFormat="1" ht="35.1" customHeight="1">
      <c r="C561" s="338" t="s">
        <v>1390</v>
      </c>
      <c r="D561" s="330" t="s">
        <v>32</v>
      </c>
      <c r="E561" s="376"/>
      <c r="G561" s="325"/>
      <c r="H561" s="325"/>
    </row>
    <row r="562" spans="3:8" s="324" customFormat="1">
      <c r="C562" s="338" t="s">
        <v>2048</v>
      </c>
      <c r="D562" s="330" t="s">
        <v>3948</v>
      </c>
      <c r="E562" s="376"/>
      <c r="G562" s="325"/>
      <c r="H562" s="325"/>
    </row>
    <row r="563" spans="3:8" s="324" customFormat="1" ht="35.1" customHeight="1">
      <c r="C563" s="338" t="s">
        <v>3947</v>
      </c>
      <c r="D563" s="330" t="s">
        <v>1179</v>
      </c>
      <c r="E563" s="376"/>
      <c r="G563" s="325"/>
      <c r="H563" s="325"/>
    </row>
    <row r="564" spans="3:8" s="324" customFormat="1">
      <c r="C564" s="338" t="s">
        <v>388</v>
      </c>
      <c r="D564" s="330" t="s">
        <v>663</v>
      </c>
      <c r="E564" s="376"/>
      <c r="G564" s="325"/>
      <c r="H564" s="325"/>
    </row>
    <row r="565" spans="3:8" s="324" customFormat="1" ht="35.1" customHeight="1">
      <c r="C565" s="338" t="s">
        <v>1190</v>
      </c>
      <c r="D565" s="330" t="s">
        <v>605</v>
      </c>
      <c r="E565" s="376"/>
      <c r="G565" s="325"/>
      <c r="H565" s="325"/>
    </row>
    <row r="566" spans="3:8" s="324" customFormat="1" ht="35.1" customHeight="1">
      <c r="C566" s="338" t="s">
        <v>1191</v>
      </c>
      <c r="D566" s="330" t="s">
        <v>1202</v>
      </c>
      <c r="E566" s="376"/>
      <c r="G566" s="325"/>
      <c r="H566" s="325"/>
    </row>
    <row r="567" spans="3:8" s="324" customFormat="1" ht="35.1" customHeight="1">
      <c r="C567" s="338" t="s">
        <v>1386</v>
      </c>
      <c r="D567" s="330" t="s">
        <v>1182</v>
      </c>
      <c r="E567" s="376"/>
      <c r="G567" s="325"/>
      <c r="H567" s="325"/>
    </row>
    <row r="568" spans="3:8" s="324" customFormat="1">
      <c r="C568" s="338" t="s">
        <v>704</v>
      </c>
      <c r="D568" s="330" t="s">
        <v>663</v>
      </c>
      <c r="E568" s="376"/>
      <c r="G568" s="325"/>
      <c r="H568" s="325"/>
    </row>
    <row r="569" spans="3:8" s="324" customFormat="1">
      <c r="C569" s="408" t="s">
        <v>3946</v>
      </c>
      <c r="D569" s="408"/>
      <c r="E569" s="376"/>
      <c r="G569" s="325"/>
      <c r="H569" s="325"/>
    </row>
    <row r="570" spans="3:8" s="324" customFormat="1">
      <c r="C570" s="355" t="s">
        <v>1655</v>
      </c>
      <c r="D570" s="351" t="s">
        <v>3945</v>
      </c>
      <c r="E570" s="376"/>
      <c r="G570" s="325"/>
      <c r="H570" s="325"/>
    </row>
    <row r="571" spans="3:8" s="324" customFormat="1">
      <c r="C571" s="354" t="s">
        <v>1666</v>
      </c>
      <c r="D571" s="351" t="s">
        <v>3944</v>
      </c>
      <c r="E571" s="376" t="s">
        <v>3943</v>
      </c>
      <c r="G571" s="325"/>
      <c r="H571" s="325"/>
    </row>
    <row r="572" spans="3:8" s="324" customFormat="1">
      <c r="C572" s="354" t="s">
        <v>1645</v>
      </c>
      <c r="D572" s="351" t="s">
        <v>3942</v>
      </c>
      <c r="E572" s="376"/>
      <c r="G572" s="325"/>
      <c r="H572" s="325"/>
    </row>
    <row r="573" spans="3:8" s="324" customFormat="1">
      <c r="C573" s="354" t="s">
        <v>933</v>
      </c>
      <c r="D573" s="351" t="s">
        <v>3939</v>
      </c>
      <c r="E573" s="376"/>
      <c r="G573" s="325"/>
      <c r="H573" s="325"/>
    </row>
    <row r="574" spans="3:8" s="324" customFormat="1">
      <c r="C574" s="354" t="s">
        <v>3133</v>
      </c>
      <c r="D574" s="351" t="s">
        <v>3941</v>
      </c>
      <c r="E574" s="376"/>
      <c r="G574" s="325"/>
      <c r="H574" s="325"/>
    </row>
    <row r="575" spans="3:8" s="324" customFormat="1">
      <c r="C575" s="354" t="s">
        <v>927</v>
      </c>
      <c r="D575" s="351" t="s">
        <v>3940</v>
      </c>
      <c r="E575" s="376"/>
      <c r="G575" s="325"/>
      <c r="H575" s="325"/>
    </row>
    <row r="576" spans="3:8" s="324" customFormat="1">
      <c r="C576" s="354" t="s">
        <v>1526</v>
      </c>
      <c r="D576" s="351" t="s">
        <v>3864</v>
      </c>
      <c r="E576" s="376"/>
      <c r="G576" s="325"/>
      <c r="H576" s="325"/>
    </row>
    <row r="577" spans="2:9" s="326" customFormat="1">
      <c r="B577" s="324"/>
      <c r="C577" s="354" t="s">
        <v>1541</v>
      </c>
      <c r="D577" s="351" t="s">
        <v>3939</v>
      </c>
      <c r="E577" s="376"/>
      <c r="F577" s="324"/>
      <c r="G577" s="325"/>
      <c r="H577" s="325"/>
      <c r="I577" s="324"/>
    </row>
    <row r="578" spans="2:9" s="326" customFormat="1">
      <c r="B578" s="324"/>
      <c r="C578" s="352" t="s">
        <v>1775</v>
      </c>
      <c r="D578" s="351" t="s">
        <v>1776</v>
      </c>
      <c r="E578" s="376"/>
      <c r="F578" s="324"/>
      <c r="G578" s="325"/>
      <c r="H578" s="325"/>
      <c r="I578" s="324"/>
    </row>
    <row r="579" spans="2:9" s="326" customFormat="1">
      <c r="B579" s="324"/>
      <c r="C579" s="352" t="s">
        <v>1777</v>
      </c>
      <c r="D579" s="351" t="s">
        <v>1776</v>
      </c>
      <c r="E579" s="376"/>
      <c r="F579" s="324"/>
      <c r="G579" s="325"/>
      <c r="H579" s="325"/>
      <c r="I579" s="324"/>
    </row>
    <row r="580" spans="2:9" s="326" customFormat="1">
      <c r="B580" s="324"/>
      <c r="C580" s="352" t="s">
        <v>1778</v>
      </c>
      <c r="D580" s="351" t="s">
        <v>1776</v>
      </c>
      <c r="E580" s="376"/>
      <c r="F580" s="324"/>
      <c r="G580" s="325"/>
      <c r="H580" s="325"/>
      <c r="I580" s="324"/>
    </row>
    <row r="581" spans="2:9" s="326" customFormat="1">
      <c r="B581" s="324"/>
      <c r="C581" s="352" t="s">
        <v>1779</v>
      </c>
      <c r="D581" s="351" t="s">
        <v>1776</v>
      </c>
      <c r="E581" s="376"/>
      <c r="F581" s="324"/>
      <c r="G581" s="325"/>
      <c r="H581" s="325"/>
      <c r="I581" s="324"/>
    </row>
    <row r="582" spans="2:9" s="326" customFormat="1">
      <c r="B582" s="324"/>
      <c r="C582" s="352" t="s">
        <v>1780</v>
      </c>
      <c r="D582" s="351" t="s">
        <v>1776</v>
      </c>
      <c r="E582" s="376"/>
      <c r="F582" s="324"/>
      <c r="G582" s="325"/>
      <c r="H582" s="325"/>
      <c r="I582" s="324"/>
    </row>
    <row r="583" spans="2:9" s="326" customFormat="1">
      <c r="B583" s="324"/>
      <c r="C583" s="352" t="s">
        <v>1781</v>
      </c>
      <c r="D583" s="351" t="s">
        <v>1776</v>
      </c>
      <c r="E583" s="376"/>
      <c r="F583" s="324"/>
      <c r="G583" s="325"/>
      <c r="H583" s="325"/>
      <c r="I583" s="324"/>
    </row>
    <row r="584" spans="2:9" s="326" customFormat="1">
      <c r="B584" s="324"/>
      <c r="C584" s="352" t="s">
        <v>1782</v>
      </c>
      <c r="D584" s="351" t="s">
        <v>1776</v>
      </c>
      <c r="E584" s="376"/>
      <c r="F584" s="324"/>
      <c r="G584" s="325"/>
      <c r="H584" s="325"/>
      <c r="I584" s="324"/>
    </row>
    <row r="585" spans="2:9" s="326" customFormat="1">
      <c r="B585" s="324"/>
      <c r="C585" s="352" t="s">
        <v>1783</v>
      </c>
      <c r="D585" s="351" t="s">
        <v>1776</v>
      </c>
      <c r="E585" s="376"/>
      <c r="F585" s="324"/>
      <c r="G585" s="325"/>
      <c r="H585" s="325"/>
      <c r="I585" s="324"/>
    </row>
    <row r="586" spans="2:9" s="326" customFormat="1">
      <c r="B586" s="324"/>
      <c r="C586" s="352" t="s">
        <v>1784</v>
      </c>
      <c r="D586" s="351" t="s">
        <v>1776</v>
      </c>
      <c r="E586" s="376"/>
      <c r="F586" s="324"/>
      <c r="G586" s="325"/>
      <c r="H586" s="325"/>
      <c r="I586" s="324"/>
    </row>
    <row r="587" spans="2:9" s="326" customFormat="1">
      <c r="B587" s="324"/>
      <c r="C587" s="352" t="s">
        <v>1635</v>
      </c>
      <c r="D587" s="351" t="s">
        <v>1776</v>
      </c>
      <c r="E587" s="376"/>
      <c r="F587" s="324"/>
      <c r="G587" s="325"/>
      <c r="H587" s="325"/>
      <c r="I587" s="324"/>
    </row>
    <row r="588" spans="2:9" s="326" customFormat="1">
      <c r="B588" s="324"/>
      <c r="C588" s="352" t="s">
        <v>1636</v>
      </c>
      <c r="D588" s="351" t="s">
        <v>1776</v>
      </c>
      <c r="E588" s="376"/>
      <c r="F588" s="324"/>
      <c r="G588" s="325"/>
      <c r="H588" s="325"/>
      <c r="I588" s="324"/>
    </row>
    <row r="589" spans="2:9" s="326" customFormat="1">
      <c r="B589" s="324"/>
      <c r="C589" s="352" t="s">
        <v>1637</v>
      </c>
      <c r="D589" s="351" t="s">
        <v>1776</v>
      </c>
      <c r="E589" s="376"/>
      <c r="F589" s="324"/>
      <c r="G589" s="325"/>
      <c r="H589" s="325"/>
      <c r="I589" s="324"/>
    </row>
    <row r="590" spans="2:9" s="326" customFormat="1">
      <c r="B590" s="324"/>
      <c r="C590" s="352" t="s">
        <v>1638</v>
      </c>
      <c r="D590" s="351" t="s">
        <v>1776</v>
      </c>
      <c r="E590" s="376"/>
      <c r="F590" s="324"/>
      <c r="G590" s="325"/>
      <c r="H590" s="325"/>
      <c r="I590" s="324"/>
    </row>
    <row r="591" spans="2:9" s="326" customFormat="1">
      <c r="B591" s="324"/>
      <c r="C591" s="352" t="s">
        <v>1639</v>
      </c>
      <c r="D591" s="351" t="s">
        <v>1776</v>
      </c>
      <c r="E591" s="376"/>
      <c r="F591" s="324"/>
      <c r="G591" s="325"/>
      <c r="H591" s="325"/>
      <c r="I591" s="324"/>
    </row>
    <row r="592" spans="2:9" s="326" customFormat="1">
      <c r="B592" s="324"/>
      <c r="C592" s="352" t="s">
        <v>1640</v>
      </c>
      <c r="D592" s="351" t="s">
        <v>1776</v>
      </c>
      <c r="E592" s="376"/>
      <c r="F592" s="324"/>
      <c r="G592" s="325"/>
      <c r="H592" s="325"/>
      <c r="I592" s="324"/>
    </row>
    <row r="593" spans="2:9" s="326" customFormat="1">
      <c r="B593" s="324"/>
      <c r="C593" s="352" t="s">
        <v>1657</v>
      </c>
      <c r="D593" s="351" t="s">
        <v>1537</v>
      </c>
      <c r="E593" s="376"/>
      <c r="F593" s="324"/>
      <c r="G593" s="325"/>
      <c r="H593" s="325"/>
      <c r="I593" s="324"/>
    </row>
    <row r="594" spans="2:9" s="326" customFormat="1">
      <c r="B594" s="324"/>
      <c r="C594" s="352" t="s">
        <v>1649</v>
      </c>
      <c r="D594" s="351" t="s">
        <v>1537</v>
      </c>
      <c r="E594" s="376"/>
      <c r="F594" s="324"/>
      <c r="G594" s="325"/>
      <c r="H594" s="325"/>
      <c r="I594" s="324"/>
    </row>
    <row r="595" spans="2:9" s="326" customFormat="1">
      <c r="B595" s="324"/>
      <c r="C595" s="352" t="s">
        <v>1682</v>
      </c>
      <c r="D595" s="351" t="s">
        <v>1537</v>
      </c>
      <c r="E595" s="376"/>
      <c r="F595" s="324"/>
      <c r="G595" s="325"/>
      <c r="H595" s="325"/>
      <c r="I595" s="324"/>
    </row>
    <row r="596" spans="2:9" s="326" customFormat="1">
      <c r="B596" s="324"/>
      <c r="C596" s="352" t="s">
        <v>1614</v>
      </c>
      <c r="D596" s="351" t="s">
        <v>1537</v>
      </c>
      <c r="E596" s="376"/>
      <c r="F596" s="324"/>
      <c r="G596" s="325"/>
      <c r="H596" s="325"/>
      <c r="I596" s="324"/>
    </row>
    <row r="597" spans="2:9" s="326" customFormat="1" ht="35.1" customHeight="1">
      <c r="B597" s="324"/>
      <c r="C597" s="352" t="s">
        <v>907</v>
      </c>
      <c r="D597" s="351" t="s">
        <v>575</v>
      </c>
      <c r="E597" s="376"/>
      <c r="F597" s="324"/>
      <c r="G597" s="325"/>
      <c r="H597" s="325"/>
      <c r="I597" s="324"/>
    </row>
    <row r="598" spans="2:9" s="326" customFormat="1" ht="35.1" customHeight="1">
      <c r="B598" s="324"/>
      <c r="C598" s="352" t="s">
        <v>906</v>
      </c>
      <c r="D598" s="351" t="s">
        <v>3938</v>
      </c>
      <c r="E598" s="376"/>
      <c r="F598" s="324"/>
      <c r="G598" s="325"/>
      <c r="H598" s="325"/>
      <c r="I598" s="324"/>
    </row>
    <row r="599" spans="2:9" s="326" customFormat="1" ht="35.1" customHeight="1">
      <c r="B599" s="324"/>
      <c r="C599" s="352" t="s">
        <v>1611</v>
      </c>
      <c r="D599" s="351" t="s">
        <v>605</v>
      </c>
      <c r="E599" s="376"/>
      <c r="F599" s="324"/>
      <c r="G599" s="325"/>
      <c r="H599" s="325"/>
      <c r="I599" s="324"/>
    </row>
    <row r="600" spans="2:9" s="326" customFormat="1" ht="35.1" customHeight="1">
      <c r="B600" s="324"/>
      <c r="C600" s="352" t="s">
        <v>1575</v>
      </c>
      <c r="D600" s="351" t="s">
        <v>605</v>
      </c>
      <c r="E600" s="376"/>
      <c r="F600" s="324"/>
      <c r="G600" s="325"/>
      <c r="H600" s="325"/>
      <c r="I600" s="324"/>
    </row>
    <row r="601" spans="2:9" s="326" customFormat="1" ht="35.1" customHeight="1">
      <c r="B601" s="324"/>
      <c r="C601" s="352" t="s">
        <v>1603</v>
      </c>
      <c r="D601" s="351" t="s">
        <v>575</v>
      </c>
      <c r="E601" s="376"/>
      <c r="F601" s="324"/>
      <c r="G601" s="325"/>
      <c r="H601" s="325"/>
      <c r="I601" s="324"/>
    </row>
    <row r="602" spans="2:9" s="326" customFormat="1" ht="35.1" customHeight="1">
      <c r="B602" s="324"/>
      <c r="C602" s="352" t="s">
        <v>1532</v>
      </c>
      <c r="D602" s="351" t="s">
        <v>605</v>
      </c>
      <c r="E602" s="376"/>
      <c r="F602" s="324"/>
      <c r="G602" s="325"/>
      <c r="H602" s="325"/>
      <c r="I602" s="324"/>
    </row>
    <row r="603" spans="2:9" s="326" customFormat="1" ht="35.1" customHeight="1">
      <c r="B603" s="324"/>
      <c r="C603" s="352" t="s">
        <v>1562</v>
      </c>
      <c r="D603" s="351" t="s">
        <v>605</v>
      </c>
      <c r="E603" s="376"/>
      <c r="F603" s="324"/>
      <c r="G603" s="325"/>
      <c r="H603" s="325"/>
      <c r="I603" s="324"/>
    </row>
    <row r="604" spans="2:9" s="326" customFormat="1" ht="35.1" customHeight="1">
      <c r="B604" s="324"/>
      <c r="C604" s="352" t="s">
        <v>1544</v>
      </c>
      <c r="D604" s="351" t="s">
        <v>3937</v>
      </c>
      <c r="E604" s="376"/>
      <c r="F604" s="324"/>
      <c r="G604" s="325"/>
      <c r="H604" s="325"/>
      <c r="I604" s="324"/>
    </row>
    <row r="605" spans="2:9" s="326" customFormat="1" ht="35.1" customHeight="1">
      <c r="B605" s="324"/>
      <c r="C605" s="352" t="s">
        <v>1753</v>
      </c>
      <c r="D605" s="351" t="s">
        <v>3936</v>
      </c>
      <c r="E605" s="376"/>
      <c r="F605" s="324"/>
      <c r="G605" s="325"/>
      <c r="H605" s="325"/>
      <c r="I605" s="324"/>
    </row>
    <row r="606" spans="2:9" s="326" customFormat="1" ht="35.1" customHeight="1">
      <c r="B606" s="324"/>
      <c r="C606" s="352" t="s">
        <v>1528</v>
      </c>
      <c r="D606" s="351" t="s">
        <v>3935</v>
      </c>
      <c r="E606" s="376"/>
      <c r="F606" s="324"/>
      <c r="G606" s="325"/>
      <c r="H606" s="325"/>
      <c r="I606" s="324"/>
    </row>
    <row r="607" spans="2:9" s="326" customFormat="1" ht="35.1" customHeight="1">
      <c r="B607" s="324"/>
      <c r="C607" s="352" t="s">
        <v>1604</v>
      </c>
      <c r="D607" s="351" t="s">
        <v>3934</v>
      </c>
      <c r="E607" s="376"/>
      <c r="F607" s="324"/>
      <c r="G607" s="325"/>
      <c r="H607" s="325"/>
      <c r="I607" s="324"/>
    </row>
    <row r="608" spans="2:9" s="326" customFormat="1" ht="35.1" customHeight="1">
      <c r="B608" s="324"/>
      <c r="C608" s="352" t="s">
        <v>1534</v>
      </c>
      <c r="D608" s="351" t="s">
        <v>3933</v>
      </c>
      <c r="E608" s="376"/>
      <c r="F608" s="324"/>
      <c r="G608" s="325"/>
      <c r="H608" s="325"/>
      <c r="I608" s="324"/>
    </row>
    <row r="609" spans="2:9" s="326" customFormat="1" ht="35.1" customHeight="1">
      <c r="B609" s="324"/>
      <c r="C609" s="352" t="s">
        <v>1620</v>
      </c>
      <c r="D609" s="351" t="s">
        <v>3932</v>
      </c>
      <c r="E609" s="376"/>
      <c r="F609" s="324"/>
      <c r="G609" s="325"/>
      <c r="H609" s="325"/>
      <c r="I609" s="324"/>
    </row>
    <row r="610" spans="2:9" s="326" customFormat="1" ht="35.1" customHeight="1">
      <c r="B610" s="324"/>
      <c r="C610" s="352" t="s">
        <v>1606</v>
      </c>
      <c r="D610" s="353" t="s">
        <v>3931</v>
      </c>
      <c r="E610" s="376"/>
      <c r="F610" s="324"/>
      <c r="G610" s="325"/>
      <c r="H610" s="325"/>
      <c r="I610" s="324"/>
    </row>
    <row r="611" spans="2:9" s="326" customFormat="1" ht="35.1" customHeight="1">
      <c r="B611" s="324"/>
      <c r="C611" s="352" t="s">
        <v>1570</v>
      </c>
      <c r="D611" s="353" t="s">
        <v>3930</v>
      </c>
      <c r="E611" s="376"/>
      <c r="F611" s="324"/>
      <c r="G611" s="325"/>
      <c r="H611" s="325"/>
      <c r="I611" s="324"/>
    </row>
    <row r="612" spans="2:9" s="326" customFormat="1" ht="35.1" customHeight="1">
      <c r="B612" s="324"/>
      <c r="C612" s="352" t="s">
        <v>1598</v>
      </c>
      <c r="D612" s="351" t="s">
        <v>3929</v>
      </c>
      <c r="E612" s="376"/>
      <c r="F612" s="324"/>
      <c r="G612" s="325"/>
      <c r="H612" s="325"/>
      <c r="I612" s="324"/>
    </row>
    <row r="613" spans="2:9" s="326" customFormat="1" ht="35.1" customHeight="1">
      <c r="B613" s="324"/>
      <c r="C613" s="352" t="s">
        <v>1560</v>
      </c>
      <c r="D613" s="351" t="s">
        <v>3928</v>
      </c>
      <c r="E613" s="376"/>
      <c r="F613" s="324"/>
      <c r="G613" s="325"/>
      <c r="H613" s="325"/>
      <c r="I613" s="324"/>
    </row>
    <row r="614" spans="2:9" s="326" customFormat="1">
      <c r="B614" s="324"/>
      <c r="C614" s="352" t="s">
        <v>1647</v>
      </c>
      <c r="D614" s="351" t="s">
        <v>3924</v>
      </c>
      <c r="E614" s="376"/>
      <c r="F614" s="324"/>
      <c r="G614" s="325"/>
      <c r="H614" s="325"/>
      <c r="I614" s="324"/>
    </row>
    <row r="615" spans="2:9" s="326" customFormat="1">
      <c r="B615" s="324"/>
      <c r="C615" s="352" t="s">
        <v>3927</v>
      </c>
      <c r="D615" s="351" t="s">
        <v>3926</v>
      </c>
      <c r="E615" s="376"/>
      <c r="F615" s="324"/>
      <c r="G615" s="325"/>
      <c r="H615" s="325"/>
      <c r="I615" s="324"/>
    </row>
    <row r="616" spans="2:9" s="326" customFormat="1">
      <c r="B616" s="324"/>
      <c r="C616" s="352" t="s">
        <v>1749</v>
      </c>
      <c r="D616" s="351" t="s">
        <v>3925</v>
      </c>
      <c r="E616" s="376"/>
      <c r="F616" s="324"/>
      <c r="G616" s="325"/>
      <c r="H616" s="325"/>
      <c r="I616" s="324"/>
    </row>
    <row r="617" spans="2:9" s="326" customFormat="1">
      <c r="B617" s="324"/>
      <c r="C617" s="352" t="s">
        <v>1699</v>
      </c>
      <c r="D617" s="353" t="s">
        <v>3924</v>
      </c>
      <c r="E617" s="376"/>
      <c r="F617" s="324"/>
      <c r="G617" s="325"/>
      <c r="H617" s="325"/>
      <c r="I617" s="324"/>
    </row>
    <row r="618" spans="2:9" s="326" customFormat="1">
      <c r="B618" s="324"/>
      <c r="C618" s="352" t="s">
        <v>1696</v>
      </c>
      <c r="D618" s="351" t="s">
        <v>3923</v>
      </c>
      <c r="E618" s="376"/>
      <c r="F618" s="324"/>
      <c r="G618" s="325"/>
      <c r="H618" s="325"/>
      <c r="I618" s="324"/>
    </row>
    <row r="619" spans="2:9" s="326" customFormat="1">
      <c r="B619" s="324"/>
      <c r="C619" s="352" t="s">
        <v>3922</v>
      </c>
      <c r="D619" s="351" t="s">
        <v>120</v>
      </c>
      <c r="E619" s="376"/>
      <c r="F619" s="324"/>
      <c r="G619" s="325"/>
      <c r="H619" s="325"/>
      <c r="I619" s="324"/>
    </row>
    <row r="620" spans="2:9" s="326" customFormat="1">
      <c r="B620" s="324"/>
      <c r="C620" s="352" t="s">
        <v>3921</v>
      </c>
      <c r="D620" s="351" t="s">
        <v>3920</v>
      </c>
      <c r="E620" s="376"/>
      <c r="F620" s="324"/>
      <c r="G620" s="325"/>
      <c r="H620" s="325"/>
      <c r="I620" s="324"/>
    </row>
    <row r="621" spans="2:9" s="326" customFormat="1">
      <c r="B621" s="324"/>
      <c r="C621" s="352" t="s">
        <v>3919</v>
      </c>
      <c r="D621" s="351" t="s">
        <v>3918</v>
      </c>
      <c r="E621" s="376"/>
      <c r="F621" s="324"/>
      <c r="G621" s="325"/>
      <c r="H621" s="325"/>
      <c r="I621" s="324"/>
    </row>
    <row r="622" spans="2:9" s="326" customFormat="1">
      <c r="B622" s="324"/>
      <c r="C622" s="352" t="s">
        <v>3917</v>
      </c>
      <c r="D622" s="351" t="s">
        <v>3912</v>
      </c>
      <c r="E622" s="376"/>
      <c r="F622" s="324"/>
      <c r="G622" s="325"/>
      <c r="H622" s="325"/>
      <c r="I622" s="324"/>
    </row>
    <row r="623" spans="2:9" s="326" customFormat="1">
      <c r="B623" s="324"/>
      <c r="C623" s="352" t="s">
        <v>3916</v>
      </c>
      <c r="D623" s="351" t="s">
        <v>3915</v>
      </c>
      <c r="E623" s="376"/>
      <c r="F623" s="324"/>
      <c r="G623" s="325"/>
      <c r="H623" s="325"/>
      <c r="I623" s="324"/>
    </row>
    <row r="624" spans="2:9" s="326" customFormat="1">
      <c r="B624" s="324"/>
      <c r="C624" s="352" t="s">
        <v>1752</v>
      </c>
      <c r="D624" s="351" t="s">
        <v>3914</v>
      </c>
      <c r="E624" s="376"/>
      <c r="F624" s="324"/>
      <c r="G624" s="325"/>
      <c r="H624" s="325"/>
      <c r="I624" s="324"/>
    </row>
    <row r="625" spans="2:9" s="326" customFormat="1">
      <c r="B625" s="324"/>
      <c r="C625" s="352" t="s">
        <v>3913</v>
      </c>
      <c r="D625" s="351" t="s">
        <v>3912</v>
      </c>
      <c r="E625" s="376"/>
      <c r="F625" s="324"/>
      <c r="G625" s="325"/>
      <c r="H625" s="325"/>
      <c r="I625" s="324"/>
    </row>
    <row r="626" spans="2:9" s="326" customFormat="1">
      <c r="B626" s="324"/>
      <c r="C626" s="329" t="s">
        <v>1530</v>
      </c>
      <c r="D626" s="351" t="s">
        <v>1352</v>
      </c>
      <c r="E626" s="376"/>
      <c r="F626" s="324"/>
      <c r="G626" s="325"/>
      <c r="H626" s="325"/>
      <c r="I626" s="324"/>
    </row>
    <row r="627" spans="2:9" s="326" customFormat="1" ht="35.1" customHeight="1">
      <c r="B627" s="324"/>
      <c r="C627" s="352" t="s">
        <v>3911</v>
      </c>
      <c r="D627" s="351" t="s">
        <v>1182</v>
      </c>
      <c r="E627" s="376"/>
      <c r="F627" s="324"/>
      <c r="G627" s="325"/>
      <c r="H627" s="325"/>
      <c r="I627" s="324"/>
    </row>
    <row r="628" spans="2:9" s="326" customFormat="1" ht="35.1" customHeight="1">
      <c r="B628" s="324"/>
      <c r="C628" s="352" t="s">
        <v>3910</v>
      </c>
      <c r="D628" s="351" t="s">
        <v>1182</v>
      </c>
      <c r="E628" s="376"/>
      <c r="F628" s="324"/>
      <c r="G628" s="325"/>
      <c r="H628" s="325"/>
      <c r="I628" s="324"/>
    </row>
    <row r="629" spans="2:9" s="326" customFormat="1" ht="35.1" customHeight="1">
      <c r="B629" s="324"/>
      <c r="C629" s="352" t="s">
        <v>1633</v>
      </c>
      <c r="D629" s="351" t="s">
        <v>1182</v>
      </c>
      <c r="E629" s="376"/>
      <c r="F629" s="324"/>
      <c r="G629" s="325"/>
      <c r="H629" s="325"/>
      <c r="I629" s="324"/>
    </row>
    <row r="630" spans="2:9" s="326" customFormat="1" ht="35.1" customHeight="1">
      <c r="B630" s="324"/>
      <c r="C630" s="352" t="s">
        <v>3909</v>
      </c>
      <c r="D630" s="351" t="s">
        <v>578</v>
      </c>
      <c r="E630" s="376"/>
      <c r="F630" s="324"/>
      <c r="G630" s="325"/>
      <c r="H630" s="325"/>
      <c r="I630" s="324"/>
    </row>
    <row r="631" spans="2:9" s="326" customFormat="1" ht="35.1" customHeight="1">
      <c r="B631" s="324"/>
      <c r="C631" s="352" t="s">
        <v>3908</v>
      </c>
      <c r="D631" s="351" t="s">
        <v>578</v>
      </c>
      <c r="E631" s="376"/>
      <c r="F631" s="324"/>
      <c r="G631" s="325"/>
      <c r="H631" s="325"/>
      <c r="I631" s="324"/>
    </row>
    <row r="632" spans="2:9" s="326" customFormat="1" ht="35.1" customHeight="1">
      <c r="B632" s="324"/>
      <c r="C632" s="352" t="s">
        <v>3907</v>
      </c>
      <c r="D632" s="351" t="s">
        <v>582</v>
      </c>
      <c r="E632" s="376"/>
      <c r="F632" s="324"/>
      <c r="G632" s="325"/>
      <c r="H632" s="325"/>
      <c r="I632" s="324"/>
    </row>
    <row r="633" spans="2:9" s="326" customFormat="1" ht="35.1" customHeight="1">
      <c r="B633" s="324"/>
      <c r="C633" s="352" t="s">
        <v>3906</v>
      </c>
      <c r="D633" s="351" t="s">
        <v>582</v>
      </c>
      <c r="E633" s="376"/>
      <c r="F633" s="324"/>
      <c r="G633" s="325"/>
      <c r="H633" s="325"/>
      <c r="I633" s="324"/>
    </row>
    <row r="634" spans="2:9" s="326" customFormat="1">
      <c r="B634" s="324"/>
      <c r="C634" s="329" t="s">
        <v>3905</v>
      </c>
      <c r="D634" s="351" t="s">
        <v>3904</v>
      </c>
      <c r="E634" s="376"/>
      <c r="F634" s="324"/>
      <c r="G634" s="325"/>
      <c r="H634" s="325"/>
      <c r="I634" s="324"/>
    </row>
    <row r="635" spans="2:9" s="326" customFormat="1">
      <c r="B635" s="324"/>
      <c r="C635" s="329"/>
      <c r="D635" s="351" t="s">
        <v>3903</v>
      </c>
      <c r="E635" s="376"/>
      <c r="F635" s="324"/>
      <c r="G635" s="325"/>
      <c r="H635" s="325"/>
      <c r="I635" s="324"/>
    </row>
    <row r="636" spans="2:9" s="326" customFormat="1">
      <c r="B636" s="324"/>
      <c r="C636" s="329"/>
      <c r="D636" s="351" t="s">
        <v>3902</v>
      </c>
      <c r="E636" s="376"/>
      <c r="F636" s="324"/>
      <c r="G636" s="325"/>
      <c r="H636" s="325"/>
      <c r="I636" s="324"/>
    </row>
    <row r="637" spans="2:9" s="326" customFormat="1">
      <c r="B637" s="324"/>
      <c r="C637" s="329"/>
      <c r="D637" s="351" t="s">
        <v>2518</v>
      </c>
      <c r="E637" s="376"/>
      <c r="F637" s="324"/>
      <c r="G637" s="325"/>
      <c r="H637" s="325"/>
      <c r="I637" s="324"/>
    </row>
    <row r="638" spans="2:9" s="326" customFormat="1">
      <c r="B638" s="324"/>
      <c r="C638" s="329" t="s">
        <v>3901</v>
      </c>
      <c r="D638" s="351" t="s">
        <v>3900</v>
      </c>
      <c r="E638" s="376"/>
      <c r="F638" s="324"/>
      <c r="G638" s="325"/>
      <c r="H638" s="325"/>
      <c r="I638" s="324"/>
    </row>
    <row r="639" spans="2:9" s="326" customFormat="1">
      <c r="B639" s="324"/>
      <c r="C639" s="329"/>
      <c r="D639" s="351" t="s">
        <v>3899</v>
      </c>
      <c r="E639" s="376"/>
      <c r="F639" s="324"/>
      <c r="G639" s="325"/>
      <c r="H639" s="325"/>
      <c r="I639" s="324"/>
    </row>
    <row r="640" spans="2:9" s="326" customFormat="1">
      <c r="B640" s="324"/>
      <c r="C640" s="329"/>
      <c r="D640" s="351" t="s">
        <v>3898</v>
      </c>
      <c r="E640" s="376"/>
      <c r="F640" s="324"/>
      <c r="G640" s="325"/>
      <c r="H640" s="325"/>
      <c r="I640" s="324"/>
    </row>
    <row r="641" spans="3:8" s="324" customFormat="1">
      <c r="C641" s="329" t="s">
        <v>1668</v>
      </c>
      <c r="D641" s="351" t="s">
        <v>3897</v>
      </c>
      <c r="E641" s="376"/>
      <c r="G641" s="325"/>
      <c r="H641" s="325"/>
    </row>
    <row r="642" spans="3:8" s="324" customFormat="1">
      <c r="C642" s="329" t="s">
        <v>1687</v>
      </c>
      <c r="D642" s="351" t="s">
        <v>3897</v>
      </c>
      <c r="E642" s="376"/>
      <c r="G642" s="325"/>
      <c r="H642" s="325"/>
    </row>
    <row r="643" spans="3:8" s="324" customFormat="1">
      <c r="C643" s="329" t="s">
        <v>929</v>
      </c>
      <c r="D643" s="351" t="s">
        <v>3897</v>
      </c>
      <c r="E643" s="376"/>
      <c r="G643" s="325"/>
      <c r="H643" s="325"/>
    </row>
    <row r="644" spans="3:8" s="324" customFormat="1">
      <c r="C644" s="350" t="s">
        <v>1543</v>
      </c>
      <c r="D644" s="349" t="s">
        <v>3896</v>
      </c>
      <c r="E644" s="376">
        <v>44956</v>
      </c>
      <c r="G644" s="325"/>
      <c r="H644" s="325"/>
    </row>
    <row r="645" spans="3:8" s="324" customFormat="1">
      <c r="C645" s="402" t="s">
        <v>3895</v>
      </c>
      <c r="D645" s="403"/>
      <c r="E645" s="376"/>
      <c r="G645" s="325"/>
      <c r="H645" s="325"/>
    </row>
    <row r="646" spans="3:8" s="324" customFormat="1" ht="35.1" customHeight="1">
      <c r="C646" s="338" t="s">
        <v>3894</v>
      </c>
      <c r="D646" s="330" t="s">
        <v>147</v>
      </c>
      <c r="E646" s="376"/>
      <c r="G646" s="325"/>
      <c r="H646" s="325"/>
    </row>
    <row r="647" spans="3:8" s="324" customFormat="1" ht="35.1" customHeight="1">
      <c r="C647" s="338" t="s">
        <v>437</v>
      </c>
      <c r="D647" s="330" t="s">
        <v>147</v>
      </c>
      <c r="E647" s="376"/>
      <c r="G647" s="325"/>
      <c r="H647" s="325"/>
    </row>
    <row r="648" spans="3:8" s="324" customFormat="1" ht="35.1" customHeight="1">
      <c r="C648" s="338" t="s">
        <v>458</v>
      </c>
      <c r="D648" s="330" t="s">
        <v>147</v>
      </c>
      <c r="E648" s="376"/>
      <c r="G648" s="325"/>
      <c r="H648" s="325"/>
    </row>
    <row r="649" spans="3:8" s="324" customFormat="1" ht="35.1" customHeight="1">
      <c r="C649" s="338" t="s">
        <v>472</v>
      </c>
      <c r="D649" s="330" t="s">
        <v>147</v>
      </c>
      <c r="E649" s="376"/>
      <c r="G649" s="325"/>
      <c r="H649" s="325"/>
    </row>
    <row r="650" spans="3:8" s="324" customFormat="1" ht="35.1" customHeight="1">
      <c r="C650" s="338" t="s">
        <v>489</v>
      </c>
      <c r="D650" s="330" t="s">
        <v>147</v>
      </c>
      <c r="E650" s="376"/>
      <c r="G650" s="325"/>
      <c r="H650" s="325"/>
    </row>
    <row r="651" spans="3:8" s="324" customFormat="1" ht="35.1" customHeight="1">
      <c r="C651" s="338" t="s">
        <v>511</v>
      </c>
      <c r="D651" s="330" t="s">
        <v>147</v>
      </c>
      <c r="E651" s="376"/>
      <c r="G651" s="325"/>
      <c r="H651" s="325"/>
    </row>
    <row r="652" spans="3:8" s="324" customFormat="1" ht="35.1" customHeight="1">
      <c r="C652" s="338" t="s">
        <v>527</v>
      </c>
      <c r="D652" s="330" t="s">
        <v>147</v>
      </c>
      <c r="E652" s="376"/>
      <c r="G652" s="325"/>
      <c r="H652" s="325"/>
    </row>
    <row r="653" spans="3:8" s="324" customFormat="1" ht="35.1" customHeight="1">
      <c r="C653" s="338" t="s">
        <v>545</v>
      </c>
      <c r="D653" s="330" t="s">
        <v>147</v>
      </c>
      <c r="E653" s="376"/>
      <c r="G653" s="325"/>
      <c r="H653" s="325"/>
    </row>
    <row r="654" spans="3:8" s="324" customFormat="1" ht="35.1" customHeight="1">
      <c r="C654" s="338" t="s">
        <v>439</v>
      </c>
      <c r="D654" s="330" t="s">
        <v>143</v>
      </c>
      <c r="E654" s="376"/>
      <c r="G654" s="325"/>
      <c r="H654" s="325"/>
    </row>
    <row r="655" spans="3:8" s="324" customFormat="1" ht="35.1" customHeight="1">
      <c r="C655" s="338" t="s">
        <v>459</v>
      </c>
      <c r="D655" s="330" t="s">
        <v>143</v>
      </c>
      <c r="E655" s="376"/>
      <c r="G655" s="325"/>
      <c r="H655" s="325"/>
    </row>
    <row r="656" spans="3:8" s="324" customFormat="1" ht="35.1" customHeight="1">
      <c r="C656" s="338" t="s">
        <v>473</v>
      </c>
      <c r="D656" s="330" t="s">
        <v>143</v>
      </c>
      <c r="E656" s="376"/>
      <c r="G656" s="325"/>
      <c r="H656" s="325"/>
    </row>
    <row r="657" spans="2:9" s="326" customFormat="1" ht="35.1" customHeight="1">
      <c r="B657" s="324"/>
      <c r="C657" s="338" t="s">
        <v>490</v>
      </c>
      <c r="D657" s="330" t="s">
        <v>143</v>
      </c>
      <c r="E657" s="376"/>
      <c r="F657" s="324"/>
      <c r="G657" s="325"/>
      <c r="H657" s="325"/>
      <c r="I657" s="324"/>
    </row>
    <row r="658" spans="2:9" s="326" customFormat="1" ht="35.1" customHeight="1">
      <c r="B658" s="324"/>
      <c r="C658" s="338" t="s">
        <v>512</v>
      </c>
      <c r="D658" s="330" t="s">
        <v>143</v>
      </c>
      <c r="E658" s="376"/>
      <c r="F658" s="324"/>
      <c r="G658" s="325"/>
      <c r="H658" s="325"/>
      <c r="I658" s="324"/>
    </row>
    <row r="659" spans="2:9" s="326" customFormat="1" ht="35.1" customHeight="1">
      <c r="B659" s="324"/>
      <c r="C659" s="338" t="s">
        <v>529</v>
      </c>
      <c r="D659" s="330" t="s">
        <v>143</v>
      </c>
      <c r="E659" s="376"/>
      <c r="F659" s="324"/>
      <c r="G659" s="325"/>
      <c r="H659" s="325"/>
      <c r="I659" s="324"/>
    </row>
    <row r="660" spans="2:9" s="326" customFormat="1" ht="35.1" customHeight="1">
      <c r="B660" s="324"/>
      <c r="C660" s="338" t="s">
        <v>546</v>
      </c>
      <c r="D660" s="330" t="s">
        <v>143</v>
      </c>
      <c r="E660" s="376"/>
      <c r="F660" s="324"/>
      <c r="G660" s="325"/>
      <c r="H660" s="325"/>
      <c r="I660" s="324"/>
    </row>
    <row r="661" spans="2:9" s="326" customFormat="1" ht="35.1" customHeight="1">
      <c r="B661" s="324"/>
      <c r="C661" s="338" t="s">
        <v>383</v>
      </c>
      <c r="D661" s="330" t="s">
        <v>384</v>
      </c>
      <c r="E661" s="376"/>
      <c r="F661" s="324"/>
      <c r="G661" s="325"/>
      <c r="H661" s="325"/>
      <c r="I661" s="324"/>
    </row>
    <row r="662" spans="2:9" s="326" customFormat="1" ht="35.1" customHeight="1">
      <c r="B662" s="324"/>
      <c r="C662" s="338" t="s">
        <v>699</v>
      </c>
      <c r="D662" s="330" t="s">
        <v>384</v>
      </c>
      <c r="E662" s="376"/>
      <c r="F662" s="324"/>
      <c r="G662" s="325"/>
      <c r="H662" s="325"/>
      <c r="I662" s="324"/>
    </row>
    <row r="663" spans="2:9" s="326" customFormat="1" ht="35.1" customHeight="1">
      <c r="B663" s="324"/>
      <c r="C663" s="338" t="s">
        <v>968</v>
      </c>
      <c r="D663" s="339" t="s">
        <v>454</v>
      </c>
      <c r="E663" s="376"/>
      <c r="F663" s="324"/>
      <c r="G663" s="325"/>
      <c r="H663" s="325"/>
      <c r="I663" s="324"/>
    </row>
    <row r="664" spans="2:9" s="326" customFormat="1" ht="35.1" customHeight="1">
      <c r="B664" s="324"/>
      <c r="C664" s="338" t="s">
        <v>970</v>
      </c>
      <c r="D664" s="339" t="s">
        <v>454</v>
      </c>
      <c r="E664" s="376"/>
      <c r="F664" s="324"/>
      <c r="G664" s="325"/>
      <c r="H664" s="325"/>
      <c r="I664" s="324"/>
    </row>
    <row r="665" spans="2:9" s="326" customFormat="1" ht="35.1" customHeight="1">
      <c r="B665" s="324"/>
      <c r="C665" s="338" t="s">
        <v>485</v>
      </c>
      <c r="D665" s="339" t="s">
        <v>454</v>
      </c>
      <c r="E665" s="376"/>
      <c r="F665" s="324"/>
      <c r="G665" s="325"/>
      <c r="H665" s="325"/>
      <c r="I665" s="324"/>
    </row>
    <row r="666" spans="2:9" s="326" customFormat="1" ht="35.1" customHeight="1">
      <c r="B666" s="324"/>
      <c r="C666" s="338" t="s">
        <v>507</v>
      </c>
      <c r="D666" s="339" t="s">
        <v>454</v>
      </c>
      <c r="E666" s="376"/>
      <c r="F666" s="324"/>
      <c r="G666" s="325"/>
      <c r="H666" s="325"/>
      <c r="I666" s="324"/>
    </row>
    <row r="667" spans="2:9" s="326" customFormat="1" ht="35.1" customHeight="1">
      <c r="B667" s="324"/>
      <c r="C667" s="338" t="s">
        <v>522</v>
      </c>
      <c r="D667" s="339" t="s">
        <v>523</v>
      </c>
      <c r="E667" s="376"/>
      <c r="F667" s="324"/>
      <c r="G667" s="325"/>
      <c r="H667" s="325"/>
      <c r="I667" s="324"/>
    </row>
    <row r="668" spans="2:9" s="326" customFormat="1" ht="35.1" customHeight="1">
      <c r="B668" s="324"/>
      <c r="C668" s="338" t="s">
        <v>446</v>
      </c>
      <c r="D668" s="330" t="s">
        <v>419</v>
      </c>
      <c r="E668" s="376"/>
      <c r="F668" s="324"/>
      <c r="G668" s="325"/>
      <c r="H668" s="325"/>
      <c r="I668" s="324"/>
    </row>
    <row r="669" spans="2:9" s="326" customFormat="1" ht="35.1" customHeight="1">
      <c r="B669" s="324"/>
      <c r="C669" s="338" t="s">
        <v>479</v>
      </c>
      <c r="D669" s="330" t="s">
        <v>419</v>
      </c>
      <c r="E669" s="376"/>
      <c r="F669" s="324"/>
      <c r="G669" s="325"/>
      <c r="H669" s="325"/>
      <c r="I669" s="324"/>
    </row>
    <row r="670" spans="2:9" s="326" customFormat="1" ht="35.1" customHeight="1">
      <c r="B670" s="324"/>
      <c r="C670" s="338" t="s">
        <v>502</v>
      </c>
      <c r="D670" s="330" t="s">
        <v>419</v>
      </c>
      <c r="E670" s="376"/>
      <c r="F670" s="324"/>
      <c r="G670" s="325"/>
      <c r="H670" s="325"/>
      <c r="I670" s="324"/>
    </row>
    <row r="671" spans="2:9" s="326" customFormat="1" ht="35.1" customHeight="1">
      <c r="B671" s="324"/>
      <c r="C671" s="338" t="s">
        <v>516</v>
      </c>
      <c r="D671" s="330" t="s">
        <v>419</v>
      </c>
      <c r="E671" s="376"/>
      <c r="F671" s="324"/>
      <c r="G671" s="325"/>
      <c r="H671" s="325"/>
      <c r="I671" s="324"/>
    </row>
    <row r="672" spans="2:9" s="326" customFormat="1" ht="35.1" customHeight="1">
      <c r="B672" s="324"/>
      <c r="C672" s="338" t="s">
        <v>969</v>
      </c>
      <c r="D672" s="339" t="s">
        <v>431</v>
      </c>
      <c r="E672" s="376"/>
      <c r="F672" s="324"/>
      <c r="G672" s="325"/>
      <c r="H672" s="325"/>
      <c r="I672" s="324"/>
    </row>
    <row r="673" spans="2:9" s="326" customFormat="1" ht="35.1" customHeight="1">
      <c r="B673" s="324"/>
      <c r="C673" s="338" t="s">
        <v>470</v>
      </c>
      <c r="D673" s="339" t="s">
        <v>431</v>
      </c>
      <c r="E673" s="376"/>
      <c r="F673" s="324"/>
      <c r="G673" s="325"/>
      <c r="H673" s="325"/>
      <c r="I673" s="324"/>
    </row>
    <row r="674" spans="2:9" s="326" customFormat="1" ht="35.1" customHeight="1">
      <c r="B674" s="324"/>
      <c r="C674" s="338" t="s">
        <v>487</v>
      </c>
      <c r="D674" s="339" t="s">
        <v>431</v>
      </c>
      <c r="E674" s="376"/>
      <c r="F674" s="324"/>
      <c r="G674" s="325"/>
      <c r="H674" s="325"/>
      <c r="I674" s="324"/>
    </row>
    <row r="675" spans="2:9" s="326" customFormat="1" ht="35.1" customHeight="1">
      <c r="B675" s="324"/>
      <c r="C675" s="338" t="s">
        <v>509</v>
      </c>
      <c r="D675" s="339" t="s">
        <v>431</v>
      </c>
      <c r="E675" s="376"/>
      <c r="F675" s="324"/>
      <c r="G675" s="325"/>
      <c r="H675" s="325"/>
      <c r="I675" s="324"/>
    </row>
    <row r="676" spans="2:9" s="326" customFormat="1" ht="35.1" customHeight="1">
      <c r="B676" s="324"/>
      <c r="C676" s="338" t="s">
        <v>525</v>
      </c>
      <c r="D676" s="339" t="s">
        <v>431</v>
      </c>
      <c r="E676" s="376"/>
      <c r="F676" s="324"/>
      <c r="G676" s="325"/>
      <c r="H676" s="325"/>
      <c r="I676" s="324"/>
    </row>
    <row r="677" spans="2:9" s="326" customFormat="1">
      <c r="B677" s="324"/>
      <c r="C677" s="338" t="s">
        <v>450</v>
      </c>
      <c r="D677" s="339" t="s">
        <v>451</v>
      </c>
      <c r="E677" s="376"/>
      <c r="F677" s="324"/>
      <c r="G677" s="325"/>
      <c r="H677" s="325"/>
      <c r="I677" s="324"/>
    </row>
    <row r="678" spans="2:9" s="326" customFormat="1">
      <c r="B678" s="324"/>
      <c r="C678" s="338" t="s">
        <v>467</v>
      </c>
      <c r="D678" s="339" t="s">
        <v>451</v>
      </c>
      <c r="E678" s="376"/>
      <c r="F678" s="324"/>
      <c r="G678" s="325"/>
      <c r="H678" s="325"/>
      <c r="I678" s="324"/>
    </row>
    <row r="679" spans="2:9" s="326" customFormat="1">
      <c r="B679" s="324"/>
      <c r="C679" s="338" t="s">
        <v>483</v>
      </c>
      <c r="D679" s="339" t="s">
        <v>451</v>
      </c>
      <c r="E679" s="376"/>
      <c r="F679" s="324"/>
      <c r="G679" s="325"/>
      <c r="H679" s="325"/>
      <c r="I679" s="324"/>
    </row>
    <row r="680" spans="2:9" s="326" customFormat="1">
      <c r="B680" s="324"/>
      <c r="C680" s="338" t="s">
        <v>505</v>
      </c>
      <c r="D680" s="339" t="s">
        <v>451</v>
      </c>
      <c r="E680" s="376"/>
      <c r="F680" s="324"/>
      <c r="G680" s="325"/>
      <c r="H680" s="325"/>
      <c r="I680" s="324"/>
    </row>
    <row r="681" spans="2:9" s="326" customFormat="1">
      <c r="B681" s="324"/>
      <c r="C681" s="338" t="s">
        <v>520</v>
      </c>
      <c r="D681" s="339" t="s">
        <v>451</v>
      </c>
      <c r="E681" s="376"/>
      <c r="F681" s="324"/>
      <c r="G681" s="325"/>
      <c r="H681" s="325"/>
      <c r="I681" s="324"/>
    </row>
    <row r="682" spans="2:9" s="326" customFormat="1" ht="35.1" customHeight="1">
      <c r="B682" s="324"/>
      <c r="C682" s="338" t="s">
        <v>440</v>
      </c>
      <c r="D682" s="330" t="s">
        <v>32</v>
      </c>
      <c r="E682" s="376"/>
      <c r="F682" s="324"/>
      <c r="G682" s="325"/>
      <c r="H682" s="325"/>
      <c r="I682" s="324"/>
    </row>
    <row r="683" spans="2:9" s="326" customFormat="1" ht="35.1" customHeight="1">
      <c r="B683" s="324"/>
      <c r="C683" s="338" t="s">
        <v>460</v>
      </c>
      <c r="D683" s="330" t="s">
        <v>32</v>
      </c>
      <c r="E683" s="376"/>
      <c r="F683" s="324"/>
      <c r="G683" s="325"/>
      <c r="H683" s="325"/>
      <c r="I683" s="324"/>
    </row>
    <row r="684" spans="2:9" s="326" customFormat="1" ht="35.1" customHeight="1">
      <c r="B684" s="324"/>
      <c r="C684" s="338" t="s">
        <v>491</v>
      </c>
      <c r="D684" s="330" t="s">
        <v>32</v>
      </c>
      <c r="E684" s="376"/>
      <c r="F684" s="324"/>
      <c r="G684" s="325"/>
      <c r="H684" s="325"/>
      <c r="I684" s="324"/>
    </row>
    <row r="685" spans="2:9" s="326" customFormat="1" ht="35.1" customHeight="1">
      <c r="B685" s="324"/>
      <c r="C685" s="338" t="s">
        <v>513</v>
      </c>
      <c r="D685" s="330" t="s">
        <v>32</v>
      </c>
      <c r="E685" s="376"/>
      <c r="F685" s="324"/>
      <c r="G685" s="325"/>
      <c r="H685" s="325"/>
      <c r="I685" s="324"/>
    </row>
    <row r="686" spans="2:9" s="326" customFormat="1" ht="35.1" customHeight="1">
      <c r="B686" s="324"/>
      <c r="C686" s="338" t="s">
        <v>531</v>
      </c>
      <c r="D686" s="330" t="s">
        <v>32</v>
      </c>
      <c r="E686" s="376"/>
      <c r="F686" s="324"/>
      <c r="G686" s="325"/>
      <c r="H686" s="325"/>
      <c r="I686" s="324"/>
    </row>
    <row r="687" spans="2:9" s="326" customFormat="1" ht="35.1" customHeight="1">
      <c r="B687" s="324"/>
      <c r="C687" s="338" t="s">
        <v>547</v>
      </c>
      <c r="D687" s="330" t="s">
        <v>32</v>
      </c>
      <c r="E687" s="376"/>
      <c r="F687" s="324"/>
      <c r="G687" s="325"/>
      <c r="H687" s="325"/>
      <c r="I687" s="324"/>
    </row>
    <row r="688" spans="2:9" s="326" customFormat="1" ht="35.1" customHeight="1">
      <c r="B688" s="324"/>
      <c r="C688" s="338" t="s">
        <v>402</v>
      </c>
      <c r="D688" s="330" t="s">
        <v>30</v>
      </c>
      <c r="E688" s="376"/>
      <c r="F688" s="324"/>
      <c r="G688" s="325"/>
      <c r="H688" s="325"/>
      <c r="I688" s="324"/>
    </row>
    <row r="689" spans="2:9" s="326" customFormat="1">
      <c r="B689" s="324"/>
      <c r="C689" s="338"/>
      <c r="D689" s="330"/>
      <c r="E689" s="376"/>
      <c r="F689" s="324"/>
      <c r="G689" s="325"/>
      <c r="H689" s="325"/>
      <c r="I689" s="324"/>
    </row>
    <row r="690" spans="2:9" s="326" customFormat="1">
      <c r="B690" s="324"/>
      <c r="C690" s="338" t="s">
        <v>399</v>
      </c>
      <c r="D690" s="330" t="s">
        <v>400</v>
      </c>
      <c r="E690" s="376"/>
      <c r="F690" s="324"/>
      <c r="G690" s="325"/>
      <c r="H690" s="325"/>
      <c r="I690" s="324"/>
    </row>
    <row r="691" spans="2:9" s="326" customFormat="1">
      <c r="B691" s="324"/>
      <c r="C691" s="338" t="s">
        <v>492</v>
      </c>
      <c r="D691" s="330" t="s">
        <v>493</v>
      </c>
      <c r="E691" s="376"/>
      <c r="F691" s="324"/>
      <c r="G691" s="325"/>
      <c r="H691" s="325"/>
      <c r="I691" s="324"/>
    </row>
    <row r="692" spans="2:9" s="326" customFormat="1">
      <c r="B692" s="324"/>
      <c r="C692" s="344" t="s">
        <v>495</v>
      </c>
      <c r="D692" s="330" t="s">
        <v>496</v>
      </c>
      <c r="E692" s="376"/>
      <c r="F692" s="324"/>
      <c r="G692" s="325"/>
      <c r="H692" s="325"/>
      <c r="I692" s="324"/>
    </row>
    <row r="693" spans="2:9" s="326" customFormat="1">
      <c r="B693" s="324"/>
      <c r="C693" s="338" t="s">
        <v>395</v>
      </c>
      <c r="D693" s="330" t="s">
        <v>396</v>
      </c>
      <c r="E693" s="376"/>
      <c r="F693" s="324"/>
      <c r="G693" s="325"/>
      <c r="H693" s="325"/>
      <c r="I693" s="324"/>
    </row>
    <row r="694" spans="2:9" s="326" customFormat="1" ht="35.1" customHeight="1">
      <c r="B694" s="324"/>
      <c r="C694" s="338" t="s">
        <v>3893</v>
      </c>
      <c r="D694" s="330" t="s">
        <v>141</v>
      </c>
      <c r="E694" s="376"/>
      <c r="F694" s="324"/>
      <c r="G694" s="325"/>
      <c r="H694" s="325"/>
      <c r="I694" s="324"/>
    </row>
    <row r="695" spans="2:9" s="326" customFormat="1" ht="35.1" customHeight="1">
      <c r="B695" s="324"/>
      <c r="C695" s="338" t="s">
        <v>398</v>
      </c>
      <c r="D695" s="330" t="s">
        <v>138</v>
      </c>
      <c r="E695" s="376"/>
      <c r="F695" s="324"/>
      <c r="G695" s="325"/>
      <c r="H695" s="325"/>
      <c r="I695" s="324"/>
    </row>
    <row r="696" spans="2:9" s="326" customFormat="1" ht="35.1" customHeight="1">
      <c r="B696" s="324"/>
      <c r="C696" s="338" t="s">
        <v>3892</v>
      </c>
      <c r="D696" s="330" t="s">
        <v>408</v>
      </c>
      <c r="E696" s="376"/>
      <c r="F696" s="324"/>
      <c r="G696" s="325"/>
      <c r="H696" s="325"/>
      <c r="I696" s="324"/>
    </row>
    <row r="697" spans="2:9" s="326" customFormat="1">
      <c r="B697" s="324"/>
      <c r="C697" s="338" t="s">
        <v>3891</v>
      </c>
      <c r="D697" s="330" t="s">
        <v>414</v>
      </c>
      <c r="E697" s="376"/>
      <c r="F697" s="324"/>
      <c r="G697" s="325"/>
      <c r="H697" s="325"/>
      <c r="I697" s="324"/>
    </row>
    <row r="698" spans="2:9" s="326" customFormat="1">
      <c r="B698" s="324"/>
      <c r="C698" s="338" t="s">
        <v>441</v>
      </c>
      <c r="D698" s="330" t="s">
        <v>442</v>
      </c>
      <c r="E698" s="376"/>
      <c r="F698" s="324"/>
      <c r="G698" s="325"/>
      <c r="H698" s="325"/>
      <c r="I698" s="324"/>
    </row>
    <row r="699" spans="2:9" s="326" customFormat="1">
      <c r="B699" s="324"/>
      <c r="C699" s="329"/>
      <c r="D699" s="330" t="s">
        <v>392</v>
      </c>
      <c r="E699" s="376"/>
      <c r="F699" s="324"/>
      <c r="G699" s="325"/>
      <c r="H699" s="325"/>
      <c r="I699" s="324"/>
    </row>
    <row r="700" spans="2:9" s="326" customFormat="1">
      <c r="B700" s="324"/>
      <c r="C700" s="329"/>
      <c r="D700" s="330" t="s">
        <v>3160</v>
      </c>
      <c r="E700" s="376"/>
      <c r="F700" s="324"/>
      <c r="G700" s="325"/>
      <c r="H700" s="325"/>
      <c r="I700" s="324"/>
    </row>
    <row r="701" spans="2:9" s="326" customFormat="1">
      <c r="B701" s="324"/>
      <c r="C701" s="329"/>
      <c r="D701" s="330" t="s">
        <v>404</v>
      </c>
      <c r="E701" s="376"/>
      <c r="F701" s="324"/>
      <c r="G701" s="325"/>
      <c r="H701" s="325"/>
      <c r="I701" s="324"/>
    </row>
    <row r="702" spans="2:9" s="326" customFormat="1">
      <c r="B702" s="324"/>
      <c r="C702" s="329"/>
      <c r="D702" s="324"/>
      <c r="E702" s="376"/>
      <c r="F702" s="324"/>
      <c r="G702" s="325"/>
      <c r="H702" s="325"/>
      <c r="I702" s="324"/>
    </row>
    <row r="703" spans="2:9" s="326" customFormat="1">
      <c r="B703" s="324"/>
      <c r="C703" s="402" t="s">
        <v>3890</v>
      </c>
      <c r="D703" s="403"/>
      <c r="E703" s="376"/>
      <c r="F703" s="324"/>
      <c r="G703" s="325"/>
      <c r="H703" s="325"/>
      <c r="I703" s="324"/>
    </row>
    <row r="704" spans="2:9" s="326" customFormat="1" ht="35.1" customHeight="1">
      <c r="B704" s="324"/>
      <c r="C704" s="338" t="s">
        <v>1196</v>
      </c>
      <c r="D704" s="330" t="s">
        <v>1197</v>
      </c>
      <c r="E704" s="376"/>
      <c r="F704" s="324"/>
      <c r="G704" s="325"/>
      <c r="H704" s="325"/>
      <c r="I704" s="324"/>
    </row>
    <row r="705" spans="2:9" s="326" customFormat="1" ht="35.1" customHeight="1">
      <c r="B705" s="324"/>
      <c r="C705" s="338" t="s">
        <v>2114</v>
      </c>
      <c r="D705" s="330" t="s">
        <v>3889</v>
      </c>
      <c r="E705" s="376"/>
      <c r="F705" s="324"/>
      <c r="G705" s="325"/>
      <c r="H705" s="325"/>
      <c r="I705" s="324"/>
    </row>
    <row r="706" spans="2:9" s="326" customFormat="1" ht="35.1" customHeight="1">
      <c r="B706" s="324"/>
      <c r="C706" s="338" t="s">
        <v>3123</v>
      </c>
      <c r="D706" s="330" t="s">
        <v>3889</v>
      </c>
      <c r="E706" s="376"/>
      <c r="F706" s="324"/>
      <c r="G706" s="325"/>
      <c r="H706" s="325"/>
      <c r="I706" s="324"/>
    </row>
    <row r="707" spans="2:9" s="326" customFormat="1" ht="35.1" customHeight="1">
      <c r="B707" s="324"/>
      <c r="C707" s="338" t="s">
        <v>1001</v>
      </c>
      <c r="D707" s="330" t="s">
        <v>3889</v>
      </c>
      <c r="E707" s="376"/>
      <c r="F707" s="324"/>
      <c r="G707" s="325"/>
      <c r="H707" s="325"/>
      <c r="I707" s="324"/>
    </row>
    <row r="708" spans="2:9" s="326" customFormat="1" ht="35.1" customHeight="1">
      <c r="B708" s="324"/>
      <c r="C708" s="338" t="s">
        <v>1201</v>
      </c>
      <c r="D708" s="330" t="s">
        <v>605</v>
      </c>
      <c r="E708" s="376"/>
      <c r="F708" s="324"/>
      <c r="G708" s="325"/>
      <c r="H708" s="325"/>
      <c r="I708" s="324"/>
    </row>
    <row r="709" spans="2:9" s="326" customFormat="1" ht="35.1" customHeight="1">
      <c r="B709" s="324"/>
      <c r="C709" s="338" t="s">
        <v>1209</v>
      </c>
      <c r="D709" s="330" t="s">
        <v>605</v>
      </c>
      <c r="E709" s="376"/>
      <c r="F709" s="324"/>
      <c r="G709" s="325"/>
      <c r="H709" s="325"/>
      <c r="I709" s="324"/>
    </row>
    <row r="710" spans="2:9" s="326" customFormat="1" ht="35.1" customHeight="1">
      <c r="B710" s="324"/>
      <c r="C710" s="338" t="s">
        <v>1240</v>
      </c>
      <c r="D710" s="330" t="s">
        <v>605</v>
      </c>
      <c r="E710" s="376"/>
      <c r="F710" s="324"/>
      <c r="G710" s="325"/>
      <c r="H710" s="325"/>
      <c r="I710" s="324"/>
    </row>
    <row r="711" spans="2:9" s="326" customFormat="1" ht="35.1" customHeight="1">
      <c r="B711" s="324"/>
      <c r="C711" s="338" t="s">
        <v>908</v>
      </c>
      <c r="D711" s="330" t="s">
        <v>605</v>
      </c>
      <c r="E711" s="376"/>
      <c r="F711" s="324"/>
      <c r="G711" s="325"/>
      <c r="H711" s="325"/>
      <c r="I711" s="324"/>
    </row>
    <row r="712" spans="2:9" s="326" customFormat="1" ht="35.1" customHeight="1">
      <c r="B712" s="324"/>
      <c r="C712" s="338" t="s">
        <v>3127</v>
      </c>
      <c r="D712" s="330" t="s">
        <v>605</v>
      </c>
      <c r="E712" s="376"/>
      <c r="F712" s="324"/>
      <c r="G712" s="325"/>
      <c r="H712" s="325"/>
      <c r="I712" s="324"/>
    </row>
    <row r="713" spans="2:9" s="326" customFormat="1">
      <c r="B713" s="324"/>
      <c r="C713" s="338" t="s">
        <v>1215</v>
      </c>
      <c r="D713" s="330" t="s">
        <v>633</v>
      </c>
      <c r="E713" s="376"/>
      <c r="F713" s="324"/>
      <c r="G713" s="325"/>
      <c r="H713" s="325"/>
      <c r="I713" s="324"/>
    </row>
    <row r="714" spans="2:9" s="326" customFormat="1">
      <c r="B714" s="324"/>
      <c r="C714" s="338" t="s">
        <v>1218</v>
      </c>
      <c r="D714" s="330" t="s">
        <v>633</v>
      </c>
      <c r="E714" s="376"/>
      <c r="F714" s="324"/>
      <c r="G714" s="325"/>
      <c r="H714" s="325"/>
      <c r="I714" s="324"/>
    </row>
    <row r="715" spans="2:9" s="326" customFormat="1">
      <c r="B715" s="324"/>
      <c r="C715" s="344" t="s">
        <v>1242</v>
      </c>
      <c r="D715" s="330" t="s">
        <v>633</v>
      </c>
      <c r="E715" s="376"/>
      <c r="F715" s="324"/>
      <c r="G715" s="325"/>
      <c r="H715" s="325"/>
      <c r="I715" s="324"/>
    </row>
    <row r="716" spans="2:9" s="326" customFormat="1">
      <c r="B716" s="324"/>
      <c r="C716" s="338" t="s">
        <v>1274</v>
      </c>
      <c r="D716" s="330" t="s">
        <v>3888</v>
      </c>
      <c r="E716" s="376"/>
      <c r="F716" s="324"/>
      <c r="G716" s="325"/>
      <c r="H716" s="325"/>
      <c r="I716" s="324"/>
    </row>
    <row r="717" spans="2:9" s="326" customFormat="1">
      <c r="B717" s="324"/>
      <c r="C717" s="338" t="s">
        <v>1348</v>
      </c>
      <c r="D717" s="330" t="s">
        <v>3888</v>
      </c>
      <c r="E717" s="376"/>
      <c r="F717" s="324"/>
      <c r="G717" s="325"/>
      <c r="H717" s="325"/>
      <c r="I717" s="324"/>
    </row>
    <row r="718" spans="2:9" s="326" customFormat="1">
      <c r="B718" s="324"/>
      <c r="C718" s="344" t="s">
        <v>2123</v>
      </c>
      <c r="D718" s="330" t="s">
        <v>3888</v>
      </c>
      <c r="E718" s="376"/>
      <c r="F718" s="324"/>
      <c r="G718" s="325"/>
      <c r="H718" s="325"/>
      <c r="I718" s="324"/>
    </row>
    <row r="719" spans="2:9" s="326" customFormat="1">
      <c r="B719" s="324"/>
      <c r="C719" s="338" t="s">
        <v>1173</v>
      </c>
      <c r="D719" s="330" t="s">
        <v>3888</v>
      </c>
      <c r="E719" s="376"/>
      <c r="F719" s="324"/>
      <c r="G719" s="325"/>
      <c r="H719" s="325"/>
      <c r="I719" s="324"/>
    </row>
    <row r="720" spans="2:9" s="326" customFormat="1">
      <c r="B720" s="324"/>
      <c r="C720" s="338" t="s">
        <v>1316</v>
      </c>
      <c r="D720" s="330" t="s">
        <v>3888</v>
      </c>
      <c r="E720" s="376"/>
      <c r="F720" s="324"/>
      <c r="G720" s="325"/>
      <c r="H720" s="325"/>
      <c r="I720" s="324"/>
    </row>
    <row r="721" spans="2:9" s="326" customFormat="1">
      <c r="B721" s="324"/>
      <c r="C721" s="338" t="s">
        <v>1314</v>
      </c>
      <c r="D721" s="330" t="s">
        <v>3888</v>
      </c>
      <c r="E721" s="376"/>
      <c r="F721" s="324"/>
      <c r="G721" s="325"/>
      <c r="H721" s="325"/>
      <c r="I721" s="324"/>
    </row>
    <row r="722" spans="2:9" s="326" customFormat="1" ht="35.1" customHeight="1">
      <c r="B722" s="324"/>
      <c r="C722" s="338" t="s">
        <v>456</v>
      </c>
      <c r="D722" s="330" t="s">
        <v>1202</v>
      </c>
      <c r="E722" s="376"/>
      <c r="F722" s="324"/>
      <c r="G722" s="325"/>
      <c r="H722" s="325"/>
      <c r="I722" s="324"/>
    </row>
    <row r="723" spans="2:9" s="326" customFormat="1" ht="35.1" customHeight="1">
      <c r="B723" s="324"/>
      <c r="C723" s="338" t="s">
        <v>1241</v>
      </c>
      <c r="D723" s="330" t="s">
        <v>1202</v>
      </c>
      <c r="E723" s="376"/>
      <c r="F723" s="324"/>
      <c r="G723" s="325"/>
      <c r="H723" s="325"/>
      <c r="I723" s="324"/>
    </row>
    <row r="724" spans="2:9" s="326" customFormat="1" ht="35.1" customHeight="1">
      <c r="B724" s="324"/>
      <c r="C724" s="338" t="s">
        <v>1272</v>
      </c>
      <c r="D724" s="330" t="s">
        <v>1273</v>
      </c>
      <c r="E724" s="376"/>
      <c r="F724" s="324"/>
      <c r="G724" s="325"/>
      <c r="H724" s="325"/>
      <c r="I724" s="324"/>
    </row>
    <row r="725" spans="2:9" s="326" customFormat="1" ht="35.1" customHeight="1">
      <c r="B725" s="324"/>
      <c r="C725" s="338" t="s">
        <v>1365</v>
      </c>
      <c r="D725" s="330" t="s">
        <v>1273</v>
      </c>
      <c r="E725" s="376"/>
      <c r="F725" s="324"/>
      <c r="G725" s="325"/>
      <c r="H725" s="325"/>
      <c r="I725" s="324"/>
    </row>
    <row r="726" spans="2:9" s="326" customFormat="1" ht="35.1" customHeight="1">
      <c r="B726" s="324"/>
      <c r="C726" s="338" t="s">
        <v>2105</v>
      </c>
      <c r="D726" s="330" t="s">
        <v>1273</v>
      </c>
      <c r="E726" s="376"/>
      <c r="F726" s="324"/>
      <c r="G726" s="325"/>
      <c r="H726" s="325"/>
      <c r="I726" s="324"/>
    </row>
    <row r="727" spans="2:9" s="326" customFormat="1" ht="35.1" customHeight="1">
      <c r="B727" s="324"/>
      <c r="C727" s="338" t="s">
        <v>1301</v>
      </c>
      <c r="D727" s="330" t="s">
        <v>1273</v>
      </c>
      <c r="E727" s="376"/>
      <c r="F727" s="324"/>
      <c r="G727" s="325"/>
      <c r="H727" s="325"/>
      <c r="I727" s="324"/>
    </row>
    <row r="728" spans="2:9" s="326" customFormat="1" ht="35.1" customHeight="1">
      <c r="B728" s="324"/>
      <c r="C728" s="338" t="s">
        <v>1177</v>
      </c>
      <c r="D728" s="330" t="s">
        <v>1273</v>
      </c>
      <c r="E728" s="376"/>
      <c r="F728" s="324"/>
      <c r="G728" s="325"/>
      <c r="H728" s="325"/>
      <c r="I728" s="324"/>
    </row>
    <row r="729" spans="2:9" s="326" customFormat="1" ht="35.1" customHeight="1">
      <c r="B729" s="324"/>
      <c r="C729" s="338" t="s">
        <v>3887</v>
      </c>
      <c r="D729" s="330" t="s">
        <v>1273</v>
      </c>
      <c r="E729" s="376"/>
      <c r="F729" s="324"/>
      <c r="G729" s="325"/>
      <c r="H729" s="325"/>
      <c r="I729" s="324"/>
    </row>
    <row r="730" spans="2:9" s="326" customFormat="1" ht="35.1" customHeight="1">
      <c r="B730" s="324"/>
      <c r="C730" s="338" t="s">
        <v>1329</v>
      </c>
      <c r="D730" s="330" t="s">
        <v>1273</v>
      </c>
      <c r="E730" s="376"/>
      <c r="F730" s="324"/>
      <c r="G730" s="325"/>
      <c r="H730" s="325"/>
      <c r="I730" s="324"/>
    </row>
    <row r="731" spans="2:9" s="326" customFormat="1" ht="35.1" customHeight="1">
      <c r="B731" s="324"/>
      <c r="C731" s="338" t="s">
        <v>700</v>
      </c>
      <c r="D731" s="330" t="s">
        <v>3886</v>
      </c>
      <c r="E731" s="376"/>
      <c r="F731" s="324"/>
      <c r="G731" s="325"/>
      <c r="H731" s="325"/>
      <c r="I731" s="324"/>
    </row>
    <row r="732" spans="2:9" s="326" customFormat="1" ht="35.1" customHeight="1">
      <c r="B732" s="324"/>
      <c r="C732" s="338" t="s">
        <v>701</v>
      </c>
      <c r="D732" s="330" t="s">
        <v>698</v>
      </c>
      <c r="E732" s="376"/>
      <c r="F732" s="324"/>
      <c r="G732" s="325"/>
      <c r="H732" s="325"/>
      <c r="I732" s="324"/>
    </row>
    <row r="733" spans="2:9" s="326" customFormat="1" ht="35.1" customHeight="1">
      <c r="B733" s="324"/>
      <c r="C733" s="338" t="s">
        <v>660</v>
      </c>
      <c r="D733" s="330" t="s">
        <v>1179</v>
      </c>
      <c r="E733" s="376"/>
      <c r="F733" s="324"/>
      <c r="G733" s="325"/>
      <c r="H733" s="325"/>
      <c r="I733" s="324"/>
    </row>
    <row r="734" spans="2:9" s="326" customFormat="1" ht="35.1" customHeight="1">
      <c r="B734" s="324"/>
      <c r="C734" s="338" t="s">
        <v>697</v>
      </c>
      <c r="D734" s="330" t="s">
        <v>1179</v>
      </c>
      <c r="E734" s="376"/>
      <c r="F734" s="324"/>
      <c r="G734" s="325"/>
      <c r="H734" s="325"/>
      <c r="I734" s="324"/>
    </row>
    <row r="735" spans="2:9" s="326" customFormat="1">
      <c r="B735" s="324"/>
      <c r="C735" s="338" t="s">
        <v>703</v>
      </c>
      <c r="D735" s="330" t="s">
        <v>894</v>
      </c>
      <c r="E735" s="376"/>
      <c r="F735" s="324"/>
      <c r="G735" s="325"/>
      <c r="H735" s="325"/>
      <c r="I735" s="324"/>
    </row>
    <row r="736" spans="2:9" s="326" customFormat="1">
      <c r="B736" s="324"/>
      <c r="C736" s="338" t="s">
        <v>695</v>
      </c>
      <c r="D736" s="330" t="s">
        <v>894</v>
      </c>
      <c r="E736" s="376"/>
      <c r="F736" s="324"/>
      <c r="G736" s="325"/>
      <c r="H736" s="325"/>
      <c r="I736" s="324"/>
    </row>
    <row r="737" spans="2:9" s="326" customFormat="1">
      <c r="B737" s="324"/>
      <c r="C737" s="338"/>
      <c r="D737" s="330" t="s">
        <v>896</v>
      </c>
      <c r="E737" s="376"/>
      <c r="F737" s="324"/>
      <c r="G737" s="325"/>
      <c r="H737" s="325"/>
      <c r="I737" s="324"/>
    </row>
    <row r="738" spans="2:9" s="326" customFormat="1">
      <c r="B738" s="324"/>
      <c r="C738" s="338"/>
      <c r="D738" s="330" t="s">
        <v>896</v>
      </c>
      <c r="E738" s="376"/>
      <c r="F738" s="324"/>
      <c r="G738" s="325"/>
      <c r="H738" s="325"/>
      <c r="I738" s="324"/>
    </row>
    <row r="739" spans="2:9" s="326" customFormat="1">
      <c r="B739" s="324"/>
      <c r="C739" s="338" t="s">
        <v>696</v>
      </c>
      <c r="D739" s="330" t="s">
        <v>641</v>
      </c>
      <c r="E739" s="376"/>
      <c r="F739" s="324"/>
      <c r="G739" s="325"/>
      <c r="H739" s="325"/>
      <c r="I739" s="324"/>
    </row>
    <row r="740" spans="2:9" s="326" customFormat="1">
      <c r="B740" s="324"/>
      <c r="C740" s="338" t="s">
        <v>711</v>
      </c>
      <c r="D740" s="330" t="s">
        <v>641</v>
      </c>
      <c r="E740" s="376"/>
      <c r="F740" s="324"/>
      <c r="G740" s="325"/>
      <c r="H740" s="325"/>
      <c r="I740" s="324"/>
    </row>
    <row r="741" spans="2:9" s="326" customFormat="1">
      <c r="B741" s="324"/>
      <c r="C741" s="338" t="s">
        <v>1246</v>
      </c>
      <c r="D741" s="330" t="s">
        <v>641</v>
      </c>
      <c r="E741" s="376"/>
      <c r="F741" s="324"/>
      <c r="G741" s="325"/>
      <c r="H741" s="325"/>
      <c r="I741" s="324"/>
    </row>
    <row r="742" spans="2:9" s="326" customFormat="1">
      <c r="B742" s="324"/>
      <c r="C742" s="338" t="s">
        <v>1247</v>
      </c>
      <c r="D742" s="330" t="s">
        <v>641</v>
      </c>
      <c r="E742" s="376"/>
      <c r="F742" s="324"/>
      <c r="G742" s="325"/>
      <c r="H742" s="325"/>
      <c r="I742" s="324"/>
    </row>
    <row r="743" spans="2:9" s="326" customFormat="1">
      <c r="B743" s="324"/>
      <c r="C743" s="338" t="s">
        <v>1248</v>
      </c>
      <c r="D743" s="330" t="s">
        <v>641</v>
      </c>
      <c r="E743" s="376"/>
      <c r="F743" s="324"/>
      <c r="G743" s="325"/>
      <c r="H743" s="325"/>
      <c r="I743" s="324"/>
    </row>
    <row r="744" spans="2:9" s="326" customFormat="1" ht="35.1" customHeight="1">
      <c r="B744" s="324"/>
      <c r="C744" s="338" t="s">
        <v>1206</v>
      </c>
      <c r="D744" s="330" t="s">
        <v>147</v>
      </c>
      <c r="E744" s="376"/>
      <c r="F744" s="324"/>
      <c r="G744" s="325"/>
      <c r="H744" s="325"/>
      <c r="I744" s="324"/>
    </row>
    <row r="745" spans="2:9" s="326" customFormat="1" ht="35.1" customHeight="1">
      <c r="B745" s="324"/>
      <c r="C745" s="338" t="s">
        <v>1211</v>
      </c>
      <c r="D745" s="330" t="s">
        <v>147</v>
      </c>
      <c r="E745" s="376"/>
      <c r="F745" s="324"/>
      <c r="G745" s="325"/>
      <c r="H745" s="325"/>
      <c r="I745" s="324"/>
    </row>
    <row r="746" spans="2:9" s="326" customFormat="1" ht="35.1" customHeight="1">
      <c r="B746" s="324"/>
      <c r="C746" s="338" t="s">
        <v>1395</v>
      </c>
      <c r="D746" s="330" t="s">
        <v>147</v>
      </c>
      <c r="E746" s="376"/>
      <c r="F746" s="324"/>
      <c r="G746" s="325"/>
      <c r="H746" s="325"/>
      <c r="I746" s="324"/>
    </row>
    <row r="747" spans="2:9" s="326" customFormat="1" ht="35.1" customHeight="1">
      <c r="B747" s="324"/>
      <c r="C747" s="338" t="s">
        <v>1345</v>
      </c>
      <c r="D747" s="330" t="s">
        <v>147</v>
      </c>
      <c r="E747" s="376"/>
      <c r="F747" s="324"/>
      <c r="G747" s="325"/>
      <c r="H747" s="325"/>
      <c r="I747" s="324"/>
    </row>
    <row r="748" spans="2:9" s="326" customFormat="1" ht="35.1" customHeight="1">
      <c r="B748" s="324"/>
      <c r="C748" s="338" t="s">
        <v>1340</v>
      </c>
      <c r="D748" s="330" t="s">
        <v>147</v>
      </c>
      <c r="E748" s="376"/>
      <c r="F748" s="324"/>
      <c r="G748" s="325"/>
      <c r="H748" s="325"/>
      <c r="I748" s="324"/>
    </row>
    <row r="749" spans="2:9" s="326" customFormat="1" ht="35.1" customHeight="1">
      <c r="B749" s="324"/>
      <c r="C749" s="338" t="s">
        <v>1249</v>
      </c>
      <c r="D749" s="330" t="s">
        <v>147</v>
      </c>
      <c r="E749" s="376"/>
      <c r="F749" s="324"/>
      <c r="G749" s="325"/>
      <c r="H749" s="325"/>
      <c r="I749" s="324"/>
    </row>
    <row r="750" spans="2:9" s="326" customFormat="1" ht="35.1" customHeight="1">
      <c r="B750" s="324"/>
      <c r="C750" s="338" t="s">
        <v>1278</v>
      </c>
      <c r="D750" s="330" t="s">
        <v>1279</v>
      </c>
      <c r="E750" s="376"/>
      <c r="F750" s="324"/>
      <c r="G750" s="325"/>
      <c r="H750" s="325"/>
      <c r="I750" s="324"/>
    </row>
    <row r="751" spans="2:9" s="326" customFormat="1" ht="35.1" customHeight="1">
      <c r="B751" s="324"/>
      <c r="C751" s="338" t="s">
        <v>1324</v>
      </c>
      <c r="D751" s="330" t="s">
        <v>1279</v>
      </c>
      <c r="E751" s="376"/>
      <c r="F751" s="324"/>
      <c r="G751" s="325"/>
      <c r="H751" s="325"/>
      <c r="I751" s="324"/>
    </row>
    <row r="752" spans="2:9" s="326" customFormat="1" ht="35.1" customHeight="1">
      <c r="B752" s="324"/>
      <c r="C752" s="338" t="s">
        <v>1358</v>
      </c>
      <c r="D752" s="330" t="s">
        <v>1279</v>
      </c>
      <c r="E752" s="376"/>
      <c r="F752" s="324"/>
      <c r="G752" s="325"/>
      <c r="H752" s="325"/>
      <c r="I752" s="324"/>
    </row>
    <row r="753" spans="2:9" s="326" customFormat="1" ht="35.1" customHeight="1">
      <c r="B753" s="324"/>
      <c r="C753" s="338" t="s">
        <v>1305</v>
      </c>
      <c r="D753" s="330" t="s">
        <v>1279</v>
      </c>
      <c r="E753" s="376"/>
      <c r="F753" s="324"/>
      <c r="G753" s="325"/>
      <c r="H753" s="325"/>
      <c r="I753" s="324"/>
    </row>
    <row r="754" spans="2:9" s="326" customFormat="1" ht="35.1" customHeight="1">
      <c r="B754" s="324"/>
      <c r="C754" s="338" t="s">
        <v>1286</v>
      </c>
      <c r="D754" s="330" t="s">
        <v>1279</v>
      </c>
      <c r="E754" s="376"/>
      <c r="F754" s="324"/>
      <c r="G754" s="325"/>
      <c r="H754" s="325"/>
      <c r="I754" s="324"/>
    </row>
    <row r="755" spans="2:9" s="326" customFormat="1" ht="35.1" customHeight="1">
      <c r="B755" s="324"/>
      <c r="C755" s="338" t="s">
        <v>1320</v>
      </c>
      <c r="D755" s="330" t="s">
        <v>1279</v>
      </c>
      <c r="E755" s="376"/>
      <c r="F755" s="324"/>
      <c r="G755" s="325"/>
      <c r="H755" s="325"/>
      <c r="I755" s="324"/>
    </row>
    <row r="756" spans="2:9" s="326" customFormat="1" ht="35.1" customHeight="1">
      <c r="B756" s="324"/>
      <c r="C756" s="338" t="s">
        <v>1311</v>
      </c>
      <c r="D756" s="330" t="s">
        <v>1279</v>
      </c>
      <c r="E756" s="376"/>
      <c r="F756" s="324"/>
      <c r="G756" s="325"/>
      <c r="H756" s="325"/>
      <c r="I756" s="324"/>
    </row>
    <row r="757" spans="2:9" s="326" customFormat="1" ht="35.1" customHeight="1">
      <c r="B757" s="324"/>
      <c r="C757" s="338" t="s">
        <v>1333</v>
      </c>
      <c r="D757" s="330" t="s">
        <v>1279</v>
      </c>
      <c r="E757" s="376"/>
      <c r="F757" s="324"/>
      <c r="G757" s="325"/>
      <c r="H757" s="325"/>
      <c r="I757" s="324"/>
    </row>
    <row r="758" spans="2:9" s="326" customFormat="1" ht="35.1" customHeight="1">
      <c r="B758" s="324"/>
      <c r="C758" s="338" t="s">
        <v>1232</v>
      </c>
      <c r="D758" s="330" t="s">
        <v>1279</v>
      </c>
      <c r="E758" s="376"/>
      <c r="F758" s="324"/>
      <c r="G758" s="325"/>
      <c r="H758" s="325"/>
      <c r="I758" s="324"/>
    </row>
    <row r="759" spans="2:9" s="326" customFormat="1" ht="35.1" customHeight="1">
      <c r="B759" s="324"/>
      <c r="C759" s="338" t="s">
        <v>1203</v>
      </c>
      <c r="D759" s="330" t="s">
        <v>23</v>
      </c>
      <c r="E759" s="376"/>
      <c r="F759" s="324"/>
      <c r="G759" s="325"/>
      <c r="H759" s="325"/>
      <c r="I759" s="324"/>
    </row>
    <row r="760" spans="2:9" s="326" customFormat="1" ht="35.1" customHeight="1">
      <c r="B760" s="324"/>
      <c r="C760" s="338" t="s">
        <v>1210</v>
      </c>
      <c r="D760" s="330" t="s">
        <v>23</v>
      </c>
      <c r="E760" s="376"/>
      <c r="F760" s="324"/>
      <c r="G760" s="325"/>
      <c r="H760" s="325"/>
      <c r="I760" s="324"/>
    </row>
    <row r="761" spans="2:9" s="326" customFormat="1" ht="35.1" customHeight="1">
      <c r="B761" s="324"/>
      <c r="C761" s="338" t="s">
        <v>1396</v>
      </c>
      <c r="D761" s="330" t="s">
        <v>23</v>
      </c>
      <c r="E761" s="376"/>
      <c r="F761" s="324"/>
      <c r="G761" s="325"/>
      <c r="H761" s="325"/>
      <c r="I761" s="324"/>
    </row>
    <row r="762" spans="2:9" s="326" customFormat="1" ht="35.1" customHeight="1">
      <c r="B762" s="324"/>
      <c r="C762" s="338" t="s">
        <v>1341</v>
      </c>
      <c r="D762" s="330" t="s">
        <v>23</v>
      </c>
      <c r="E762" s="376"/>
      <c r="F762" s="324"/>
      <c r="G762" s="325"/>
      <c r="H762" s="325"/>
      <c r="I762" s="324"/>
    </row>
    <row r="763" spans="2:9" s="326" customFormat="1" ht="35.1" customHeight="1">
      <c r="B763" s="324"/>
      <c r="C763" s="338" t="s">
        <v>2320</v>
      </c>
      <c r="D763" s="330" t="s">
        <v>23</v>
      </c>
      <c r="E763" s="376"/>
      <c r="F763" s="324"/>
      <c r="G763" s="325"/>
      <c r="H763" s="325"/>
      <c r="I763" s="324"/>
    </row>
    <row r="764" spans="2:9" s="326" customFormat="1" ht="35.1" customHeight="1">
      <c r="B764" s="324"/>
      <c r="C764" s="338" t="s">
        <v>1280</v>
      </c>
      <c r="D764" s="330" t="s">
        <v>1238</v>
      </c>
      <c r="E764" s="376"/>
      <c r="F764" s="324"/>
      <c r="G764" s="325"/>
      <c r="H764" s="325"/>
      <c r="I764" s="324"/>
    </row>
    <row r="765" spans="2:9" s="326" customFormat="1" ht="35.1" customHeight="1">
      <c r="B765" s="324"/>
      <c r="C765" s="338" t="s">
        <v>1326</v>
      </c>
      <c r="D765" s="330" t="s">
        <v>1238</v>
      </c>
      <c r="E765" s="376"/>
      <c r="F765" s="324"/>
      <c r="G765" s="325"/>
      <c r="H765" s="325"/>
      <c r="I765" s="324"/>
    </row>
    <row r="766" spans="2:9" s="326" customFormat="1" ht="35.1" customHeight="1">
      <c r="B766" s="324"/>
      <c r="C766" s="338" t="s">
        <v>1359</v>
      </c>
      <c r="D766" s="330" t="s">
        <v>1238</v>
      </c>
      <c r="E766" s="376"/>
      <c r="F766" s="324"/>
      <c r="G766" s="325"/>
      <c r="H766" s="325"/>
      <c r="I766" s="324"/>
    </row>
    <row r="767" spans="2:9" s="326" customFormat="1" ht="35.1" customHeight="1">
      <c r="B767" s="324"/>
      <c r="C767" s="338" t="s">
        <v>1307</v>
      </c>
      <c r="D767" s="330" t="s">
        <v>1238</v>
      </c>
      <c r="E767" s="376"/>
      <c r="F767" s="324"/>
      <c r="G767" s="325"/>
      <c r="H767" s="325"/>
      <c r="I767" s="324"/>
    </row>
    <row r="768" spans="2:9" s="326" customFormat="1" ht="35.1" customHeight="1">
      <c r="B768" s="324"/>
      <c r="C768" s="338" t="s">
        <v>1287</v>
      </c>
      <c r="D768" s="330" t="s">
        <v>1238</v>
      </c>
      <c r="E768" s="376"/>
      <c r="F768" s="324"/>
      <c r="G768" s="325"/>
      <c r="H768" s="325"/>
      <c r="I768" s="324"/>
    </row>
    <row r="769" spans="2:9" s="326" customFormat="1" ht="35.1" customHeight="1">
      <c r="B769" s="324"/>
      <c r="C769" s="338" t="s">
        <v>1321</v>
      </c>
      <c r="D769" s="330" t="s">
        <v>1238</v>
      </c>
      <c r="E769" s="376"/>
      <c r="F769" s="324"/>
      <c r="G769" s="325"/>
      <c r="H769" s="325"/>
      <c r="I769" s="324"/>
    </row>
    <row r="770" spans="2:9" s="326" customFormat="1" ht="35.1" customHeight="1">
      <c r="B770" s="324"/>
      <c r="C770" s="338" t="s">
        <v>1312</v>
      </c>
      <c r="D770" s="330" t="s">
        <v>1238</v>
      </c>
      <c r="E770" s="376"/>
      <c r="F770" s="324"/>
      <c r="G770" s="325"/>
      <c r="H770" s="325"/>
      <c r="I770" s="324"/>
    </row>
    <row r="771" spans="2:9" s="326" customFormat="1" ht="35.1" customHeight="1">
      <c r="B771" s="324"/>
      <c r="C771" s="338" t="s">
        <v>1334</v>
      </c>
      <c r="D771" s="330" t="s">
        <v>1238</v>
      </c>
      <c r="E771" s="376"/>
      <c r="F771" s="324"/>
      <c r="G771" s="325"/>
      <c r="H771" s="325"/>
      <c r="I771" s="324"/>
    </row>
    <row r="772" spans="2:9" s="326" customFormat="1" ht="35.1" customHeight="1">
      <c r="B772" s="324"/>
      <c r="C772" s="338" t="s">
        <v>1234</v>
      </c>
      <c r="D772" s="330" t="s">
        <v>1238</v>
      </c>
      <c r="E772" s="376"/>
      <c r="F772" s="324"/>
      <c r="G772" s="325"/>
      <c r="H772" s="325"/>
      <c r="I772" s="324"/>
    </row>
    <row r="773" spans="2:9" s="326" customFormat="1" ht="35.1" customHeight="1">
      <c r="B773" s="324"/>
      <c r="C773" s="338" t="s">
        <v>1204</v>
      </c>
      <c r="D773" s="330" t="s">
        <v>32</v>
      </c>
      <c r="E773" s="376"/>
      <c r="F773" s="324"/>
      <c r="G773" s="325"/>
      <c r="H773" s="325"/>
      <c r="I773" s="324"/>
    </row>
    <row r="774" spans="2:9" s="326" customFormat="1" ht="35.1" customHeight="1">
      <c r="B774" s="324"/>
      <c r="C774" s="338" t="s">
        <v>1347</v>
      </c>
      <c r="D774" s="330" t="s">
        <v>32</v>
      </c>
      <c r="E774" s="376"/>
      <c r="F774" s="324"/>
      <c r="G774" s="325"/>
      <c r="H774" s="325"/>
      <c r="I774" s="324"/>
    </row>
    <row r="775" spans="2:9" s="326" customFormat="1" ht="35.1" customHeight="1">
      <c r="B775" s="324"/>
      <c r="C775" s="338" t="s">
        <v>1260</v>
      </c>
      <c r="D775" s="330" t="s">
        <v>1261</v>
      </c>
      <c r="E775" s="376"/>
      <c r="F775" s="324"/>
      <c r="G775" s="325"/>
      <c r="H775" s="325"/>
      <c r="I775" s="324"/>
    </row>
    <row r="776" spans="2:9" s="326" customFormat="1" ht="35.1" customHeight="1">
      <c r="B776" s="324"/>
      <c r="C776" s="338" t="s">
        <v>1270</v>
      </c>
      <c r="D776" s="330" t="s">
        <v>3885</v>
      </c>
      <c r="E776" s="376"/>
      <c r="F776" s="324"/>
      <c r="G776" s="325"/>
      <c r="H776" s="325"/>
      <c r="I776" s="324"/>
    </row>
    <row r="777" spans="2:9" s="326" customFormat="1" ht="35.1" customHeight="1">
      <c r="B777" s="324"/>
      <c r="C777" s="338" t="s">
        <v>1325</v>
      </c>
      <c r="D777" s="330" t="s">
        <v>1289</v>
      </c>
      <c r="E777" s="376"/>
      <c r="F777" s="324"/>
      <c r="G777" s="325"/>
      <c r="H777" s="325"/>
      <c r="I777" s="324"/>
    </row>
    <row r="778" spans="2:9" s="326" customFormat="1" ht="35.1" customHeight="1">
      <c r="B778" s="324"/>
      <c r="C778" s="338" t="s">
        <v>1360</v>
      </c>
      <c r="D778" s="330" t="s">
        <v>1289</v>
      </c>
      <c r="E778" s="376"/>
      <c r="F778" s="324"/>
      <c r="G778" s="325"/>
      <c r="H778" s="325"/>
      <c r="I778" s="324"/>
    </row>
    <row r="779" spans="2:9" s="326" customFormat="1" ht="35.1" customHeight="1">
      <c r="B779" s="324"/>
      <c r="C779" s="338" t="s">
        <v>1397</v>
      </c>
      <c r="D779" s="330" t="s">
        <v>1289</v>
      </c>
      <c r="E779" s="376"/>
      <c r="F779" s="324"/>
      <c r="G779" s="325"/>
      <c r="H779" s="325"/>
      <c r="I779" s="324"/>
    </row>
    <row r="780" spans="2:9" s="326" customFormat="1" ht="35.1" customHeight="1">
      <c r="B780" s="324"/>
      <c r="C780" s="338" t="s">
        <v>1288</v>
      </c>
      <c r="D780" s="330" t="s">
        <v>1289</v>
      </c>
      <c r="E780" s="376"/>
      <c r="F780" s="324"/>
      <c r="G780" s="325"/>
      <c r="H780" s="325"/>
      <c r="I780" s="324"/>
    </row>
    <row r="781" spans="2:9" s="326" customFormat="1" ht="35.1" customHeight="1">
      <c r="B781" s="324"/>
      <c r="C781" s="338" t="s">
        <v>1322</v>
      </c>
      <c r="D781" s="330" t="s">
        <v>1289</v>
      </c>
      <c r="E781" s="376"/>
      <c r="F781" s="324"/>
      <c r="G781" s="325"/>
      <c r="H781" s="325"/>
      <c r="I781" s="324"/>
    </row>
    <row r="782" spans="2:9" s="326" customFormat="1" ht="35.1" customHeight="1">
      <c r="B782" s="324"/>
      <c r="C782" s="338" t="s">
        <v>1313</v>
      </c>
      <c r="D782" s="330" t="s">
        <v>1289</v>
      </c>
      <c r="E782" s="376"/>
      <c r="F782" s="324"/>
      <c r="G782" s="325"/>
      <c r="H782" s="325"/>
      <c r="I782" s="324"/>
    </row>
    <row r="783" spans="2:9" s="326" customFormat="1" ht="35.1" customHeight="1">
      <c r="B783" s="324"/>
      <c r="C783" s="338" t="s">
        <v>1233</v>
      </c>
      <c r="D783" s="330" t="s">
        <v>1289</v>
      </c>
      <c r="E783" s="376"/>
      <c r="F783" s="324"/>
      <c r="G783" s="325"/>
      <c r="H783" s="325"/>
      <c r="I783" s="324"/>
    </row>
    <row r="784" spans="2:9" s="326" customFormat="1">
      <c r="B784" s="324"/>
      <c r="C784" s="338" t="s">
        <v>1199</v>
      </c>
      <c r="D784" s="330" t="s">
        <v>1200</v>
      </c>
      <c r="E784" s="376"/>
      <c r="F784" s="324"/>
      <c r="G784" s="325"/>
      <c r="H784" s="325"/>
      <c r="I784" s="324"/>
    </row>
    <row r="785" spans="2:9" s="326" customFormat="1">
      <c r="B785" s="324"/>
      <c r="C785" s="338" t="s">
        <v>1207</v>
      </c>
      <c r="D785" s="330" t="s">
        <v>1200</v>
      </c>
      <c r="E785" s="376"/>
      <c r="F785" s="324"/>
      <c r="G785" s="325"/>
      <c r="H785" s="325"/>
      <c r="I785" s="324"/>
    </row>
    <row r="786" spans="2:9" s="326" customFormat="1">
      <c r="B786" s="324"/>
      <c r="C786" s="338"/>
      <c r="D786" s="330" t="s">
        <v>3884</v>
      </c>
      <c r="E786" s="376"/>
      <c r="F786" s="324"/>
      <c r="G786" s="325"/>
      <c r="H786" s="325"/>
      <c r="I786" s="324"/>
    </row>
    <row r="787" spans="2:9" s="326" customFormat="1">
      <c r="B787" s="324"/>
      <c r="C787" s="338" t="s">
        <v>3883</v>
      </c>
      <c r="D787" s="330" t="s">
        <v>451</v>
      </c>
      <c r="E787" s="376"/>
      <c r="F787" s="324"/>
      <c r="G787" s="325"/>
      <c r="H787" s="325"/>
      <c r="I787" s="324"/>
    </row>
    <row r="788" spans="2:9" s="326" customFormat="1">
      <c r="B788" s="324"/>
      <c r="C788" s="338" t="s">
        <v>3882</v>
      </c>
      <c r="D788" s="330" t="s">
        <v>451</v>
      </c>
      <c r="E788" s="376"/>
      <c r="F788" s="324"/>
      <c r="G788" s="325"/>
      <c r="H788" s="325"/>
      <c r="I788" s="324"/>
    </row>
    <row r="789" spans="2:9" s="326" customFormat="1">
      <c r="B789" s="324"/>
      <c r="C789" s="338" t="s">
        <v>3881</v>
      </c>
      <c r="D789" s="330" t="s">
        <v>1263</v>
      </c>
      <c r="E789" s="376"/>
      <c r="F789" s="324"/>
      <c r="G789" s="325"/>
      <c r="H789" s="325"/>
      <c r="I789" s="324"/>
    </row>
    <row r="790" spans="2:9" s="326" customFormat="1">
      <c r="B790" s="324"/>
      <c r="C790" s="338" t="s">
        <v>3880</v>
      </c>
      <c r="D790" s="330" t="s">
        <v>1263</v>
      </c>
      <c r="E790" s="376"/>
      <c r="F790" s="324"/>
      <c r="G790" s="325"/>
      <c r="H790" s="325"/>
      <c r="I790" s="324"/>
    </row>
    <row r="791" spans="2:9" s="326" customFormat="1">
      <c r="B791" s="324"/>
      <c r="C791" s="338" t="s">
        <v>1393</v>
      </c>
      <c r="D791" s="330" t="s">
        <v>3879</v>
      </c>
      <c r="E791" s="376"/>
      <c r="F791" s="324"/>
      <c r="G791" s="325"/>
      <c r="H791" s="325"/>
      <c r="I791" s="324"/>
    </row>
    <row r="792" spans="2:9" s="326" customFormat="1" ht="35.1" customHeight="1">
      <c r="B792" s="324"/>
      <c r="C792" s="338" t="s">
        <v>1049</v>
      </c>
      <c r="D792" s="330" t="s">
        <v>3878</v>
      </c>
      <c r="E792" s="376"/>
      <c r="F792" s="324"/>
      <c r="G792" s="325"/>
      <c r="H792" s="325"/>
      <c r="I792" s="324"/>
    </row>
    <row r="793" spans="2:9" s="326" customFormat="1" ht="35.1" customHeight="1">
      <c r="B793" s="324"/>
      <c r="C793" s="338" t="s">
        <v>1050</v>
      </c>
      <c r="D793" s="330" t="s">
        <v>3877</v>
      </c>
      <c r="E793" s="376"/>
      <c r="F793" s="324"/>
      <c r="G793" s="325"/>
      <c r="H793" s="325"/>
      <c r="I793" s="324"/>
    </row>
    <row r="794" spans="2:9" s="326" customFormat="1" ht="35.1" customHeight="1">
      <c r="B794" s="324"/>
      <c r="C794" s="338" t="s">
        <v>1051</v>
      </c>
      <c r="D794" s="330" t="s">
        <v>3877</v>
      </c>
      <c r="E794" s="376"/>
      <c r="F794" s="324"/>
      <c r="G794" s="325"/>
      <c r="H794" s="325"/>
      <c r="I794" s="324"/>
    </row>
    <row r="795" spans="2:9" s="326" customFormat="1" ht="35.1" customHeight="1">
      <c r="B795" s="324"/>
      <c r="C795" s="338" t="s">
        <v>1052</v>
      </c>
      <c r="D795" s="330" t="s">
        <v>3877</v>
      </c>
      <c r="E795" s="376"/>
      <c r="F795" s="324"/>
      <c r="G795" s="325"/>
      <c r="H795" s="325"/>
      <c r="I795" s="324"/>
    </row>
    <row r="796" spans="2:9" s="326" customFormat="1">
      <c r="B796" s="324"/>
      <c r="C796" s="329"/>
      <c r="D796" s="324"/>
      <c r="E796" s="376"/>
      <c r="F796" s="324"/>
      <c r="G796" s="325"/>
      <c r="H796" s="325"/>
      <c r="I796" s="324"/>
    </row>
    <row r="797" spans="2:9" s="326" customFormat="1">
      <c r="B797" s="324"/>
      <c r="C797" s="402" t="s">
        <v>3876</v>
      </c>
      <c r="D797" s="403"/>
      <c r="E797" s="376"/>
      <c r="F797" s="324"/>
      <c r="G797" s="325"/>
      <c r="H797" s="325"/>
      <c r="I797" s="324"/>
    </row>
    <row r="798" spans="2:9" s="326" customFormat="1">
      <c r="B798" s="324"/>
      <c r="C798" s="347" t="s">
        <v>712</v>
      </c>
      <c r="D798" s="346" t="s">
        <v>3875</v>
      </c>
      <c r="E798" s="376"/>
      <c r="F798" s="324"/>
      <c r="G798" s="325"/>
      <c r="H798" s="325"/>
      <c r="I798" s="324"/>
    </row>
    <row r="799" spans="2:9" s="326" customFormat="1" ht="35.1" customHeight="1">
      <c r="B799" s="324"/>
      <c r="C799" s="347" t="s">
        <v>1053</v>
      </c>
      <c r="D799" s="346" t="s">
        <v>723</v>
      </c>
      <c r="E799" s="376"/>
      <c r="F799" s="324"/>
      <c r="G799" s="325"/>
      <c r="H799" s="325"/>
      <c r="I799" s="324"/>
    </row>
    <row r="800" spans="2:9" s="326" customFormat="1" ht="35.1" customHeight="1">
      <c r="B800" s="324"/>
      <c r="C800" s="347" t="s">
        <v>1054</v>
      </c>
      <c r="D800" s="346" t="s">
        <v>723</v>
      </c>
      <c r="E800" s="376"/>
      <c r="F800" s="324"/>
      <c r="G800" s="325"/>
      <c r="H800" s="325"/>
      <c r="I800" s="324"/>
    </row>
    <row r="801" spans="3:8" s="324" customFormat="1" ht="35.1" customHeight="1">
      <c r="C801" s="347" t="s">
        <v>1055</v>
      </c>
      <c r="D801" s="346" t="s">
        <v>723</v>
      </c>
      <c r="E801" s="376"/>
      <c r="G801" s="325"/>
      <c r="H801" s="325"/>
    </row>
    <row r="802" spans="3:8" s="324" customFormat="1" ht="35.1" customHeight="1">
      <c r="C802" s="347" t="s">
        <v>1056</v>
      </c>
      <c r="D802" s="346" t="s">
        <v>723</v>
      </c>
      <c r="E802" s="376"/>
      <c r="G802" s="325"/>
      <c r="H802" s="325"/>
    </row>
    <row r="803" spans="3:8" s="324" customFormat="1">
      <c r="C803" s="347" t="s">
        <v>1391</v>
      </c>
      <c r="D803" s="346" t="s">
        <v>1392</v>
      </c>
      <c r="E803" s="376"/>
      <c r="G803" s="325"/>
      <c r="H803" s="325"/>
    </row>
    <row r="804" spans="3:8" s="324" customFormat="1" ht="35.1" customHeight="1">
      <c r="C804" s="347" t="s">
        <v>1057</v>
      </c>
      <c r="D804" s="346" t="s">
        <v>723</v>
      </c>
      <c r="E804" s="376"/>
      <c r="G804" s="325"/>
      <c r="H804" s="325"/>
    </row>
    <row r="805" spans="3:8" s="324" customFormat="1" ht="35.1" customHeight="1">
      <c r="C805" s="347" t="s">
        <v>1058</v>
      </c>
      <c r="D805" s="346" t="s">
        <v>723</v>
      </c>
      <c r="E805" s="376"/>
      <c r="G805" s="325"/>
      <c r="H805" s="325"/>
    </row>
    <row r="806" spans="3:8" s="324" customFormat="1" ht="35.1" customHeight="1">
      <c r="C806" s="347" t="s">
        <v>3874</v>
      </c>
      <c r="D806" s="346" t="s">
        <v>580</v>
      </c>
      <c r="E806" s="376"/>
      <c r="G806" s="325"/>
      <c r="H806" s="325"/>
    </row>
    <row r="807" spans="3:8" s="324" customFormat="1" ht="35.1" customHeight="1">
      <c r="C807" s="347" t="s">
        <v>1245</v>
      </c>
      <c r="D807" s="346" t="s">
        <v>661</v>
      </c>
      <c r="E807" s="376"/>
      <c r="G807" s="325"/>
      <c r="H807" s="325"/>
    </row>
    <row r="808" spans="3:8" s="324" customFormat="1" ht="35.1" customHeight="1">
      <c r="C808" s="347" t="s">
        <v>938</v>
      </c>
      <c r="D808" s="346" t="s">
        <v>661</v>
      </c>
      <c r="E808" s="376"/>
      <c r="G808" s="325"/>
      <c r="H808" s="325"/>
    </row>
    <row r="809" spans="3:8" s="324" customFormat="1">
      <c r="C809" s="347" t="s">
        <v>1406</v>
      </c>
      <c r="D809" s="348" t="s">
        <v>641</v>
      </c>
      <c r="E809" s="376"/>
      <c r="G809" s="325"/>
      <c r="H809" s="325"/>
    </row>
    <row r="810" spans="3:8" s="324" customFormat="1">
      <c r="C810" s="347" t="s">
        <v>1310</v>
      </c>
      <c r="D810" s="346" t="s">
        <v>663</v>
      </c>
      <c r="E810" s="376"/>
      <c r="G810" s="325"/>
      <c r="H810" s="325"/>
    </row>
    <row r="811" spans="3:8" s="324" customFormat="1" ht="35.1" customHeight="1">
      <c r="C811" s="347" t="s">
        <v>3873</v>
      </c>
      <c r="D811" s="346" t="s">
        <v>582</v>
      </c>
      <c r="E811" s="376"/>
      <c r="G811" s="325"/>
      <c r="H811" s="325"/>
    </row>
    <row r="812" spans="3:8" s="324" customFormat="1" ht="35.1" customHeight="1">
      <c r="C812" s="347" t="s">
        <v>3872</v>
      </c>
      <c r="D812" s="346" t="s">
        <v>578</v>
      </c>
      <c r="E812" s="376"/>
      <c r="G812" s="325"/>
      <c r="H812" s="325"/>
    </row>
    <row r="813" spans="3:8" s="324" customFormat="1" ht="35.1" customHeight="1">
      <c r="C813" s="347" t="s">
        <v>671</v>
      </c>
      <c r="D813" s="346" t="s">
        <v>672</v>
      </c>
      <c r="E813" s="376"/>
      <c r="G813" s="325"/>
      <c r="H813" s="325"/>
    </row>
    <row r="814" spans="3:8" s="324" customFormat="1">
      <c r="C814" s="347" t="s">
        <v>588</v>
      </c>
      <c r="D814" s="346" t="s">
        <v>620</v>
      </c>
      <c r="E814" s="376"/>
      <c r="G814" s="325"/>
      <c r="H814" s="325"/>
    </row>
    <row r="815" spans="3:8" s="324" customFormat="1">
      <c r="C815" s="347" t="s">
        <v>619</v>
      </c>
      <c r="D815" s="346" t="s">
        <v>620</v>
      </c>
      <c r="E815" s="376"/>
      <c r="G815" s="325"/>
      <c r="H815" s="325"/>
    </row>
    <row r="816" spans="3:8" s="324" customFormat="1" ht="60">
      <c r="C816" s="344" t="s">
        <v>632</v>
      </c>
      <c r="D816" s="346" t="s">
        <v>3865</v>
      </c>
      <c r="E816" s="377" t="s">
        <v>3871</v>
      </c>
      <c r="G816" s="325"/>
      <c r="H816" s="325"/>
    </row>
    <row r="817" spans="2:9" s="326" customFormat="1">
      <c r="B817" s="324"/>
      <c r="C817" s="347" t="s">
        <v>2096</v>
      </c>
      <c r="D817" s="346" t="s">
        <v>3865</v>
      </c>
      <c r="E817" s="376"/>
      <c r="F817" s="324"/>
      <c r="G817" s="325"/>
      <c r="H817" s="325"/>
      <c r="I817" s="324"/>
    </row>
    <row r="818" spans="2:9" s="326" customFormat="1">
      <c r="B818" s="324"/>
      <c r="C818" s="347" t="s">
        <v>657</v>
      </c>
      <c r="D818" s="346" t="s">
        <v>620</v>
      </c>
      <c r="E818" s="376"/>
      <c r="F818" s="324"/>
      <c r="G818" s="325"/>
      <c r="H818" s="325"/>
      <c r="I818" s="324"/>
    </row>
    <row r="819" spans="2:9" s="326" customFormat="1">
      <c r="B819" s="324"/>
      <c r="C819" s="347" t="s">
        <v>585</v>
      </c>
      <c r="D819" s="346" t="s">
        <v>564</v>
      </c>
      <c r="E819" s="376"/>
      <c r="F819" s="324"/>
      <c r="G819" s="325"/>
      <c r="H819" s="325"/>
      <c r="I819" s="324"/>
    </row>
    <row r="820" spans="2:9" s="326" customFormat="1">
      <c r="B820" s="324"/>
      <c r="C820" s="347" t="s">
        <v>607</v>
      </c>
      <c r="D820" s="346" t="s">
        <v>564</v>
      </c>
      <c r="E820" s="376"/>
      <c r="F820" s="324"/>
      <c r="G820" s="325"/>
      <c r="H820" s="325"/>
      <c r="I820" s="324"/>
    </row>
    <row r="821" spans="2:9" s="326" customFormat="1">
      <c r="B821" s="324"/>
      <c r="C821" s="347" t="s">
        <v>611</v>
      </c>
      <c r="D821" s="346" t="s">
        <v>612</v>
      </c>
      <c r="E821" s="376"/>
      <c r="F821" s="324"/>
      <c r="G821" s="325"/>
      <c r="H821" s="325"/>
      <c r="I821" s="324"/>
    </row>
    <row r="822" spans="2:9" s="326" customFormat="1">
      <c r="B822" s="324"/>
      <c r="C822" s="347" t="s">
        <v>563</v>
      </c>
      <c r="D822" s="346" t="s">
        <v>564</v>
      </c>
      <c r="E822" s="376"/>
      <c r="F822" s="324"/>
      <c r="G822" s="325"/>
      <c r="H822" s="325"/>
      <c r="I822" s="324"/>
    </row>
    <row r="823" spans="2:9" s="326" customFormat="1">
      <c r="B823" s="324"/>
      <c r="C823" s="347" t="s">
        <v>644</v>
      </c>
      <c r="D823" s="346" t="s">
        <v>451</v>
      </c>
      <c r="E823" s="376"/>
      <c r="F823" s="324"/>
      <c r="G823" s="325"/>
      <c r="H823" s="325"/>
      <c r="I823" s="324"/>
    </row>
    <row r="824" spans="2:9" s="326" customFormat="1">
      <c r="B824" s="324"/>
      <c r="C824" s="347" t="s">
        <v>654</v>
      </c>
      <c r="D824" s="346" t="s">
        <v>564</v>
      </c>
      <c r="E824" s="376"/>
      <c r="F824" s="324"/>
      <c r="G824" s="325"/>
      <c r="H824" s="325"/>
      <c r="I824" s="324"/>
    </row>
    <row r="825" spans="2:9" s="326" customFormat="1" ht="35.1" customHeight="1">
      <c r="B825" s="324"/>
      <c r="C825" s="347" t="s">
        <v>609</v>
      </c>
      <c r="D825" s="346" t="s">
        <v>610</v>
      </c>
      <c r="E825" s="376"/>
      <c r="F825" s="324"/>
      <c r="G825" s="325"/>
      <c r="H825" s="325"/>
      <c r="I825" s="324"/>
    </row>
    <row r="826" spans="2:9" s="326" customFormat="1" ht="35.1" customHeight="1">
      <c r="B826" s="324"/>
      <c r="C826" s="347" t="s">
        <v>614</v>
      </c>
      <c r="D826" s="346" t="s">
        <v>615</v>
      </c>
      <c r="E826" s="376"/>
      <c r="F826" s="324"/>
      <c r="G826" s="325"/>
      <c r="H826" s="325"/>
      <c r="I826" s="324"/>
    </row>
    <row r="827" spans="2:9" s="326" customFormat="1">
      <c r="B827" s="324"/>
      <c r="C827" s="329"/>
      <c r="D827" s="324"/>
      <c r="E827" s="376"/>
      <c r="F827" s="324"/>
      <c r="G827" s="325"/>
      <c r="H827" s="325"/>
      <c r="I827" s="324"/>
    </row>
    <row r="828" spans="2:9" s="326" customFormat="1">
      <c r="B828" s="324"/>
      <c r="C828" s="402" t="s">
        <v>3870</v>
      </c>
      <c r="D828" s="403"/>
      <c r="E828" s="376"/>
      <c r="F828" s="324"/>
      <c r="G828" s="325"/>
      <c r="H828" s="325"/>
      <c r="I828" s="324"/>
    </row>
    <row r="829" spans="2:9" s="326" customFormat="1" ht="35.1" customHeight="1">
      <c r="B829" s="324"/>
      <c r="C829" s="345" t="s">
        <v>1985</v>
      </c>
      <c r="D829" s="332" t="s">
        <v>1986</v>
      </c>
      <c r="E829" s="376"/>
      <c r="F829" s="324"/>
      <c r="G829" s="325"/>
      <c r="H829" s="325"/>
      <c r="I829" s="324"/>
    </row>
    <row r="830" spans="2:9" s="326" customFormat="1">
      <c r="B830" s="324"/>
      <c r="C830" s="337" t="s">
        <v>2009</v>
      </c>
      <c r="D830" s="332" t="s">
        <v>633</v>
      </c>
      <c r="E830" s="376"/>
      <c r="F830" s="324"/>
      <c r="G830" s="325"/>
      <c r="H830" s="325"/>
      <c r="I830" s="324"/>
    </row>
    <row r="831" spans="2:9" s="326" customFormat="1">
      <c r="B831" s="324"/>
      <c r="C831" s="337" t="s">
        <v>2147</v>
      </c>
      <c r="D831" s="332" t="s">
        <v>3869</v>
      </c>
      <c r="E831" s="376"/>
      <c r="F831" s="324"/>
      <c r="G831" s="325"/>
      <c r="H831" s="325"/>
      <c r="I831" s="324"/>
    </row>
    <row r="832" spans="2:9" s="326" customFormat="1">
      <c r="B832" s="324"/>
      <c r="C832" s="337" t="s">
        <v>2086</v>
      </c>
      <c r="D832" s="332" t="s">
        <v>2087</v>
      </c>
      <c r="E832" s="376"/>
      <c r="F832" s="324"/>
      <c r="G832" s="325"/>
      <c r="H832" s="325"/>
      <c r="I832" s="324"/>
    </row>
    <row r="833" spans="3:8" s="324" customFormat="1">
      <c r="C833" s="337" t="s">
        <v>2991</v>
      </c>
      <c r="D833" s="332" t="s">
        <v>3863</v>
      </c>
      <c r="E833" s="376"/>
      <c r="G833" s="325"/>
      <c r="H833" s="325"/>
    </row>
    <row r="834" spans="3:8" s="324" customFormat="1">
      <c r="C834" s="344" t="s">
        <v>3868</v>
      </c>
      <c r="D834" s="332" t="s">
        <v>3863</v>
      </c>
      <c r="E834" s="376"/>
      <c r="G834" s="325"/>
      <c r="H834" s="325"/>
    </row>
    <row r="835" spans="3:8" s="324" customFormat="1">
      <c r="C835" s="337" t="s">
        <v>2175</v>
      </c>
      <c r="D835" s="332" t="s">
        <v>633</v>
      </c>
      <c r="E835" s="376"/>
      <c r="G835" s="325"/>
      <c r="H835" s="325"/>
    </row>
    <row r="836" spans="3:8" s="324" customFormat="1">
      <c r="C836" s="337" t="s">
        <v>2172</v>
      </c>
      <c r="D836" s="332" t="s">
        <v>129</v>
      </c>
      <c r="E836" s="376" t="s">
        <v>3867</v>
      </c>
      <c r="G836" s="325"/>
      <c r="H836" s="325"/>
    </row>
    <row r="837" spans="3:8" s="324" customFormat="1">
      <c r="C837" s="341" t="s">
        <v>2137</v>
      </c>
      <c r="D837" s="332" t="s">
        <v>3866</v>
      </c>
      <c r="E837" s="376"/>
      <c r="G837" s="325"/>
      <c r="H837" s="325"/>
    </row>
    <row r="838" spans="3:8" s="324" customFormat="1">
      <c r="C838" s="341" t="s">
        <v>1343</v>
      </c>
      <c r="D838" s="332" t="s">
        <v>132</v>
      </c>
      <c r="E838" s="376"/>
      <c r="G838" s="325"/>
      <c r="H838" s="325"/>
    </row>
    <row r="839" spans="3:8" s="324" customFormat="1">
      <c r="C839" s="341" t="s">
        <v>2149</v>
      </c>
      <c r="D839" s="332" t="s">
        <v>620</v>
      </c>
      <c r="E839" s="376"/>
      <c r="G839" s="325"/>
      <c r="H839" s="325"/>
    </row>
    <row r="840" spans="3:8" s="324" customFormat="1">
      <c r="C840" s="341" t="s">
        <v>2058</v>
      </c>
      <c r="D840" s="332" t="s">
        <v>620</v>
      </c>
      <c r="E840" s="376"/>
      <c r="G840" s="325"/>
      <c r="H840" s="325"/>
    </row>
    <row r="841" spans="3:8" s="324" customFormat="1">
      <c r="C841" s="341" t="s">
        <v>2166</v>
      </c>
      <c r="D841" s="332" t="s">
        <v>2087</v>
      </c>
      <c r="E841" s="376"/>
      <c r="G841" s="325"/>
      <c r="H841" s="325"/>
    </row>
    <row r="842" spans="3:8" s="324" customFormat="1">
      <c r="C842" s="341" t="s">
        <v>2068</v>
      </c>
      <c r="D842" s="332" t="s">
        <v>3866</v>
      </c>
      <c r="E842" s="376"/>
      <c r="G842" s="325"/>
      <c r="H842" s="325"/>
    </row>
    <row r="843" spans="3:8" s="324" customFormat="1">
      <c r="C843" s="341" t="s">
        <v>2074</v>
      </c>
      <c r="D843" s="332" t="s">
        <v>3865</v>
      </c>
      <c r="E843" s="376"/>
      <c r="G843" s="325"/>
      <c r="H843" s="325"/>
    </row>
    <row r="844" spans="3:8" s="324" customFormat="1">
      <c r="C844" s="341" t="s">
        <v>1708</v>
      </c>
      <c r="D844" s="332" t="s">
        <v>620</v>
      </c>
      <c r="E844" s="376"/>
      <c r="G844" s="325"/>
      <c r="H844" s="325"/>
    </row>
    <row r="845" spans="3:8" s="324" customFormat="1">
      <c r="C845" s="341" t="s">
        <v>2180</v>
      </c>
      <c r="D845" s="332" t="s">
        <v>2181</v>
      </c>
      <c r="E845" s="376"/>
      <c r="G845" s="325"/>
      <c r="H845" s="325"/>
    </row>
    <row r="846" spans="3:8" s="324" customFormat="1">
      <c r="C846" s="341" t="s">
        <v>2155</v>
      </c>
      <c r="D846" s="332" t="s">
        <v>3863</v>
      </c>
      <c r="E846" s="376"/>
      <c r="G846" s="325"/>
      <c r="H846" s="325"/>
    </row>
    <row r="847" spans="3:8" s="324" customFormat="1">
      <c r="C847" s="341" t="s">
        <v>2108</v>
      </c>
      <c r="D847" s="332" t="s">
        <v>620</v>
      </c>
      <c r="E847" s="376"/>
      <c r="G847" s="325"/>
      <c r="H847" s="325"/>
    </row>
    <row r="848" spans="3:8" s="324" customFormat="1">
      <c r="C848" s="341" t="s">
        <v>2145</v>
      </c>
      <c r="D848" s="332" t="s">
        <v>3862</v>
      </c>
      <c r="E848" s="376"/>
      <c r="G848" s="325"/>
      <c r="H848" s="325"/>
    </row>
    <row r="849" spans="2:9" s="326" customFormat="1">
      <c r="B849" s="324"/>
      <c r="C849" s="341" t="s">
        <v>2993</v>
      </c>
      <c r="D849" s="332" t="s">
        <v>3861</v>
      </c>
      <c r="E849" s="376"/>
      <c r="F849" s="324"/>
      <c r="G849" s="325"/>
      <c r="H849" s="325"/>
      <c r="I849" s="324"/>
    </row>
    <row r="850" spans="2:9" s="326" customFormat="1">
      <c r="B850" s="324"/>
      <c r="C850" s="341" t="s">
        <v>2163</v>
      </c>
      <c r="D850" s="340" t="s">
        <v>620</v>
      </c>
      <c r="E850" s="376"/>
      <c r="F850" s="324"/>
      <c r="G850" s="325"/>
      <c r="H850" s="325"/>
      <c r="I850" s="324"/>
    </row>
    <row r="851" spans="2:9" s="326" customFormat="1">
      <c r="B851" s="324"/>
      <c r="C851" s="341" t="s">
        <v>2120</v>
      </c>
      <c r="D851" s="340" t="s">
        <v>928</v>
      </c>
      <c r="E851" s="376"/>
      <c r="F851" s="324"/>
      <c r="G851" s="325"/>
      <c r="H851" s="325"/>
      <c r="I851" s="324"/>
    </row>
    <row r="852" spans="2:9" s="326" customFormat="1">
      <c r="B852" s="324"/>
      <c r="C852" s="341" t="s">
        <v>2187</v>
      </c>
      <c r="D852" s="340" t="s">
        <v>3860</v>
      </c>
      <c r="E852" s="376"/>
      <c r="F852" s="324"/>
      <c r="G852" s="325"/>
      <c r="H852" s="325"/>
      <c r="I852" s="324"/>
    </row>
    <row r="853" spans="2:9" s="326" customFormat="1">
      <c r="B853" s="324"/>
      <c r="C853" s="341" t="s">
        <v>2035</v>
      </c>
      <c r="D853" s="340" t="s">
        <v>3859</v>
      </c>
      <c r="E853" s="376"/>
      <c r="F853" s="324"/>
      <c r="G853" s="325"/>
      <c r="H853" s="325"/>
      <c r="I853" s="324"/>
    </row>
    <row r="854" spans="2:9" s="326" customFormat="1">
      <c r="B854" s="324"/>
      <c r="C854" s="342" t="s">
        <v>2192</v>
      </c>
      <c r="D854" s="332" t="s">
        <v>3858</v>
      </c>
      <c r="E854" s="376"/>
      <c r="F854" s="324"/>
      <c r="G854" s="325"/>
      <c r="H854" s="325"/>
      <c r="I854" s="324"/>
    </row>
    <row r="855" spans="2:9" s="326" customFormat="1">
      <c r="B855" s="324"/>
      <c r="C855" s="342" t="s">
        <v>2168</v>
      </c>
      <c r="D855" s="332" t="s">
        <v>3855</v>
      </c>
      <c r="E855" s="376"/>
      <c r="F855" s="324"/>
      <c r="G855" s="325"/>
      <c r="H855" s="325"/>
      <c r="I855" s="324"/>
    </row>
    <row r="856" spans="2:9" s="326" customFormat="1">
      <c r="B856" s="324"/>
      <c r="C856" s="342" t="s">
        <v>2158</v>
      </c>
      <c r="D856" s="332" t="s">
        <v>3857</v>
      </c>
      <c r="E856" s="376"/>
      <c r="F856" s="324"/>
      <c r="G856" s="325"/>
      <c r="H856" s="325"/>
      <c r="I856" s="324"/>
    </row>
    <row r="857" spans="2:9" s="326" customFormat="1">
      <c r="B857" s="324"/>
      <c r="C857" s="342" t="s">
        <v>2012</v>
      </c>
      <c r="D857" s="332" t="s">
        <v>612</v>
      </c>
      <c r="E857" s="376"/>
      <c r="F857" s="324"/>
      <c r="G857" s="325"/>
      <c r="H857" s="325"/>
      <c r="I857" s="324"/>
    </row>
    <row r="858" spans="2:9" s="326" customFormat="1">
      <c r="B858" s="324"/>
      <c r="C858" s="342" t="s">
        <v>2084</v>
      </c>
      <c r="D858" s="332" t="s">
        <v>2085</v>
      </c>
      <c r="E858" s="376"/>
      <c r="F858" s="324"/>
      <c r="G858" s="325"/>
      <c r="H858" s="325"/>
      <c r="I858" s="324"/>
    </row>
    <row r="859" spans="2:9" s="326" customFormat="1">
      <c r="B859" s="324"/>
      <c r="C859" s="342" t="s">
        <v>2059</v>
      </c>
      <c r="D859" s="332" t="s">
        <v>3856</v>
      </c>
      <c r="E859" s="376"/>
      <c r="F859" s="324"/>
      <c r="G859" s="325"/>
      <c r="H859" s="325"/>
      <c r="I859" s="324"/>
    </row>
    <row r="860" spans="2:9" s="326" customFormat="1">
      <c r="B860" s="324"/>
      <c r="C860" s="342" t="s">
        <v>2177</v>
      </c>
      <c r="D860" s="332" t="s">
        <v>3855</v>
      </c>
      <c r="E860" s="376"/>
      <c r="F860" s="324"/>
      <c r="G860" s="325"/>
      <c r="H860" s="325"/>
      <c r="I860" s="324"/>
    </row>
    <row r="861" spans="2:9" s="326" customFormat="1">
      <c r="B861" s="324"/>
      <c r="C861" s="342" t="s">
        <v>2106</v>
      </c>
      <c r="D861" s="332" t="s">
        <v>3855</v>
      </c>
      <c r="E861" s="376"/>
      <c r="F861" s="324"/>
      <c r="G861" s="325"/>
      <c r="H861" s="325"/>
      <c r="I861" s="324"/>
    </row>
    <row r="862" spans="2:9" s="326" customFormat="1">
      <c r="B862" s="324"/>
      <c r="C862" s="342" t="s">
        <v>2165</v>
      </c>
      <c r="D862" s="332" t="s">
        <v>3854</v>
      </c>
      <c r="E862" s="376"/>
      <c r="F862" s="324"/>
      <c r="G862" s="325"/>
      <c r="H862" s="325"/>
      <c r="I862" s="324"/>
    </row>
    <row r="863" spans="2:9" s="326" customFormat="1">
      <c r="B863" s="324"/>
      <c r="C863" s="342" t="s">
        <v>2055</v>
      </c>
      <c r="D863" s="332" t="s">
        <v>612</v>
      </c>
      <c r="E863" s="376"/>
      <c r="F863" s="324"/>
      <c r="G863" s="325"/>
      <c r="H863" s="325"/>
      <c r="I863" s="324"/>
    </row>
    <row r="864" spans="2:9" s="326" customFormat="1">
      <c r="B864" s="324"/>
      <c r="C864" s="342" t="s">
        <v>2010</v>
      </c>
      <c r="D864" s="332" t="s">
        <v>2011</v>
      </c>
      <c r="E864" s="376"/>
      <c r="F864" s="324"/>
      <c r="G864" s="325"/>
      <c r="H864" s="325"/>
      <c r="I864" s="324"/>
    </row>
    <row r="865" spans="2:9" s="326" customFormat="1">
      <c r="B865" s="324"/>
      <c r="C865" s="342" t="s">
        <v>2052</v>
      </c>
      <c r="D865" s="332" t="s">
        <v>2183</v>
      </c>
      <c r="E865" s="376"/>
      <c r="F865" s="324"/>
      <c r="G865" s="325"/>
      <c r="H865" s="325"/>
      <c r="I865" s="324"/>
    </row>
    <row r="866" spans="2:9" s="326" customFormat="1">
      <c r="B866" s="324"/>
      <c r="C866" s="342" t="s">
        <v>2992</v>
      </c>
      <c r="D866" s="332" t="s">
        <v>3853</v>
      </c>
      <c r="E866" s="376"/>
      <c r="F866" s="324"/>
      <c r="G866" s="325"/>
      <c r="H866" s="325"/>
      <c r="I866" s="324"/>
    </row>
    <row r="867" spans="2:9" s="326" customFormat="1">
      <c r="B867" s="324"/>
      <c r="C867" s="342" t="s">
        <v>2173</v>
      </c>
      <c r="D867" s="332" t="s">
        <v>3853</v>
      </c>
      <c r="E867" s="376"/>
      <c r="F867" s="324"/>
      <c r="G867" s="325"/>
      <c r="H867" s="325"/>
      <c r="I867" s="324"/>
    </row>
    <row r="868" spans="2:9" s="326" customFormat="1">
      <c r="B868" s="324"/>
      <c r="C868" s="342" t="s">
        <v>2110</v>
      </c>
      <c r="D868" s="332" t="s">
        <v>3852</v>
      </c>
      <c r="E868" s="376"/>
      <c r="F868" s="324"/>
      <c r="G868" s="325"/>
      <c r="H868" s="325"/>
      <c r="I868" s="324"/>
    </row>
    <row r="869" spans="2:9" s="326" customFormat="1">
      <c r="B869" s="324"/>
      <c r="C869" s="342" t="s">
        <v>2144</v>
      </c>
      <c r="D869" s="332" t="s">
        <v>2051</v>
      </c>
      <c r="E869" s="376"/>
      <c r="F869" s="324"/>
      <c r="G869" s="325"/>
      <c r="H869" s="325"/>
      <c r="I869" s="324"/>
    </row>
    <row r="870" spans="2:9" s="326" customFormat="1">
      <c r="B870" s="324"/>
      <c r="C870" s="342" t="s">
        <v>1344</v>
      </c>
      <c r="D870" s="332" t="s">
        <v>2051</v>
      </c>
      <c r="E870" s="376"/>
      <c r="F870" s="324"/>
      <c r="G870" s="325"/>
      <c r="H870" s="325"/>
      <c r="I870" s="324"/>
    </row>
    <row r="871" spans="2:9" s="326" customFormat="1">
      <c r="B871" s="324"/>
      <c r="C871" s="342" t="s">
        <v>2150</v>
      </c>
      <c r="D871" s="332" t="s">
        <v>1339</v>
      </c>
      <c r="E871" s="376"/>
      <c r="F871" s="324"/>
      <c r="G871" s="325"/>
      <c r="H871" s="325"/>
      <c r="I871" s="324"/>
    </row>
    <row r="872" spans="2:9" s="326" customFormat="1">
      <c r="B872" s="324"/>
      <c r="C872" s="342" t="s">
        <v>2060</v>
      </c>
      <c r="D872" s="332" t="s">
        <v>3849</v>
      </c>
      <c r="E872" s="376"/>
      <c r="F872" s="324"/>
      <c r="G872" s="325"/>
      <c r="H872" s="325"/>
      <c r="I872" s="324"/>
    </row>
    <row r="873" spans="2:9" s="326" customFormat="1">
      <c r="B873" s="324"/>
      <c r="C873" s="342" t="s">
        <v>2167</v>
      </c>
      <c r="D873" s="332" t="s">
        <v>3849</v>
      </c>
      <c r="E873" s="376"/>
      <c r="F873" s="324"/>
      <c r="G873" s="325"/>
      <c r="H873" s="325"/>
      <c r="I873" s="324"/>
    </row>
    <row r="874" spans="2:9" s="326" customFormat="1">
      <c r="B874" s="324"/>
      <c r="C874" s="342" t="s">
        <v>2050</v>
      </c>
      <c r="D874" s="332" t="s">
        <v>2051</v>
      </c>
      <c r="E874" s="376"/>
      <c r="F874" s="324"/>
      <c r="G874" s="325"/>
      <c r="H874" s="325"/>
      <c r="I874" s="324"/>
    </row>
    <row r="875" spans="2:9" s="326" customFormat="1">
      <c r="B875" s="324"/>
      <c r="C875" s="342" t="s">
        <v>2075</v>
      </c>
      <c r="D875" s="332" t="s">
        <v>3849</v>
      </c>
      <c r="E875" s="376"/>
      <c r="F875" s="324"/>
      <c r="G875" s="325"/>
      <c r="H875" s="325"/>
      <c r="I875" s="324"/>
    </row>
    <row r="876" spans="2:9" s="326" customFormat="1">
      <c r="B876" s="324"/>
      <c r="C876" s="342" t="s">
        <v>2062</v>
      </c>
      <c r="D876" s="332" t="s">
        <v>3849</v>
      </c>
      <c r="E876" s="376"/>
      <c r="F876" s="324"/>
      <c r="G876" s="325"/>
      <c r="H876" s="325"/>
      <c r="I876" s="324"/>
    </row>
    <row r="877" spans="2:9" s="326" customFormat="1">
      <c r="B877" s="324"/>
      <c r="C877" s="342" t="s">
        <v>2182</v>
      </c>
      <c r="D877" s="332" t="s">
        <v>2183</v>
      </c>
      <c r="E877" s="376"/>
      <c r="F877" s="324"/>
      <c r="G877" s="325"/>
      <c r="H877" s="325"/>
      <c r="I877" s="324"/>
    </row>
    <row r="878" spans="2:9" s="326" customFormat="1">
      <c r="B878" s="324"/>
      <c r="C878" s="342" t="s">
        <v>2098</v>
      </c>
      <c r="D878" s="332" t="s">
        <v>3851</v>
      </c>
      <c r="E878" s="376"/>
      <c r="F878" s="324"/>
      <c r="G878" s="325"/>
      <c r="H878" s="325"/>
      <c r="I878" s="324"/>
    </row>
    <row r="879" spans="2:9" s="326" customFormat="1">
      <c r="B879" s="324"/>
      <c r="C879" s="342" t="s">
        <v>2157</v>
      </c>
      <c r="D879" s="332" t="s">
        <v>3849</v>
      </c>
      <c r="E879" s="376"/>
      <c r="F879" s="324"/>
      <c r="G879" s="325"/>
      <c r="H879" s="325"/>
      <c r="I879" s="324"/>
    </row>
    <row r="880" spans="2:9" s="326" customFormat="1">
      <c r="B880" s="324"/>
      <c r="C880" s="342" t="s">
        <v>2164</v>
      </c>
      <c r="D880" s="332" t="s">
        <v>3849</v>
      </c>
      <c r="E880" s="376"/>
      <c r="F880" s="324"/>
      <c r="G880" s="325"/>
      <c r="H880" s="325"/>
      <c r="I880" s="324"/>
    </row>
    <row r="881" spans="2:9" s="326" customFormat="1">
      <c r="B881" s="324"/>
      <c r="C881" s="342" t="s">
        <v>2193</v>
      </c>
      <c r="D881" s="332" t="s">
        <v>3850</v>
      </c>
      <c r="E881" s="376"/>
      <c r="F881" s="324"/>
      <c r="G881" s="325"/>
      <c r="H881" s="325"/>
      <c r="I881" s="324"/>
    </row>
    <row r="882" spans="2:9" s="326" customFormat="1">
      <c r="B882" s="324"/>
      <c r="C882" s="342" t="s">
        <v>2994</v>
      </c>
      <c r="D882" s="332" t="s">
        <v>3849</v>
      </c>
      <c r="E882" s="376"/>
      <c r="F882" s="324"/>
      <c r="G882" s="325"/>
      <c r="H882" s="325"/>
      <c r="I882" s="324"/>
    </row>
    <row r="883" spans="2:9" s="326" customFormat="1">
      <c r="B883" s="324"/>
      <c r="C883" s="341" t="s">
        <v>2121</v>
      </c>
      <c r="D883" s="340" t="s">
        <v>2011</v>
      </c>
      <c r="E883" s="376"/>
      <c r="F883" s="324"/>
      <c r="G883" s="325"/>
      <c r="H883" s="325"/>
      <c r="I883" s="324"/>
    </row>
    <row r="884" spans="2:9" s="326" customFormat="1">
      <c r="B884" s="324"/>
      <c r="C884" s="341" t="s">
        <v>2124</v>
      </c>
      <c r="D884" s="340" t="s">
        <v>3849</v>
      </c>
      <c r="E884" s="376"/>
      <c r="F884" s="324"/>
      <c r="G884" s="325"/>
      <c r="H884" s="325"/>
      <c r="I884" s="324"/>
    </row>
    <row r="885" spans="2:9" s="326" customFormat="1">
      <c r="B885" s="324"/>
      <c r="C885" s="341" t="s">
        <v>2188</v>
      </c>
      <c r="D885" s="340" t="s">
        <v>120</v>
      </c>
      <c r="E885" s="376"/>
      <c r="F885" s="324"/>
      <c r="G885" s="325"/>
      <c r="H885" s="325"/>
      <c r="I885" s="324"/>
    </row>
    <row r="886" spans="2:9" s="326" customFormat="1">
      <c r="B886" s="324"/>
      <c r="C886" s="337" t="s">
        <v>2036</v>
      </c>
      <c r="D886" s="335" t="s">
        <v>2011</v>
      </c>
      <c r="E886" s="376"/>
      <c r="F886" s="324"/>
      <c r="G886" s="325"/>
      <c r="H886" s="325"/>
      <c r="I886" s="324"/>
    </row>
    <row r="887" spans="2:9" s="326" customFormat="1">
      <c r="B887" s="324"/>
      <c r="C887" s="338" t="s">
        <v>2176</v>
      </c>
      <c r="D887" s="330" t="s">
        <v>3848</v>
      </c>
      <c r="E887" s="376"/>
      <c r="F887" s="324"/>
      <c r="G887" s="325"/>
      <c r="H887" s="325"/>
      <c r="I887" s="324"/>
    </row>
    <row r="888" spans="2:9" s="326" customFormat="1" ht="35.1" customHeight="1">
      <c r="B888" s="324"/>
      <c r="C888" s="338" t="s">
        <v>1993</v>
      </c>
      <c r="D888" s="330" t="s">
        <v>3847</v>
      </c>
      <c r="E888" s="376"/>
      <c r="F888" s="324"/>
      <c r="G888" s="325"/>
      <c r="H888" s="325"/>
      <c r="I888" s="324"/>
    </row>
    <row r="889" spans="2:9" s="326" customFormat="1" ht="35.1" customHeight="1">
      <c r="B889" s="324"/>
      <c r="C889" s="338" t="s">
        <v>2016</v>
      </c>
      <c r="D889" s="330" t="s">
        <v>570</v>
      </c>
      <c r="E889" s="376"/>
      <c r="F889" s="324"/>
      <c r="G889" s="325"/>
      <c r="H889" s="325"/>
      <c r="I889" s="324"/>
    </row>
    <row r="890" spans="2:9" s="326" customFormat="1" ht="35.1" customHeight="1">
      <c r="B890" s="324"/>
      <c r="C890" s="338" t="s">
        <v>1520</v>
      </c>
      <c r="D890" s="330" t="s">
        <v>3846</v>
      </c>
      <c r="E890" s="376"/>
      <c r="F890" s="324"/>
      <c r="G890" s="325"/>
      <c r="H890" s="325"/>
      <c r="I890" s="324"/>
    </row>
    <row r="891" spans="2:9" s="326" customFormat="1" ht="35.1" customHeight="1">
      <c r="B891" s="324"/>
      <c r="C891" s="338" t="s">
        <v>2003</v>
      </c>
      <c r="D891" s="330" t="s">
        <v>3846</v>
      </c>
      <c r="E891" s="376"/>
      <c r="F891" s="324"/>
      <c r="G891" s="325"/>
      <c r="H891" s="325"/>
      <c r="I891" s="324"/>
    </row>
    <row r="892" spans="2:9" s="326" customFormat="1" ht="35.1" customHeight="1">
      <c r="B892" s="324"/>
      <c r="C892" s="338" t="s">
        <v>2001</v>
      </c>
      <c r="D892" s="330" t="s">
        <v>3846</v>
      </c>
      <c r="E892" s="376"/>
      <c r="F892" s="324"/>
      <c r="G892" s="325"/>
      <c r="H892" s="325"/>
      <c r="I892" s="324"/>
    </row>
    <row r="893" spans="2:9" s="326" customFormat="1" ht="35.1" customHeight="1">
      <c r="B893" s="324"/>
      <c r="C893" s="338" t="s">
        <v>2014</v>
      </c>
      <c r="D893" s="330" t="s">
        <v>1306</v>
      </c>
      <c r="E893" s="376"/>
      <c r="F893" s="324"/>
      <c r="G893" s="325"/>
      <c r="H893" s="325"/>
      <c r="I893" s="324"/>
    </row>
    <row r="894" spans="2:9" s="326" customFormat="1" ht="35.1" customHeight="1">
      <c r="B894" s="324"/>
      <c r="C894" s="338" t="s">
        <v>2092</v>
      </c>
      <c r="D894" s="330" t="s">
        <v>1306</v>
      </c>
      <c r="E894" s="376"/>
      <c r="F894" s="324"/>
      <c r="G894" s="325"/>
      <c r="H894" s="325"/>
      <c r="I894" s="324"/>
    </row>
    <row r="895" spans="2:9" s="326" customFormat="1" ht="35.1" customHeight="1">
      <c r="B895" s="324"/>
      <c r="C895" s="338" t="s">
        <v>2020</v>
      </c>
      <c r="D895" s="330" t="s">
        <v>1306</v>
      </c>
      <c r="E895" s="376"/>
      <c r="F895" s="324"/>
      <c r="G895" s="325"/>
      <c r="H895" s="325"/>
      <c r="I895" s="324"/>
    </row>
    <row r="896" spans="2:9" s="326" customFormat="1" ht="35.1" customHeight="1">
      <c r="B896" s="324"/>
      <c r="C896" s="338" t="s">
        <v>2241</v>
      </c>
      <c r="D896" s="330" t="s">
        <v>1306</v>
      </c>
      <c r="E896" s="376"/>
      <c r="F896" s="324"/>
      <c r="G896" s="325"/>
      <c r="H896" s="325"/>
      <c r="I896" s="324"/>
    </row>
    <row r="897" spans="2:9" s="326" customFormat="1" ht="35.1" customHeight="1">
      <c r="B897" s="324"/>
      <c r="C897" s="338" t="s">
        <v>2242</v>
      </c>
      <c r="D897" s="330" t="s">
        <v>1306</v>
      </c>
      <c r="E897" s="376"/>
      <c r="F897" s="324"/>
      <c r="G897" s="325"/>
      <c r="H897" s="325"/>
      <c r="I897" s="324"/>
    </row>
    <row r="898" spans="2:9" s="326" customFormat="1" ht="35.1" customHeight="1">
      <c r="B898" s="324"/>
      <c r="C898" s="338" t="s">
        <v>2243</v>
      </c>
      <c r="D898" s="330" t="s">
        <v>1306</v>
      </c>
      <c r="E898" s="376"/>
      <c r="F898" s="324"/>
      <c r="G898" s="325"/>
      <c r="H898" s="325"/>
      <c r="I898" s="324"/>
    </row>
    <row r="899" spans="2:9" s="326" customFormat="1" ht="35.1" customHeight="1">
      <c r="B899" s="324"/>
      <c r="C899" s="338" t="s">
        <v>2244</v>
      </c>
      <c r="D899" s="330" t="s">
        <v>1306</v>
      </c>
      <c r="E899" s="376"/>
      <c r="F899" s="324"/>
      <c r="G899" s="325"/>
      <c r="H899" s="325"/>
      <c r="I899" s="324"/>
    </row>
    <row r="900" spans="2:9" s="326" customFormat="1" ht="35.1" customHeight="1">
      <c r="B900" s="324"/>
      <c r="C900" s="338" t="s">
        <v>2245</v>
      </c>
      <c r="D900" s="330" t="s">
        <v>1306</v>
      </c>
      <c r="E900" s="376"/>
      <c r="F900" s="324"/>
      <c r="G900" s="325"/>
      <c r="H900" s="325"/>
      <c r="I900" s="324"/>
    </row>
    <row r="901" spans="2:9" s="326" customFormat="1" ht="35.1" customHeight="1">
      <c r="B901" s="324"/>
      <c r="C901" s="338" t="s">
        <v>2246</v>
      </c>
      <c r="D901" s="330" t="s">
        <v>1306</v>
      </c>
      <c r="E901" s="376"/>
      <c r="F901" s="324"/>
      <c r="G901" s="325"/>
      <c r="H901" s="325"/>
      <c r="I901" s="324"/>
    </row>
    <row r="902" spans="2:9" s="326" customFormat="1" ht="35.1" customHeight="1">
      <c r="B902" s="324"/>
      <c r="C902" s="338" t="s">
        <v>2247</v>
      </c>
      <c r="D902" s="330" t="s">
        <v>1306</v>
      </c>
      <c r="E902" s="376"/>
      <c r="F902" s="324"/>
      <c r="G902" s="325"/>
      <c r="H902" s="325"/>
      <c r="I902" s="324"/>
    </row>
    <row r="903" spans="2:9" s="326" customFormat="1" ht="35.1" customHeight="1">
      <c r="B903" s="324"/>
      <c r="C903" s="338" t="s">
        <v>2248</v>
      </c>
      <c r="D903" s="330" t="s">
        <v>1306</v>
      </c>
      <c r="E903" s="376"/>
      <c r="F903" s="324"/>
      <c r="G903" s="325"/>
      <c r="H903" s="325"/>
      <c r="I903" s="324"/>
    </row>
    <row r="904" spans="2:9" s="326" customFormat="1" ht="35.1" customHeight="1">
      <c r="B904" s="324"/>
      <c r="C904" s="338" t="s">
        <v>2134</v>
      </c>
      <c r="D904" s="330" t="s">
        <v>1306</v>
      </c>
      <c r="E904" s="376"/>
      <c r="F904" s="324"/>
      <c r="G904" s="325"/>
      <c r="H904" s="325"/>
      <c r="I904" s="324"/>
    </row>
    <row r="905" spans="2:9" s="326" customFormat="1" ht="35.1" customHeight="1">
      <c r="B905" s="324"/>
      <c r="C905" s="338" t="s">
        <v>2249</v>
      </c>
      <c r="D905" s="330" t="s">
        <v>1306</v>
      </c>
      <c r="E905" s="376"/>
      <c r="F905" s="324"/>
      <c r="G905" s="325"/>
      <c r="H905" s="325"/>
      <c r="I905" s="324"/>
    </row>
    <row r="906" spans="2:9" s="326" customFormat="1" ht="35.1" customHeight="1">
      <c r="B906" s="324"/>
      <c r="C906" s="338" t="s">
        <v>2250</v>
      </c>
      <c r="D906" s="330" t="s">
        <v>1306</v>
      </c>
      <c r="E906" s="376"/>
      <c r="F906" s="324"/>
      <c r="G906" s="325"/>
      <c r="H906" s="325"/>
      <c r="I906" s="324"/>
    </row>
    <row r="907" spans="2:9" s="326" customFormat="1" ht="35.1" customHeight="1">
      <c r="B907" s="324"/>
      <c r="C907" s="338" t="s">
        <v>2251</v>
      </c>
      <c r="D907" s="330" t="s">
        <v>1306</v>
      </c>
      <c r="E907" s="376"/>
      <c r="F907" s="324"/>
      <c r="G907" s="325"/>
      <c r="H907" s="325"/>
      <c r="I907" s="324"/>
    </row>
    <row r="908" spans="2:9" s="326" customFormat="1" ht="35.1" customHeight="1">
      <c r="B908" s="324"/>
      <c r="C908" s="338" t="s">
        <v>2252</v>
      </c>
      <c r="D908" s="330" t="s">
        <v>1306</v>
      </c>
      <c r="E908" s="376"/>
      <c r="F908" s="324"/>
      <c r="G908" s="325"/>
      <c r="H908" s="325"/>
      <c r="I908" s="324"/>
    </row>
    <row r="909" spans="2:9" s="326" customFormat="1" ht="35.1" customHeight="1">
      <c r="B909" s="324"/>
      <c r="C909" s="338" t="s">
        <v>2253</v>
      </c>
      <c r="D909" s="330" t="s">
        <v>1306</v>
      </c>
      <c r="E909" s="376"/>
      <c r="F909" s="324"/>
      <c r="G909" s="325"/>
      <c r="H909" s="325"/>
      <c r="I909" s="324"/>
    </row>
    <row r="910" spans="2:9" s="326" customFormat="1" ht="35.1" customHeight="1">
      <c r="B910" s="324"/>
      <c r="C910" s="338" t="s">
        <v>2254</v>
      </c>
      <c r="D910" s="330" t="s">
        <v>1306</v>
      </c>
      <c r="E910" s="376"/>
      <c r="F910" s="324"/>
      <c r="G910" s="325"/>
      <c r="H910" s="325"/>
      <c r="I910" s="324"/>
    </row>
    <row r="911" spans="2:9" s="326" customFormat="1" ht="35.1" customHeight="1">
      <c r="B911" s="324"/>
      <c r="C911" s="338" t="s">
        <v>2255</v>
      </c>
      <c r="D911" s="330" t="s">
        <v>1306</v>
      </c>
      <c r="E911" s="376"/>
      <c r="F911" s="324"/>
      <c r="G911" s="325"/>
      <c r="H911" s="325"/>
      <c r="I911" s="324"/>
    </row>
    <row r="912" spans="2:9" s="326" customFormat="1" ht="35.1" customHeight="1">
      <c r="B912" s="324"/>
      <c r="C912" s="338" t="s">
        <v>2256</v>
      </c>
      <c r="D912" s="330" t="s">
        <v>1306</v>
      </c>
      <c r="E912" s="376"/>
      <c r="F912" s="324"/>
      <c r="G912" s="325"/>
      <c r="H912" s="325"/>
      <c r="I912" s="324"/>
    </row>
    <row r="913" spans="2:9" s="326" customFormat="1" ht="35.1" customHeight="1">
      <c r="B913" s="324"/>
      <c r="C913" s="338" t="s">
        <v>2257</v>
      </c>
      <c r="D913" s="330" t="s">
        <v>1306</v>
      </c>
      <c r="E913" s="376"/>
      <c r="F913" s="324"/>
      <c r="G913" s="325"/>
      <c r="H913" s="325"/>
      <c r="I913" s="324"/>
    </row>
    <row r="914" spans="2:9" s="326" customFormat="1" ht="35.1" customHeight="1">
      <c r="B914" s="324"/>
      <c r="C914" s="338" t="s">
        <v>2258</v>
      </c>
      <c r="D914" s="330" t="s">
        <v>1306</v>
      </c>
      <c r="E914" s="376"/>
      <c r="F914" s="324"/>
      <c r="G914" s="325"/>
      <c r="H914" s="325"/>
      <c r="I914" s="324"/>
    </row>
    <row r="915" spans="2:9" s="326" customFormat="1" ht="35.1" customHeight="1">
      <c r="B915" s="324"/>
      <c r="C915" s="338" t="s">
        <v>2259</v>
      </c>
      <c r="D915" s="330" t="s">
        <v>1306</v>
      </c>
      <c r="E915" s="376"/>
      <c r="F915" s="324"/>
      <c r="G915" s="325"/>
      <c r="H915" s="325"/>
      <c r="I915" s="324"/>
    </row>
    <row r="916" spans="2:9" s="326" customFormat="1" ht="35.1" customHeight="1">
      <c r="B916" s="324"/>
      <c r="C916" s="338" t="s">
        <v>2260</v>
      </c>
      <c r="D916" s="330" t="s">
        <v>1306</v>
      </c>
      <c r="E916" s="376"/>
      <c r="F916" s="324"/>
      <c r="G916" s="325"/>
      <c r="H916" s="325"/>
      <c r="I916" s="324"/>
    </row>
    <row r="917" spans="2:9" s="326" customFormat="1" ht="35.1" customHeight="1">
      <c r="B917" s="324"/>
      <c r="C917" s="338" t="s">
        <v>2261</v>
      </c>
      <c r="D917" s="330" t="s">
        <v>1306</v>
      </c>
      <c r="E917" s="376"/>
      <c r="F917" s="324"/>
      <c r="G917" s="325"/>
      <c r="H917" s="325"/>
      <c r="I917" s="324"/>
    </row>
    <row r="918" spans="2:9" s="326" customFormat="1" ht="35.1" customHeight="1">
      <c r="B918" s="324"/>
      <c r="C918" s="338" t="s">
        <v>2262</v>
      </c>
      <c r="D918" s="330" t="s">
        <v>1306</v>
      </c>
      <c r="E918" s="376"/>
      <c r="F918" s="324"/>
      <c r="G918" s="325"/>
      <c r="H918" s="325"/>
      <c r="I918" s="324"/>
    </row>
    <row r="919" spans="2:9" s="326" customFormat="1" ht="35.1" customHeight="1">
      <c r="B919" s="324"/>
      <c r="C919" s="337" t="s">
        <v>2263</v>
      </c>
      <c r="D919" s="335" t="s">
        <v>1306</v>
      </c>
      <c r="E919" s="376"/>
      <c r="F919" s="324"/>
      <c r="G919" s="325"/>
      <c r="H919" s="325"/>
      <c r="I919" s="324"/>
    </row>
    <row r="920" spans="2:9" s="326" customFormat="1" ht="35.1" customHeight="1">
      <c r="B920" s="324"/>
      <c r="C920" s="337" t="s">
        <v>2264</v>
      </c>
      <c r="D920" s="335" t="s">
        <v>1306</v>
      </c>
      <c r="E920" s="376"/>
      <c r="F920" s="324"/>
      <c r="G920" s="325"/>
      <c r="H920" s="325"/>
      <c r="I920" s="324"/>
    </row>
    <row r="921" spans="2:9" s="326" customFormat="1" ht="35.1" customHeight="1">
      <c r="B921" s="324"/>
      <c r="C921" s="337" t="s">
        <v>2265</v>
      </c>
      <c r="D921" s="335" t="s">
        <v>1306</v>
      </c>
      <c r="E921" s="376"/>
      <c r="F921" s="324"/>
      <c r="G921" s="325"/>
      <c r="H921" s="325"/>
      <c r="I921" s="324"/>
    </row>
    <row r="922" spans="2:9" s="326" customFormat="1" ht="35.1" customHeight="1">
      <c r="B922" s="324"/>
      <c r="C922" s="337" t="s">
        <v>2266</v>
      </c>
      <c r="D922" s="335" t="s">
        <v>1306</v>
      </c>
      <c r="E922" s="376"/>
      <c r="F922" s="324"/>
      <c r="G922" s="325"/>
      <c r="H922" s="325"/>
      <c r="I922" s="324"/>
    </row>
    <row r="923" spans="2:9" s="326" customFormat="1" ht="35.1" customHeight="1">
      <c r="B923" s="324"/>
      <c r="C923" s="337" t="s">
        <v>2267</v>
      </c>
      <c r="D923" s="335" t="s">
        <v>1306</v>
      </c>
      <c r="E923" s="376"/>
      <c r="F923" s="324"/>
      <c r="G923" s="325"/>
      <c r="H923" s="325"/>
      <c r="I923" s="324"/>
    </row>
    <row r="924" spans="2:9" s="326" customFormat="1" ht="35.1" customHeight="1">
      <c r="B924" s="324"/>
      <c r="C924" s="337" t="s">
        <v>2268</v>
      </c>
      <c r="D924" s="335" t="s">
        <v>1306</v>
      </c>
      <c r="E924" s="376"/>
      <c r="F924" s="324"/>
      <c r="G924" s="325"/>
      <c r="H924" s="325"/>
      <c r="I924" s="324"/>
    </row>
    <row r="925" spans="2:9" s="326" customFormat="1" ht="35.1" customHeight="1">
      <c r="B925" s="324"/>
      <c r="C925" s="337" t="s">
        <v>2269</v>
      </c>
      <c r="D925" s="335" t="s">
        <v>1306</v>
      </c>
      <c r="E925" s="376"/>
      <c r="F925" s="324"/>
      <c r="G925" s="325"/>
      <c r="H925" s="325"/>
      <c r="I925" s="324"/>
    </row>
    <row r="926" spans="2:9" s="326" customFormat="1" ht="35.1" customHeight="1">
      <c r="B926" s="324"/>
      <c r="C926" s="338" t="s">
        <v>1519</v>
      </c>
      <c r="D926" s="330" t="s">
        <v>3845</v>
      </c>
      <c r="E926" s="376"/>
      <c r="F926" s="324"/>
      <c r="G926" s="325"/>
      <c r="H926" s="325"/>
      <c r="I926" s="324"/>
    </row>
    <row r="927" spans="2:9" s="326" customFormat="1" ht="35.1" customHeight="1">
      <c r="B927" s="324"/>
      <c r="C927" s="338" t="s">
        <v>2284</v>
      </c>
      <c r="D927" s="330" t="s">
        <v>3845</v>
      </c>
      <c r="E927" s="376"/>
      <c r="F927" s="324"/>
      <c r="G927" s="325"/>
      <c r="H927" s="325"/>
      <c r="I927" s="324"/>
    </row>
    <row r="928" spans="2:9" s="326" customFormat="1" ht="35.1" customHeight="1">
      <c r="B928" s="324"/>
      <c r="C928" s="338" t="s">
        <v>2018</v>
      </c>
      <c r="D928" s="330" t="s">
        <v>3845</v>
      </c>
      <c r="E928" s="376"/>
      <c r="F928" s="324"/>
      <c r="G928" s="325"/>
      <c r="H928" s="325"/>
      <c r="I928" s="324"/>
    </row>
    <row r="929" spans="2:9" s="326" customFormat="1" ht="35.1" customHeight="1">
      <c r="B929" s="324"/>
      <c r="C929" s="338" t="s">
        <v>2285</v>
      </c>
      <c r="D929" s="330" t="s">
        <v>3845</v>
      </c>
      <c r="E929" s="376"/>
      <c r="F929" s="324"/>
      <c r="G929" s="325"/>
      <c r="H929" s="325"/>
      <c r="I929" s="324"/>
    </row>
    <row r="930" spans="2:9" s="326" customFormat="1" ht="35.1" customHeight="1">
      <c r="B930" s="324"/>
      <c r="C930" s="338" t="s">
        <v>2286</v>
      </c>
      <c r="D930" s="330" t="s">
        <v>3845</v>
      </c>
      <c r="E930" s="376"/>
      <c r="F930" s="324"/>
      <c r="G930" s="325"/>
      <c r="H930" s="325"/>
      <c r="I930" s="324"/>
    </row>
    <row r="931" spans="2:9" s="326" customFormat="1" ht="35.1" customHeight="1">
      <c r="B931" s="324"/>
      <c r="C931" s="338" t="s">
        <v>2287</v>
      </c>
      <c r="D931" s="330" t="s">
        <v>3845</v>
      </c>
      <c r="E931" s="376"/>
      <c r="F931" s="324"/>
      <c r="G931" s="325"/>
      <c r="H931" s="325"/>
      <c r="I931" s="324"/>
    </row>
    <row r="932" spans="2:9" s="326" customFormat="1" ht="35.1" customHeight="1">
      <c r="B932" s="324"/>
      <c r="C932" s="338" t="s">
        <v>2288</v>
      </c>
      <c r="D932" s="330" t="s">
        <v>3845</v>
      </c>
      <c r="E932" s="376"/>
      <c r="F932" s="324"/>
      <c r="G932" s="325"/>
      <c r="H932" s="325"/>
      <c r="I932" s="324"/>
    </row>
    <row r="933" spans="2:9" s="326" customFormat="1" ht="35.1" customHeight="1">
      <c r="B933" s="324"/>
      <c r="C933" s="338" t="s">
        <v>2289</v>
      </c>
      <c r="D933" s="330" t="s">
        <v>3845</v>
      </c>
      <c r="E933" s="376"/>
      <c r="F933" s="324"/>
      <c r="G933" s="325"/>
      <c r="H933" s="325"/>
      <c r="I933" s="324"/>
    </row>
    <row r="934" spans="2:9" s="326" customFormat="1" ht="35.1" customHeight="1">
      <c r="B934" s="324"/>
      <c r="C934" s="338" t="s">
        <v>2290</v>
      </c>
      <c r="D934" s="330" t="s">
        <v>3845</v>
      </c>
      <c r="E934" s="376"/>
      <c r="F934" s="324"/>
      <c r="G934" s="325"/>
      <c r="H934" s="325"/>
      <c r="I934" s="324"/>
    </row>
    <row r="935" spans="2:9" s="326" customFormat="1" ht="35.1" customHeight="1">
      <c r="B935" s="324"/>
      <c r="C935" s="338" t="s">
        <v>2291</v>
      </c>
      <c r="D935" s="330" t="s">
        <v>3845</v>
      </c>
      <c r="E935" s="376"/>
      <c r="F935" s="324"/>
      <c r="G935" s="325"/>
      <c r="H935" s="325"/>
      <c r="I935" s="324"/>
    </row>
    <row r="936" spans="2:9" s="326" customFormat="1" ht="35.1" customHeight="1">
      <c r="B936" s="324"/>
      <c r="C936" s="338" t="s">
        <v>2292</v>
      </c>
      <c r="D936" s="330" t="s">
        <v>3845</v>
      </c>
      <c r="E936" s="376"/>
      <c r="F936" s="324"/>
      <c r="G936" s="325"/>
      <c r="H936" s="325"/>
      <c r="I936" s="324"/>
    </row>
    <row r="937" spans="2:9" s="326" customFormat="1" ht="35.1" customHeight="1">
      <c r="B937" s="324"/>
      <c r="C937" s="338" t="s">
        <v>2293</v>
      </c>
      <c r="D937" s="330" t="s">
        <v>3845</v>
      </c>
      <c r="E937" s="376"/>
      <c r="F937" s="324"/>
      <c r="G937" s="325"/>
      <c r="H937" s="325"/>
      <c r="I937" s="324"/>
    </row>
    <row r="938" spans="2:9" s="326" customFormat="1" ht="35.1" customHeight="1">
      <c r="B938" s="324"/>
      <c r="C938" s="338" t="s">
        <v>2294</v>
      </c>
      <c r="D938" s="330" t="s">
        <v>3845</v>
      </c>
      <c r="E938" s="376"/>
      <c r="F938" s="324"/>
      <c r="G938" s="325"/>
      <c r="H938" s="325"/>
      <c r="I938" s="324"/>
    </row>
    <row r="939" spans="2:9" s="326" customFormat="1" ht="35.1" customHeight="1">
      <c r="B939" s="324"/>
      <c r="C939" s="338" t="s">
        <v>2295</v>
      </c>
      <c r="D939" s="330" t="s">
        <v>3845</v>
      </c>
      <c r="E939" s="376"/>
      <c r="F939" s="324"/>
      <c r="G939" s="325"/>
      <c r="H939" s="325"/>
      <c r="I939" s="324"/>
    </row>
    <row r="940" spans="2:9" s="326" customFormat="1" ht="35.1" customHeight="1">
      <c r="B940" s="324"/>
      <c r="C940" s="338" t="s">
        <v>2296</v>
      </c>
      <c r="D940" s="330" t="s">
        <v>3845</v>
      </c>
      <c r="E940" s="376"/>
      <c r="F940" s="324"/>
      <c r="G940" s="325"/>
      <c r="H940" s="325"/>
      <c r="I940" s="324"/>
    </row>
    <row r="941" spans="2:9" s="326" customFormat="1" ht="35.1" customHeight="1">
      <c r="B941" s="324"/>
      <c r="C941" s="338" t="s">
        <v>2297</v>
      </c>
      <c r="D941" s="330" t="s">
        <v>3845</v>
      </c>
      <c r="E941" s="376"/>
      <c r="F941" s="324"/>
      <c r="G941" s="325"/>
      <c r="H941" s="325"/>
      <c r="I941" s="324"/>
    </row>
    <row r="942" spans="2:9" s="326" customFormat="1" ht="35.1" customHeight="1">
      <c r="B942" s="324"/>
      <c r="C942" s="338" t="s">
        <v>2298</v>
      </c>
      <c r="D942" s="330" t="s">
        <v>3845</v>
      </c>
      <c r="E942" s="376"/>
      <c r="F942" s="324"/>
      <c r="G942" s="325"/>
      <c r="H942" s="325"/>
      <c r="I942" s="324"/>
    </row>
    <row r="943" spans="2:9" s="326" customFormat="1" ht="35.1" customHeight="1">
      <c r="B943" s="324"/>
      <c r="C943" s="338" t="s">
        <v>2299</v>
      </c>
      <c r="D943" s="330" t="s">
        <v>3845</v>
      </c>
      <c r="E943" s="376"/>
      <c r="F943" s="324"/>
      <c r="G943" s="325"/>
      <c r="H943" s="325"/>
      <c r="I943" s="324"/>
    </row>
    <row r="944" spans="2:9" s="326" customFormat="1" ht="35.1" customHeight="1">
      <c r="B944" s="324"/>
      <c r="C944" s="338" t="s">
        <v>2300</v>
      </c>
      <c r="D944" s="330" t="s">
        <v>3845</v>
      </c>
      <c r="E944" s="376"/>
      <c r="F944" s="324"/>
      <c r="G944" s="325"/>
      <c r="H944" s="325"/>
      <c r="I944" s="324"/>
    </row>
    <row r="945" spans="2:9" s="326" customFormat="1" ht="35.1" customHeight="1">
      <c r="B945" s="324"/>
      <c r="C945" s="338" t="s">
        <v>2301</v>
      </c>
      <c r="D945" s="330" t="s">
        <v>3845</v>
      </c>
      <c r="E945" s="376"/>
      <c r="F945" s="324"/>
      <c r="G945" s="325"/>
      <c r="H945" s="325"/>
      <c r="I945" s="324"/>
    </row>
    <row r="946" spans="2:9" s="326" customFormat="1" ht="35.1" customHeight="1">
      <c r="B946" s="324"/>
      <c r="C946" s="338" t="s">
        <v>2302</v>
      </c>
      <c r="D946" s="330" t="s">
        <v>3845</v>
      </c>
      <c r="E946" s="376"/>
      <c r="F946" s="324"/>
      <c r="G946" s="325"/>
      <c r="H946" s="325"/>
      <c r="I946" s="324"/>
    </row>
    <row r="947" spans="2:9" s="326" customFormat="1" ht="35.1" customHeight="1">
      <c r="B947" s="324"/>
      <c r="C947" s="338" t="s">
        <v>2303</v>
      </c>
      <c r="D947" s="330" t="s">
        <v>3845</v>
      </c>
      <c r="E947" s="376"/>
      <c r="F947" s="324"/>
      <c r="G947" s="325"/>
      <c r="H947" s="325"/>
      <c r="I947" s="324"/>
    </row>
    <row r="948" spans="2:9" s="326" customFormat="1" ht="35.1" customHeight="1">
      <c r="B948" s="324"/>
      <c r="C948" s="338" t="s">
        <v>2304</v>
      </c>
      <c r="D948" s="330" t="s">
        <v>3845</v>
      </c>
      <c r="E948" s="376"/>
      <c r="F948" s="324"/>
      <c r="G948" s="325"/>
      <c r="H948" s="325"/>
      <c r="I948" s="324"/>
    </row>
    <row r="949" spans="2:9" s="326" customFormat="1" ht="35.1" customHeight="1">
      <c r="B949" s="324"/>
      <c r="C949" s="338" t="s">
        <v>2305</v>
      </c>
      <c r="D949" s="330" t="s">
        <v>3845</v>
      </c>
      <c r="E949" s="376"/>
      <c r="F949" s="324"/>
      <c r="G949" s="325"/>
      <c r="H949" s="325"/>
      <c r="I949" s="324"/>
    </row>
    <row r="950" spans="2:9" s="326" customFormat="1" ht="35.1" customHeight="1">
      <c r="B950" s="324"/>
      <c r="C950" s="338" t="s">
        <v>2306</v>
      </c>
      <c r="D950" s="330" t="s">
        <v>3845</v>
      </c>
      <c r="E950" s="376"/>
      <c r="F950" s="324"/>
      <c r="G950" s="325"/>
      <c r="H950" s="325"/>
      <c r="I950" s="324"/>
    </row>
    <row r="951" spans="2:9" s="326" customFormat="1" ht="35.1" customHeight="1">
      <c r="B951" s="324"/>
      <c r="C951" s="338" t="s">
        <v>2307</v>
      </c>
      <c r="D951" s="330" t="s">
        <v>3845</v>
      </c>
      <c r="E951" s="376"/>
      <c r="F951" s="324"/>
      <c r="G951" s="325"/>
      <c r="H951" s="325"/>
      <c r="I951" s="324"/>
    </row>
    <row r="952" spans="2:9" s="326" customFormat="1" ht="35.1" customHeight="1">
      <c r="B952" s="324"/>
      <c r="C952" s="337" t="s">
        <v>2308</v>
      </c>
      <c r="D952" s="335" t="s">
        <v>3845</v>
      </c>
      <c r="E952" s="376"/>
      <c r="F952" s="324"/>
      <c r="G952" s="325"/>
      <c r="H952" s="325"/>
      <c r="I952" s="324"/>
    </row>
    <row r="953" spans="2:9" s="326" customFormat="1" ht="35.1" customHeight="1">
      <c r="B953" s="324"/>
      <c r="C953" s="337" t="s">
        <v>2309</v>
      </c>
      <c r="D953" s="335" t="s">
        <v>3845</v>
      </c>
      <c r="E953" s="376"/>
      <c r="F953" s="324"/>
      <c r="G953" s="325"/>
      <c r="H953" s="325"/>
      <c r="I953" s="324"/>
    </row>
    <row r="954" spans="2:9" s="326" customFormat="1" ht="35.1" customHeight="1">
      <c r="B954" s="324"/>
      <c r="C954" s="337" t="s">
        <v>2310</v>
      </c>
      <c r="D954" s="335" t="s">
        <v>3845</v>
      </c>
      <c r="E954" s="376"/>
      <c r="F954" s="324"/>
      <c r="G954" s="325"/>
      <c r="H954" s="325"/>
      <c r="I954" s="324"/>
    </row>
    <row r="955" spans="2:9" s="326" customFormat="1" ht="35.1" customHeight="1">
      <c r="B955" s="324"/>
      <c r="C955" s="337" t="s">
        <v>2311</v>
      </c>
      <c r="D955" s="335" t="s">
        <v>3845</v>
      </c>
      <c r="E955" s="376"/>
      <c r="F955" s="324"/>
      <c r="G955" s="325"/>
      <c r="H955" s="325"/>
      <c r="I955" s="324"/>
    </row>
    <row r="956" spans="2:9" s="326" customFormat="1" ht="35.1" customHeight="1">
      <c r="B956" s="324"/>
      <c r="C956" s="337" t="s">
        <v>2312</v>
      </c>
      <c r="D956" s="335" t="s">
        <v>3845</v>
      </c>
      <c r="E956" s="376"/>
      <c r="F956" s="324"/>
      <c r="G956" s="325"/>
      <c r="H956" s="325"/>
      <c r="I956" s="324"/>
    </row>
    <row r="957" spans="2:9" s="326" customFormat="1" ht="35.1" customHeight="1">
      <c r="B957" s="324"/>
      <c r="C957" s="337" t="s">
        <v>2313</v>
      </c>
      <c r="D957" s="335" t="s">
        <v>3845</v>
      </c>
      <c r="E957" s="376"/>
      <c r="F957" s="324"/>
      <c r="G957" s="325"/>
      <c r="H957" s="325"/>
      <c r="I957" s="324"/>
    </row>
    <row r="958" spans="2:9" s="326" customFormat="1" ht="35.1" customHeight="1">
      <c r="B958" s="324"/>
      <c r="C958" s="337" t="s">
        <v>2314</v>
      </c>
      <c r="D958" s="335" t="s">
        <v>3845</v>
      </c>
      <c r="E958" s="376"/>
      <c r="F958" s="324"/>
      <c r="G958" s="325"/>
      <c r="H958" s="325"/>
      <c r="I958" s="324"/>
    </row>
    <row r="959" spans="2:9" s="326" customFormat="1">
      <c r="B959" s="324"/>
      <c r="C959" s="337" t="s">
        <v>1121</v>
      </c>
      <c r="D959" s="336" t="s">
        <v>1392</v>
      </c>
      <c r="E959" s="376"/>
      <c r="F959" s="324"/>
      <c r="G959" s="325"/>
      <c r="H959" s="325"/>
      <c r="I959" s="324"/>
    </row>
    <row r="960" spans="2:9" s="326" customFormat="1">
      <c r="B960" s="324"/>
      <c r="C960" s="337" t="s">
        <v>1123</v>
      </c>
      <c r="D960" s="336" t="s">
        <v>3844</v>
      </c>
      <c r="E960" s="376"/>
      <c r="F960" s="324"/>
      <c r="G960" s="325"/>
      <c r="H960" s="325"/>
      <c r="I960" s="324"/>
    </row>
    <row r="961" spans="2:9" s="326" customFormat="1">
      <c r="B961" s="324"/>
      <c r="C961" s="337" t="s">
        <v>1788</v>
      </c>
      <c r="D961" s="336" t="s">
        <v>1392</v>
      </c>
      <c r="E961" s="376"/>
      <c r="F961" s="324"/>
      <c r="G961" s="325"/>
      <c r="H961" s="325"/>
      <c r="I961" s="324"/>
    </row>
    <row r="962" spans="2:9" s="326" customFormat="1" ht="35.1" customHeight="1">
      <c r="B962" s="324"/>
      <c r="C962" s="338" t="s">
        <v>2013</v>
      </c>
      <c r="D962" s="330" t="s">
        <v>32</v>
      </c>
      <c r="E962" s="376"/>
      <c r="F962" s="324"/>
      <c r="G962" s="325"/>
      <c r="H962" s="325"/>
      <c r="I962" s="324"/>
    </row>
    <row r="963" spans="2:9" s="326" customFormat="1" ht="35.1" customHeight="1">
      <c r="B963" s="324"/>
      <c r="C963" s="338" t="s">
        <v>2017</v>
      </c>
      <c r="D963" s="330" t="s">
        <v>32</v>
      </c>
      <c r="E963" s="376"/>
      <c r="F963" s="324"/>
      <c r="G963" s="325"/>
      <c r="H963" s="325"/>
      <c r="I963" s="324"/>
    </row>
    <row r="964" spans="2:9" s="326" customFormat="1" ht="35.1" customHeight="1">
      <c r="B964" s="324"/>
      <c r="C964" s="338" t="s">
        <v>2220</v>
      </c>
      <c r="D964" s="330" t="s">
        <v>32</v>
      </c>
      <c r="E964" s="376"/>
      <c r="F964" s="324"/>
      <c r="G964" s="325"/>
      <c r="H964" s="325"/>
      <c r="I964" s="324"/>
    </row>
    <row r="965" spans="2:9" s="326" customFormat="1" ht="35.1" customHeight="1">
      <c r="B965" s="324"/>
      <c r="C965" s="338" t="s">
        <v>2221</v>
      </c>
      <c r="D965" s="330" t="s">
        <v>32</v>
      </c>
      <c r="E965" s="376"/>
      <c r="F965" s="324"/>
      <c r="G965" s="325"/>
      <c r="H965" s="325"/>
      <c r="I965" s="324"/>
    </row>
    <row r="966" spans="2:9" s="326" customFormat="1" ht="35.1" customHeight="1">
      <c r="B966" s="324"/>
      <c r="C966" s="337" t="s">
        <v>2222</v>
      </c>
      <c r="D966" s="335" t="s">
        <v>32</v>
      </c>
      <c r="E966" s="376"/>
      <c r="F966" s="324"/>
      <c r="G966" s="325"/>
      <c r="H966" s="325"/>
      <c r="I966" s="324"/>
    </row>
    <row r="967" spans="2:9" s="326" customFormat="1" ht="35.1" customHeight="1">
      <c r="B967" s="324"/>
      <c r="C967" s="337" t="s">
        <v>2226</v>
      </c>
      <c r="D967" s="335" t="s">
        <v>32</v>
      </c>
      <c r="E967" s="376"/>
      <c r="F967" s="324"/>
      <c r="G967" s="325"/>
      <c r="H967" s="325"/>
      <c r="I967" s="324"/>
    </row>
    <row r="968" spans="2:9" s="326" customFormat="1" ht="35.1" customHeight="1">
      <c r="B968" s="324"/>
      <c r="C968" s="338" t="s">
        <v>1323</v>
      </c>
      <c r="D968" s="330" t="s">
        <v>698</v>
      </c>
      <c r="E968" s="376"/>
      <c r="F968" s="324"/>
      <c r="G968" s="325"/>
      <c r="H968" s="325"/>
      <c r="I968" s="324"/>
    </row>
    <row r="969" spans="2:9" s="326" customFormat="1" ht="35.1" customHeight="1">
      <c r="B969" s="324"/>
      <c r="C969" s="338" t="s">
        <v>1355</v>
      </c>
      <c r="D969" s="330" t="s">
        <v>698</v>
      </c>
      <c r="E969" s="376"/>
      <c r="F969" s="324"/>
      <c r="G969" s="325"/>
      <c r="H969" s="325"/>
      <c r="I969" s="324"/>
    </row>
    <row r="970" spans="2:9" s="326" customFormat="1" ht="35.1" customHeight="1">
      <c r="B970" s="324"/>
      <c r="C970" s="338" t="s">
        <v>1178</v>
      </c>
      <c r="D970" s="330" t="s">
        <v>698</v>
      </c>
      <c r="E970" s="376"/>
      <c r="F970" s="324"/>
      <c r="G970" s="325"/>
      <c r="H970" s="325"/>
      <c r="I970" s="324"/>
    </row>
    <row r="971" spans="2:9" s="326" customFormat="1" ht="35.1" customHeight="1">
      <c r="B971" s="324"/>
      <c r="C971" s="338" t="s">
        <v>1220</v>
      </c>
      <c r="D971" s="330" t="s">
        <v>698</v>
      </c>
      <c r="E971" s="376"/>
      <c r="F971" s="324"/>
      <c r="G971" s="325"/>
      <c r="H971" s="325"/>
      <c r="I971" s="324"/>
    </row>
    <row r="972" spans="2:9" s="326" customFormat="1" ht="35.1" customHeight="1">
      <c r="B972" s="324"/>
      <c r="C972" s="338" t="s">
        <v>2037</v>
      </c>
      <c r="D972" s="330" t="s">
        <v>3843</v>
      </c>
      <c r="E972" s="376"/>
      <c r="F972" s="324"/>
      <c r="G972" s="325"/>
      <c r="H972" s="325"/>
      <c r="I972" s="324"/>
    </row>
    <row r="973" spans="2:9" s="326" customFormat="1" ht="35.1" customHeight="1">
      <c r="B973" s="324"/>
      <c r="C973" s="338" t="s">
        <v>2184</v>
      </c>
      <c r="D973" s="330" t="s">
        <v>3843</v>
      </c>
      <c r="E973" s="376"/>
      <c r="F973" s="324"/>
      <c r="G973" s="325"/>
      <c r="H973" s="325"/>
      <c r="I973" s="324"/>
    </row>
    <row r="974" spans="2:9" s="326" customFormat="1" ht="35.1" customHeight="1">
      <c r="B974" s="324"/>
      <c r="C974" s="338" t="s">
        <v>2079</v>
      </c>
      <c r="D974" s="330" t="s">
        <v>3842</v>
      </c>
      <c r="E974" s="376"/>
      <c r="F974" s="324"/>
      <c r="G974" s="325"/>
      <c r="H974" s="325"/>
      <c r="I974" s="324"/>
    </row>
    <row r="975" spans="2:9" s="326" customFormat="1" ht="35.1" customHeight="1">
      <c r="B975" s="324"/>
      <c r="C975" s="337" t="s">
        <v>2125</v>
      </c>
      <c r="D975" s="335" t="s">
        <v>1179</v>
      </c>
      <c r="E975" s="376"/>
      <c r="F975" s="324"/>
      <c r="G975" s="325"/>
      <c r="H975" s="325"/>
      <c r="I975" s="324"/>
    </row>
    <row r="976" spans="2:9" s="326" customFormat="1" ht="35.1" customHeight="1">
      <c r="B976" s="324"/>
      <c r="C976" s="337" t="s">
        <v>2063</v>
      </c>
      <c r="D976" s="335" t="s">
        <v>698</v>
      </c>
      <c r="E976" s="376"/>
      <c r="F976" s="324"/>
      <c r="G976" s="325"/>
      <c r="H976" s="325"/>
      <c r="I976" s="324"/>
    </row>
    <row r="977" spans="2:9" s="326" customFormat="1" ht="35.1" customHeight="1">
      <c r="B977" s="324"/>
      <c r="C977" s="337" t="s">
        <v>2152</v>
      </c>
      <c r="D977" s="335" t="s">
        <v>698</v>
      </c>
      <c r="E977" s="376"/>
      <c r="F977" s="324"/>
      <c r="G977" s="325"/>
      <c r="H977" s="325"/>
      <c r="I977" s="324"/>
    </row>
    <row r="978" spans="2:9" s="326" customFormat="1" ht="35.1" customHeight="1">
      <c r="B978" s="324"/>
      <c r="C978" s="337" t="s">
        <v>1059</v>
      </c>
      <c r="D978" s="336" t="s">
        <v>723</v>
      </c>
      <c r="E978" s="376"/>
      <c r="F978" s="324"/>
      <c r="G978" s="325"/>
      <c r="H978" s="325"/>
      <c r="I978" s="324"/>
    </row>
    <row r="979" spans="2:9" s="326" customFormat="1" ht="35.1" customHeight="1">
      <c r="B979" s="324"/>
      <c r="C979" s="337" t="s">
        <v>1060</v>
      </c>
      <c r="D979" s="336" t="s">
        <v>723</v>
      </c>
      <c r="E979" s="376"/>
      <c r="F979" s="324"/>
      <c r="G979" s="325"/>
      <c r="H979" s="325"/>
      <c r="I979" s="324"/>
    </row>
    <row r="980" spans="2:9" s="326" customFormat="1" ht="35.1" customHeight="1">
      <c r="B980" s="324"/>
      <c r="C980" s="337" t="s">
        <v>1061</v>
      </c>
      <c r="D980" s="336" t="s">
        <v>723</v>
      </c>
      <c r="E980" s="376"/>
      <c r="F980" s="324"/>
      <c r="G980" s="325"/>
      <c r="H980" s="325"/>
      <c r="I980" s="324"/>
    </row>
    <row r="981" spans="2:9" s="326" customFormat="1" ht="35.1" customHeight="1">
      <c r="B981" s="324"/>
      <c r="C981" s="337" t="s">
        <v>1062</v>
      </c>
      <c r="D981" s="336" t="s">
        <v>723</v>
      </c>
      <c r="E981" s="376"/>
      <c r="F981" s="324"/>
      <c r="G981" s="325"/>
      <c r="H981" s="325"/>
      <c r="I981" s="324"/>
    </row>
    <row r="982" spans="2:9" s="326" customFormat="1">
      <c r="B982" s="324"/>
      <c r="C982" s="334" t="s">
        <v>3841</v>
      </c>
      <c r="D982" s="333" t="s">
        <v>1857</v>
      </c>
      <c r="E982" s="376"/>
      <c r="F982" s="324"/>
      <c r="G982" s="325"/>
      <c r="H982" s="325"/>
      <c r="I982" s="324"/>
    </row>
    <row r="983" spans="2:9" s="326" customFormat="1">
      <c r="B983" s="324"/>
      <c r="C983" s="329"/>
      <c r="D983" s="324"/>
      <c r="E983" s="376"/>
      <c r="F983" s="324"/>
      <c r="G983" s="325"/>
      <c r="H983" s="325"/>
      <c r="I983" s="324"/>
    </row>
    <row r="984" spans="2:9" s="326" customFormat="1">
      <c r="B984" s="324"/>
      <c r="C984" s="329"/>
      <c r="D984" s="328"/>
      <c r="E984" s="376"/>
      <c r="F984" s="324"/>
      <c r="G984" s="325"/>
      <c r="H984" s="325"/>
      <c r="I984" s="324"/>
    </row>
    <row r="985" spans="2:9" s="326" customFormat="1" ht="35.1" customHeight="1">
      <c r="B985" s="324"/>
      <c r="C985" s="329"/>
      <c r="D985" s="324"/>
      <c r="E985" s="376"/>
      <c r="F985" s="324"/>
      <c r="G985" s="325"/>
      <c r="H985" s="325"/>
      <c r="I985" s="324"/>
    </row>
    <row r="986" spans="2:9" s="326" customFormat="1" ht="35.1" customHeight="1">
      <c r="B986" s="324"/>
      <c r="C986" s="329"/>
      <c r="D986" s="324"/>
      <c r="E986" s="376"/>
      <c r="F986" s="324"/>
      <c r="G986" s="325"/>
      <c r="H986" s="325"/>
      <c r="I986" s="324"/>
    </row>
    <row r="987" spans="2:9" s="326" customFormat="1" ht="35.1" customHeight="1">
      <c r="B987" s="324"/>
      <c r="C987" s="329"/>
      <c r="D987" s="324"/>
      <c r="E987" s="376"/>
      <c r="F987" s="324"/>
      <c r="G987" s="325"/>
      <c r="H987" s="325"/>
      <c r="I987" s="324"/>
    </row>
    <row r="988" spans="2:9" s="326" customFormat="1" ht="35.1" customHeight="1">
      <c r="B988" s="324"/>
      <c r="C988" s="329"/>
      <c r="D988" s="324"/>
      <c r="E988" s="376"/>
      <c r="F988" s="324"/>
      <c r="G988" s="325"/>
      <c r="H988" s="325"/>
      <c r="I988" s="324"/>
    </row>
    <row r="989" spans="2:9" s="326" customFormat="1" ht="35.1" customHeight="1">
      <c r="B989" s="324"/>
      <c r="C989" s="329"/>
      <c r="D989" s="324"/>
      <c r="E989" s="376"/>
      <c r="F989" s="324"/>
      <c r="G989" s="325"/>
      <c r="H989" s="325"/>
      <c r="I989" s="324"/>
    </row>
    <row r="990" spans="2:9" s="326" customFormat="1" ht="35.1" customHeight="1">
      <c r="B990" s="324"/>
      <c r="C990" s="329"/>
      <c r="D990" s="324"/>
      <c r="E990" s="376"/>
      <c r="F990" s="324"/>
      <c r="G990" s="325"/>
      <c r="H990" s="325"/>
      <c r="I990" s="324"/>
    </row>
    <row r="991" spans="2:9" s="326" customFormat="1" ht="35.1" customHeight="1">
      <c r="B991" s="324"/>
      <c r="C991" s="329"/>
      <c r="D991" s="324"/>
      <c r="E991" s="376"/>
      <c r="F991" s="324"/>
      <c r="G991" s="325"/>
      <c r="H991" s="325"/>
      <c r="I991" s="324"/>
    </row>
  </sheetData>
  <autoFilter ref="A3:WVP983" xr:uid="{00000000-0001-0000-0000-000000000000}"/>
  <mergeCells count="10">
    <mergeCell ref="C828:D828"/>
    <mergeCell ref="A1:I1"/>
    <mergeCell ref="A2:I2"/>
    <mergeCell ref="C288:C289"/>
    <mergeCell ref="C290:C291"/>
    <mergeCell ref="C552:D552"/>
    <mergeCell ref="C569:D569"/>
    <mergeCell ref="C645:D645"/>
    <mergeCell ref="C703:D703"/>
    <mergeCell ref="C797:D797"/>
  </mergeCells>
  <conditionalFormatting sqref="A157:B157">
    <cfRule type="duplicateValues" dxfId="38" priority="9"/>
  </conditionalFormatting>
  <conditionalFormatting sqref="C1:C488 C490:C1048576">
    <cfRule type="duplicateValues" dxfId="37" priority="1"/>
  </conditionalFormatting>
  <conditionalFormatting sqref="C68:C69">
    <cfRule type="duplicateValues" dxfId="36" priority="12"/>
  </conditionalFormatting>
  <conditionalFormatting sqref="C70:C84">
    <cfRule type="duplicateValues" dxfId="35" priority="11"/>
  </conditionalFormatting>
  <conditionalFormatting sqref="C85:C87">
    <cfRule type="duplicateValues" dxfId="34" priority="10"/>
  </conditionalFormatting>
  <conditionalFormatting sqref="C88:C156">
    <cfRule type="duplicateValues" dxfId="33" priority="13"/>
  </conditionalFormatting>
  <conditionalFormatting sqref="C174:C181">
    <cfRule type="duplicateValues" dxfId="32" priority="8"/>
  </conditionalFormatting>
  <conditionalFormatting sqref="C208:C211">
    <cfRule type="duplicateValues" dxfId="31" priority="7"/>
  </conditionalFormatting>
  <conditionalFormatting sqref="C216:C219">
    <cfRule type="duplicateValues" dxfId="30" priority="6"/>
  </conditionalFormatting>
  <conditionalFormatting sqref="C570">
    <cfRule type="duplicateValues" dxfId="29" priority="5"/>
  </conditionalFormatting>
  <conditionalFormatting sqref="C715">
    <cfRule type="duplicateValues" dxfId="28" priority="4"/>
  </conditionalFormatting>
  <conditionalFormatting sqref="C718">
    <cfRule type="duplicateValues" dxfId="27" priority="3"/>
  </conditionalFormatting>
  <conditionalFormatting sqref="C791:C813 C699:C712 C626 C1:C67 C184:C207 C212:C215 C553:C569 C220:C288 C827:C1048576 C290 C300:C322 C634:C662 C404:C469">
    <cfRule type="duplicateValues" dxfId="26" priority="14"/>
  </conditionalFormatting>
  <conditionalFormatting sqref="C816">
    <cfRule type="duplicateValues" dxfId="25" priority="2"/>
  </conditionalFormatting>
  <pageMargins left="0.7" right="0.7" top="0.75" bottom="0.75" header="0.3" footer="0.3"/>
  <pageSetup paperSize="9" scale="5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20A08-444D-4FE4-8140-97FFA16C5AF0}">
  <sheetPr>
    <outlinePr summaryBelow="0" summaryRight="0"/>
  </sheetPr>
  <dimension ref="A1:K177"/>
  <sheetViews>
    <sheetView workbookViewId="0">
      <pane ySplit="1" topLeftCell="A2" activePane="bottomLeft" state="frozen"/>
      <selection pane="bottomLeft" activeCell="A34" sqref="A34"/>
    </sheetView>
  </sheetViews>
  <sheetFormatPr defaultColWidth="8.625" defaultRowHeight="15" outlineLevelRow="1"/>
  <cols>
    <col min="1" max="1" width="32.125" style="280" customWidth="1"/>
    <col min="2" max="2" width="25.25" style="280" customWidth="1"/>
    <col min="3" max="3" width="27.125" style="280" customWidth="1"/>
    <col min="4" max="4" width="19.375" style="281" customWidth="1"/>
    <col min="5" max="5" width="25" style="280" customWidth="1"/>
    <col min="6" max="6" width="43.625" style="280" customWidth="1"/>
    <col min="7" max="7" width="16.375" style="278" customWidth="1"/>
    <col min="8" max="8" width="20" style="278" customWidth="1"/>
    <col min="9" max="9" width="19.375" style="278" customWidth="1"/>
    <col min="10" max="10" width="20.25" style="279" customWidth="1"/>
    <col min="11" max="11" width="18.875" style="278" customWidth="1"/>
    <col min="12" max="16384" width="8.625" style="277"/>
  </cols>
  <sheetData>
    <row r="1" spans="1:11">
      <c r="A1" s="284" t="s">
        <v>3839</v>
      </c>
      <c r="B1" s="284" t="s">
        <v>727</v>
      </c>
      <c r="C1" s="284" t="s">
        <v>3838</v>
      </c>
      <c r="D1" s="283" t="s">
        <v>3837</v>
      </c>
      <c r="E1" s="285" t="s">
        <v>3836</v>
      </c>
      <c r="F1" s="284" t="s">
        <v>3835</v>
      </c>
      <c r="G1" s="283" t="s">
        <v>3834</v>
      </c>
      <c r="H1" s="283" t="s">
        <v>3833</v>
      </c>
      <c r="I1" s="283" t="s">
        <v>3832</v>
      </c>
      <c r="J1" s="284" t="s">
        <v>3831</v>
      </c>
      <c r="K1" s="283" t="s">
        <v>3830</v>
      </c>
    </row>
    <row r="2" spans="1:11">
      <c r="B2" s="282" t="s">
        <v>3829</v>
      </c>
    </row>
    <row r="3" spans="1:11" outlineLevel="1">
      <c r="A3" s="280" t="s">
        <v>3828</v>
      </c>
      <c r="B3" s="280" t="s">
        <v>3827</v>
      </c>
      <c r="C3" s="280" t="s">
        <v>3827</v>
      </c>
      <c r="D3" s="281" t="s">
        <v>3293</v>
      </c>
      <c r="E3" s="280" t="s">
        <v>3293</v>
      </c>
      <c r="F3" s="280" t="s">
        <v>3293</v>
      </c>
      <c r="G3" s="278" t="s">
        <v>3293</v>
      </c>
      <c r="H3" s="278" t="s">
        <v>3293</v>
      </c>
      <c r="I3" s="278" t="s">
        <v>3293</v>
      </c>
      <c r="J3" s="279" t="s">
        <v>3293</v>
      </c>
      <c r="K3" s="278" t="s">
        <v>3288</v>
      </c>
    </row>
    <row r="4" spans="1:11" outlineLevel="1">
      <c r="A4" s="280" t="s">
        <v>3826</v>
      </c>
      <c r="B4" s="280" t="s">
        <v>3825</v>
      </c>
      <c r="C4" s="280" t="s">
        <v>3825</v>
      </c>
      <c r="D4" s="281" t="s">
        <v>3293</v>
      </c>
      <c r="E4" s="280" t="s">
        <v>3293</v>
      </c>
      <c r="F4" s="280" t="s">
        <v>3293</v>
      </c>
      <c r="G4" s="278" t="s">
        <v>3293</v>
      </c>
      <c r="H4" s="278" t="s">
        <v>3293</v>
      </c>
      <c r="I4" s="278" t="s">
        <v>3293</v>
      </c>
      <c r="J4" s="279" t="s">
        <v>3293</v>
      </c>
      <c r="K4" s="278" t="s">
        <v>3288</v>
      </c>
    </row>
    <row r="5" spans="1:11" outlineLevel="1">
      <c r="A5" s="280" t="s">
        <v>2591</v>
      </c>
      <c r="B5" s="280" t="s">
        <v>3824</v>
      </c>
      <c r="C5" s="280" t="s">
        <v>3824</v>
      </c>
      <c r="D5" s="281" t="s">
        <v>3823</v>
      </c>
      <c r="E5" s="280" t="s">
        <v>3293</v>
      </c>
      <c r="F5" s="280" t="s">
        <v>3822</v>
      </c>
      <c r="G5" s="278" t="s">
        <v>3365</v>
      </c>
      <c r="H5" s="278" t="s">
        <v>3290</v>
      </c>
      <c r="I5" s="278" t="s">
        <v>3289</v>
      </c>
      <c r="J5" s="279">
        <v>36697</v>
      </c>
      <c r="K5" s="278" t="s">
        <v>3321</v>
      </c>
    </row>
    <row r="6" spans="1:11" outlineLevel="1">
      <c r="A6" s="280" t="s">
        <v>2585</v>
      </c>
      <c r="B6" s="280" t="s">
        <v>3821</v>
      </c>
      <c r="C6" s="280" t="s">
        <v>3821</v>
      </c>
      <c r="D6" s="281" t="s">
        <v>3293</v>
      </c>
      <c r="E6" s="280" t="s">
        <v>3293</v>
      </c>
      <c r="F6" s="280" t="s">
        <v>3820</v>
      </c>
      <c r="G6" s="278" t="s">
        <v>3291</v>
      </c>
      <c r="H6" s="278" t="s">
        <v>3293</v>
      </c>
      <c r="I6" s="278" t="s">
        <v>3293</v>
      </c>
      <c r="J6" s="279">
        <v>18264</v>
      </c>
      <c r="K6" s="278" t="s">
        <v>3321</v>
      </c>
    </row>
    <row r="7" spans="1:11" outlineLevel="1">
      <c r="A7" s="280" t="s">
        <v>2590</v>
      </c>
      <c r="B7" s="280" t="s">
        <v>3819</v>
      </c>
      <c r="C7" s="280" t="s">
        <v>3819</v>
      </c>
      <c r="D7" s="281" t="s">
        <v>3293</v>
      </c>
      <c r="E7" s="280" t="s">
        <v>3293</v>
      </c>
      <c r="F7" s="280" t="s">
        <v>3818</v>
      </c>
      <c r="G7" s="278" t="s">
        <v>3291</v>
      </c>
      <c r="H7" s="278" t="s">
        <v>3293</v>
      </c>
      <c r="I7" s="278" t="s">
        <v>3293</v>
      </c>
      <c r="J7" s="279">
        <v>18264</v>
      </c>
      <c r="K7" s="278" t="s">
        <v>3321</v>
      </c>
    </row>
    <row r="8" spans="1:11" outlineLevel="1">
      <c r="A8" s="280" t="s">
        <v>2589</v>
      </c>
      <c r="B8" s="280" t="s">
        <v>3265</v>
      </c>
      <c r="C8" s="280" t="s">
        <v>3265</v>
      </c>
      <c r="D8" s="281" t="s">
        <v>3293</v>
      </c>
      <c r="E8" s="280" t="s">
        <v>3293</v>
      </c>
      <c r="F8" s="280" t="s">
        <v>3817</v>
      </c>
      <c r="G8" s="278" t="s">
        <v>3291</v>
      </c>
      <c r="H8" s="278" t="s">
        <v>3293</v>
      </c>
      <c r="I8" s="278" t="s">
        <v>3293</v>
      </c>
      <c r="J8" s="279">
        <v>18264</v>
      </c>
      <c r="K8" s="278" t="s">
        <v>3321</v>
      </c>
    </row>
    <row r="9" spans="1:11" outlineLevel="1">
      <c r="A9" s="280" t="s">
        <v>2586</v>
      </c>
      <c r="B9" s="280" t="s">
        <v>3816</v>
      </c>
      <c r="C9" s="280" t="s">
        <v>3816</v>
      </c>
      <c r="D9" s="281" t="s">
        <v>3815</v>
      </c>
      <c r="E9" s="280" t="s">
        <v>3293</v>
      </c>
      <c r="F9" s="280" t="s">
        <v>3814</v>
      </c>
      <c r="G9" s="278" t="s">
        <v>3291</v>
      </c>
      <c r="H9" s="278" t="s">
        <v>3290</v>
      </c>
      <c r="I9" s="278" t="s">
        <v>3289</v>
      </c>
      <c r="J9" s="279">
        <v>35137</v>
      </c>
      <c r="K9" s="278" t="s">
        <v>3321</v>
      </c>
    </row>
    <row r="10" spans="1:11" outlineLevel="1">
      <c r="A10" s="280" t="s">
        <v>2578</v>
      </c>
      <c r="B10" s="280" t="s">
        <v>3813</v>
      </c>
      <c r="C10" s="280" t="s">
        <v>3813</v>
      </c>
      <c r="D10" s="281" t="s">
        <v>3812</v>
      </c>
      <c r="E10" s="280" t="s">
        <v>3293</v>
      </c>
      <c r="F10" s="280" t="s">
        <v>3811</v>
      </c>
      <c r="G10" s="278" t="s">
        <v>3291</v>
      </c>
      <c r="H10" s="278" t="s">
        <v>3290</v>
      </c>
      <c r="I10" s="278" t="s">
        <v>3289</v>
      </c>
      <c r="J10" s="279">
        <v>36016</v>
      </c>
      <c r="K10" s="278" t="s">
        <v>3321</v>
      </c>
    </row>
    <row r="11" spans="1:11" outlineLevel="1">
      <c r="A11" s="280" t="s">
        <v>3810</v>
      </c>
      <c r="B11" s="280" t="s">
        <v>3809</v>
      </c>
      <c r="C11" s="280" t="s">
        <v>3809</v>
      </c>
      <c r="D11" s="281" t="s">
        <v>3808</v>
      </c>
      <c r="E11" s="280" t="s">
        <v>3293</v>
      </c>
      <c r="F11" s="280" t="s">
        <v>3807</v>
      </c>
      <c r="G11" s="278" t="s">
        <v>3291</v>
      </c>
      <c r="H11" s="278" t="s">
        <v>3290</v>
      </c>
      <c r="I11" s="278" t="s">
        <v>3289</v>
      </c>
      <c r="J11" s="279">
        <v>36413</v>
      </c>
      <c r="K11" s="278" t="s">
        <v>3321</v>
      </c>
    </row>
    <row r="12" spans="1:11" outlineLevel="1">
      <c r="A12" s="280" t="s">
        <v>2583</v>
      </c>
      <c r="B12" s="280" t="s">
        <v>3286</v>
      </c>
      <c r="C12" s="280" t="s">
        <v>3286</v>
      </c>
      <c r="D12" s="281" t="s">
        <v>3806</v>
      </c>
      <c r="E12" s="280" t="s">
        <v>3293</v>
      </c>
      <c r="F12" s="280" t="s">
        <v>3805</v>
      </c>
      <c r="G12" s="278" t="s">
        <v>3291</v>
      </c>
      <c r="H12" s="278" t="s">
        <v>3290</v>
      </c>
      <c r="I12" s="278" t="s">
        <v>3289</v>
      </c>
      <c r="J12" s="279">
        <v>35889</v>
      </c>
      <c r="K12" s="278" t="s">
        <v>3321</v>
      </c>
    </row>
    <row r="13" spans="1:11" outlineLevel="1">
      <c r="A13" s="280" t="s">
        <v>2576</v>
      </c>
      <c r="B13" s="280" t="s">
        <v>3804</v>
      </c>
      <c r="C13" s="280" t="s">
        <v>3803</v>
      </c>
      <c r="D13" s="281" t="s">
        <v>3802</v>
      </c>
      <c r="E13" s="280" t="s">
        <v>3293</v>
      </c>
      <c r="F13" s="280" t="s">
        <v>3293</v>
      </c>
      <c r="G13" s="278" t="s">
        <v>3291</v>
      </c>
      <c r="H13" s="278" t="s">
        <v>3290</v>
      </c>
      <c r="I13" s="278" t="s">
        <v>3289</v>
      </c>
      <c r="J13" s="279">
        <v>35954</v>
      </c>
      <c r="K13" s="278" t="s">
        <v>3321</v>
      </c>
    </row>
    <row r="14" spans="1:11" outlineLevel="1">
      <c r="A14" s="280" t="s">
        <v>2584</v>
      </c>
      <c r="B14" s="280" t="s">
        <v>3801</v>
      </c>
      <c r="C14" s="280" t="s">
        <v>3801</v>
      </c>
      <c r="D14" s="281" t="s">
        <v>3800</v>
      </c>
      <c r="E14" s="280" t="s">
        <v>3293</v>
      </c>
      <c r="F14" s="280" t="s">
        <v>3799</v>
      </c>
      <c r="G14" s="278" t="s">
        <v>3291</v>
      </c>
      <c r="H14" s="278" t="s">
        <v>3290</v>
      </c>
      <c r="I14" s="278" t="s">
        <v>3289</v>
      </c>
      <c r="J14" s="279">
        <v>36325</v>
      </c>
      <c r="K14" s="278" t="s">
        <v>3321</v>
      </c>
    </row>
    <row r="15" spans="1:11" outlineLevel="1">
      <c r="A15" s="280" t="s">
        <v>2582</v>
      </c>
      <c r="B15" s="280" t="s">
        <v>3273</v>
      </c>
      <c r="C15" s="280" t="s">
        <v>3798</v>
      </c>
      <c r="D15" s="281" t="s">
        <v>3797</v>
      </c>
      <c r="E15" s="280" t="s">
        <v>3293</v>
      </c>
      <c r="F15" s="280" t="s">
        <v>3796</v>
      </c>
      <c r="G15" s="278" t="s">
        <v>3291</v>
      </c>
      <c r="H15" s="278" t="s">
        <v>3290</v>
      </c>
      <c r="I15" s="278" t="s">
        <v>3289</v>
      </c>
      <c r="J15" s="279">
        <v>36319</v>
      </c>
      <c r="K15" s="278" t="s">
        <v>3321</v>
      </c>
    </row>
    <row r="16" spans="1:11" outlineLevel="1">
      <c r="A16" s="280" t="s">
        <v>2581</v>
      </c>
      <c r="B16" s="280" t="s">
        <v>3795</v>
      </c>
      <c r="C16" s="280" t="s">
        <v>3794</v>
      </c>
      <c r="D16" s="281" t="s">
        <v>3793</v>
      </c>
      <c r="E16" s="280" t="s">
        <v>3293</v>
      </c>
      <c r="F16" s="280" t="s">
        <v>3792</v>
      </c>
      <c r="G16" s="278" t="s">
        <v>3291</v>
      </c>
      <c r="H16" s="278" t="s">
        <v>3290</v>
      </c>
      <c r="I16" s="278" t="s">
        <v>3289</v>
      </c>
      <c r="J16" s="279">
        <v>36298</v>
      </c>
      <c r="K16" s="278" t="s">
        <v>3321</v>
      </c>
    </row>
    <row r="17" spans="1:11" outlineLevel="1">
      <c r="A17" s="280" t="s">
        <v>2574</v>
      </c>
      <c r="B17" s="280" t="s">
        <v>3791</v>
      </c>
      <c r="C17" s="280" t="s">
        <v>3791</v>
      </c>
      <c r="D17" s="281" t="s">
        <v>3790</v>
      </c>
      <c r="E17" s="280" t="s">
        <v>3293</v>
      </c>
      <c r="F17" s="280" t="s">
        <v>3789</v>
      </c>
      <c r="G17" s="278" t="s">
        <v>3291</v>
      </c>
      <c r="H17" s="278" t="s">
        <v>3290</v>
      </c>
      <c r="I17" s="278" t="s">
        <v>3289</v>
      </c>
      <c r="J17" s="279">
        <v>36478</v>
      </c>
      <c r="K17" s="278" t="s">
        <v>3321</v>
      </c>
    </row>
    <row r="18" spans="1:11" outlineLevel="1">
      <c r="A18" s="280" t="s">
        <v>2577</v>
      </c>
      <c r="B18" s="280" t="s">
        <v>3788</v>
      </c>
      <c r="C18" s="280" t="s">
        <v>3787</v>
      </c>
      <c r="D18" s="281" t="s">
        <v>3786</v>
      </c>
      <c r="E18" s="280" t="s">
        <v>3293</v>
      </c>
      <c r="F18" s="280" t="s">
        <v>3785</v>
      </c>
      <c r="G18" s="278" t="s">
        <v>3291</v>
      </c>
      <c r="H18" s="278" t="s">
        <v>3290</v>
      </c>
      <c r="I18" s="278" t="s">
        <v>3289</v>
      </c>
      <c r="J18" s="279">
        <v>36052</v>
      </c>
      <c r="K18" s="278" t="s">
        <v>3321</v>
      </c>
    </row>
    <row r="19" spans="1:11" outlineLevel="1">
      <c r="A19" s="280" t="s">
        <v>2580</v>
      </c>
      <c r="B19" s="280" t="s">
        <v>3784</v>
      </c>
      <c r="C19" s="280" t="s">
        <v>3784</v>
      </c>
      <c r="D19" s="281" t="s">
        <v>3783</v>
      </c>
      <c r="E19" s="280" t="s">
        <v>3293</v>
      </c>
      <c r="F19" s="280" t="s">
        <v>3782</v>
      </c>
      <c r="G19" s="278" t="s">
        <v>3291</v>
      </c>
      <c r="H19" s="278" t="s">
        <v>3290</v>
      </c>
      <c r="I19" s="278" t="s">
        <v>3289</v>
      </c>
      <c r="J19" s="279">
        <v>35907</v>
      </c>
      <c r="K19" s="278" t="s">
        <v>3321</v>
      </c>
    </row>
    <row r="20" spans="1:11" outlineLevel="1">
      <c r="A20" s="280" t="s">
        <v>2587</v>
      </c>
      <c r="B20" s="280" t="s">
        <v>3252</v>
      </c>
      <c r="C20" s="280" t="s">
        <v>3781</v>
      </c>
      <c r="D20" s="281" t="s">
        <v>3780</v>
      </c>
      <c r="E20" s="280" t="s">
        <v>3293</v>
      </c>
      <c r="F20" s="280" t="s">
        <v>3779</v>
      </c>
      <c r="G20" s="278" t="s">
        <v>3291</v>
      </c>
      <c r="H20" s="278" t="s">
        <v>3290</v>
      </c>
      <c r="I20" s="278" t="s">
        <v>3289</v>
      </c>
      <c r="J20" s="279">
        <v>35771</v>
      </c>
      <c r="K20" s="278" t="s">
        <v>3321</v>
      </c>
    </row>
    <row r="21" spans="1:11" outlineLevel="1">
      <c r="A21" s="280" t="s">
        <v>2579</v>
      </c>
      <c r="B21" s="280" t="s">
        <v>3778</v>
      </c>
      <c r="C21" s="280" t="s">
        <v>3777</v>
      </c>
      <c r="D21" s="281" t="s">
        <v>3776</v>
      </c>
      <c r="E21" s="280" t="s">
        <v>3293</v>
      </c>
      <c r="F21" s="280" t="s">
        <v>3775</v>
      </c>
      <c r="G21" s="278" t="s">
        <v>3291</v>
      </c>
      <c r="H21" s="278" t="s">
        <v>3290</v>
      </c>
      <c r="I21" s="278" t="s">
        <v>3289</v>
      </c>
      <c r="J21" s="279">
        <v>35571</v>
      </c>
      <c r="K21" s="278" t="s">
        <v>3321</v>
      </c>
    </row>
    <row r="22" spans="1:11" outlineLevel="1">
      <c r="A22" s="280" t="s">
        <v>2588</v>
      </c>
      <c r="B22" s="280" t="s">
        <v>3774</v>
      </c>
      <c r="C22" s="280" t="s">
        <v>3773</v>
      </c>
      <c r="D22" s="281" t="s">
        <v>3772</v>
      </c>
      <c r="E22" s="280" t="s">
        <v>3293</v>
      </c>
      <c r="F22" s="280" t="s">
        <v>3771</v>
      </c>
      <c r="G22" s="278" t="s">
        <v>3291</v>
      </c>
      <c r="H22" s="278" t="s">
        <v>3290</v>
      </c>
      <c r="I22" s="278" t="s">
        <v>3289</v>
      </c>
      <c r="J22" s="279">
        <v>34953</v>
      </c>
      <c r="K22" s="278" t="s">
        <v>3321</v>
      </c>
    </row>
    <row r="23" spans="1:11" outlineLevel="1">
      <c r="A23" s="280" t="s">
        <v>2575</v>
      </c>
      <c r="B23" s="280" t="s">
        <v>3250</v>
      </c>
      <c r="C23" s="280" t="s">
        <v>3770</v>
      </c>
      <c r="D23" s="281" t="s">
        <v>3769</v>
      </c>
      <c r="E23" s="280" t="s">
        <v>3293</v>
      </c>
      <c r="F23" s="280" t="s">
        <v>3768</v>
      </c>
      <c r="G23" s="278" t="s">
        <v>3291</v>
      </c>
      <c r="H23" s="278" t="s">
        <v>3290</v>
      </c>
      <c r="I23" s="278" t="s">
        <v>3289</v>
      </c>
      <c r="J23" s="279">
        <v>34445</v>
      </c>
      <c r="K23" s="278" t="s">
        <v>3321</v>
      </c>
    </row>
    <row r="24" spans="1:11">
      <c r="A24" s="282"/>
      <c r="B24" s="282" t="s">
        <v>3767</v>
      </c>
      <c r="C24" s="282"/>
      <c r="D24" s="282"/>
      <c r="E24" s="282"/>
      <c r="F24" s="282"/>
      <c r="G24" s="282"/>
      <c r="H24" s="282"/>
      <c r="I24" s="282"/>
      <c r="J24" s="282"/>
      <c r="K24" s="282"/>
    </row>
    <row r="25" spans="1:11" outlineLevel="1">
      <c r="A25" s="280" t="s">
        <v>3766</v>
      </c>
      <c r="B25" s="280" t="s">
        <v>3261</v>
      </c>
      <c r="C25" s="280" t="s">
        <v>3261</v>
      </c>
      <c r="D25" s="281" t="s">
        <v>3765</v>
      </c>
      <c r="E25" s="280" t="s">
        <v>3293</v>
      </c>
      <c r="F25" s="280" t="s">
        <v>3764</v>
      </c>
      <c r="G25" s="278" t="s">
        <v>3291</v>
      </c>
      <c r="H25" s="278" t="s">
        <v>3290</v>
      </c>
      <c r="I25" s="278" t="s">
        <v>3289</v>
      </c>
      <c r="J25" s="279">
        <v>31934</v>
      </c>
      <c r="K25" s="278" t="s">
        <v>3321</v>
      </c>
    </row>
    <row r="26" spans="1:11" outlineLevel="1">
      <c r="A26" s="280" t="s">
        <v>2656</v>
      </c>
      <c r="B26" s="280" t="s">
        <v>3763</v>
      </c>
      <c r="C26" s="280" t="s">
        <v>3762</v>
      </c>
      <c r="D26" s="281" t="s">
        <v>3761</v>
      </c>
      <c r="E26" s="280" t="s">
        <v>3293</v>
      </c>
      <c r="F26" s="280" t="s">
        <v>3760</v>
      </c>
      <c r="G26" s="278" t="s">
        <v>3291</v>
      </c>
      <c r="H26" s="278" t="s">
        <v>3290</v>
      </c>
      <c r="I26" s="278" t="s">
        <v>3289</v>
      </c>
      <c r="J26" s="279">
        <v>32463</v>
      </c>
      <c r="K26" s="278" t="s">
        <v>3321</v>
      </c>
    </row>
    <row r="27" spans="1:11" outlineLevel="1">
      <c r="A27" s="280" t="s">
        <v>2526</v>
      </c>
      <c r="B27" s="280" t="s">
        <v>3759</v>
      </c>
      <c r="C27" s="280" t="s">
        <v>3758</v>
      </c>
      <c r="D27" s="281" t="s">
        <v>3757</v>
      </c>
      <c r="E27" s="280" t="s">
        <v>3293</v>
      </c>
      <c r="F27" s="280" t="s">
        <v>3756</v>
      </c>
      <c r="G27" s="278" t="s">
        <v>3291</v>
      </c>
      <c r="H27" s="278" t="s">
        <v>3290</v>
      </c>
      <c r="I27" s="278" t="s">
        <v>3289</v>
      </c>
      <c r="J27" s="279">
        <v>32296</v>
      </c>
      <c r="K27" s="278" t="s">
        <v>3321</v>
      </c>
    </row>
    <row r="28" spans="1:11">
      <c r="A28" s="282"/>
      <c r="B28" s="282" t="s">
        <v>3755</v>
      </c>
      <c r="C28" s="282"/>
      <c r="D28" s="282"/>
      <c r="E28" s="282"/>
      <c r="F28" s="282"/>
      <c r="G28" s="282"/>
      <c r="H28" s="282"/>
      <c r="I28" s="282"/>
      <c r="J28" s="282"/>
      <c r="K28" s="282"/>
    </row>
    <row r="29" spans="1:11" outlineLevel="1">
      <c r="A29" s="280" t="s">
        <v>2570</v>
      </c>
      <c r="B29" s="280" t="s">
        <v>3754</v>
      </c>
      <c r="C29" s="280" t="s">
        <v>3753</v>
      </c>
      <c r="D29" s="281" t="s">
        <v>3752</v>
      </c>
      <c r="E29" s="280" t="s">
        <v>3293</v>
      </c>
      <c r="F29" s="280" t="s">
        <v>3751</v>
      </c>
      <c r="G29" s="278" t="s">
        <v>3291</v>
      </c>
      <c r="H29" s="278" t="s">
        <v>3290</v>
      </c>
      <c r="I29" s="278" t="s">
        <v>3289</v>
      </c>
      <c r="J29" s="279">
        <v>36437</v>
      </c>
      <c r="K29" s="278" t="s">
        <v>3321</v>
      </c>
    </row>
    <row r="30" spans="1:11" outlineLevel="1">
      <c r="A30" s="280" t="s">
        <v>2567</v>
      </c>
      <c r="B30" s="280" t="s">
        <v>3750</v>
      </c>
      <c r="C30" s="280" t="s">
        <v>3750</v>
      </c>
      <c r="D30" s="281" t="s">
        <v>3749</v>
      </c>
      <c r="E30" s="280" t="s">
        <v>3293</v>
      </c>
      <c r="F30" s="280" t="s">
        <v>3748</v>
      </c>
      <c r="G30" s="278" t="s">
        <v>3291</v>
      </c>
      <c r="H30" s="278" t="s">
        <v>3290</v>
      </c>
      <c r="I30" s="278" t="s">
        <v>3289</v>
      </c>
      <c r="J30" s="279">
        <v>35859</v>
      </c>
      <c r="K30" s="278" t="s">
        <v>3321</v>
      </c>
    </row>
    <row r="31" spans="1:11" outlineLevel="1">
      <c r="A31" s="280" t="s">
        <v>3746</v>
      </c>
      <c r="B31" s="280" t="s">
        <v>3747</v>
      </c>
      <c r="C31" s="280" t="s">
        <v>3745</v>
      </c>
      <c r="D31" s="281" t="s">
        <v>3744</v>
      </c>
      <c r="E31" s="280" t="s">
        <v>3293</v>
      </c>
      <c r="F31" s="280" t="s">
        <v>3293</v>
      </c>
      <c r="G31" s="278" t="s">
        <v>3291</v>
      </c>
      <c r="H31" s="278" t="s">
        <v>3290</v>
      </c>
      <c r="I31" s="278" t="s">
        <v>3289</v>
      </c>
      <c r="J31" s="279">
        <v>36484</v>
      </c>
      <c r="K31" s="278" t="s">
        <v>3321</v>
      </c>
    </row>
    <row r="32" spans="1:11" outlineLevel="1">
      <c r="A32" s="280" t="s">
        <v>2568</v>
      </c>
      <c r="B32" s="280" t="s">
        <v>3743</v>
      </c>
      <c r="C32" s="280" t="s">
        <v>3743</v>
      </c>
      <c r="D32" s="281" t="s">
        <v>3742</v>
      </c>
      <c r="E32" s="280" t="s">
        <v>3293</v>
      </c>
      <c r="F32" s="280" t="s">
        <v>3741</v>
      </c>
      <c r="G32" s="278" t="s">
        <v>3291</v>
      </c>
      <c r="H32" s="278" t="s">
        <v>3290</v>
      </c>
      <c r="I32" s="278" t="s">
        <v>3289</v>
      </c>
      <c r="J32" s="279">
        <v>35852</v>
      </c>
      <c r="K32" s="278" t="s">
        <v>3321</v>
      </c>
    </row>
    <row r="33" spans="1:11" outlineLevel="1">
      <c r="A33" s="280" t="s">
        <v>2573</v>
      </c>
      <c r="B33" s="280" t="s">
        <v>3740</v>
      </c>
      <c r="C33" s="280" t="s">
        <v>3739</v>
      </c>
      <c r="D33" s="281" t="s">
        <v>3738</v>
      </c>
      <c r="E33" s="280" t="s">
        <v>3293</v>
      </c>
      <c r="F33" s="280" t="s">
        <v>3737</v>
      </c>
      <c r="G33" s="278" t="s">
        <v>3291</v>
      </c>
      <c r="H33" s="278" t="s">
        <v>3290</v>
      </c>
      <c r="I33" s="278" t="s">
        <v>3289</v>
      </c>
      <c r="J33" s="279">
        <v>34040</v>
      </c>
      <c r="K33" s="278" t="s">
        <v>3321</v>
      </c>
    </row>
    <row r="34" spans="1:11" outlineLevel="1">
      <c r="A34" s="280" t="s">
        <v>3735</v>
      </c>
      <c r="B34" s="280" t="s">
        <v>3736</v>
      </c>
      <c r="C34" s="280" t="s">
        <v>3734</v>
      </c>
      <c r="D34" s="281" t="s">
        <v>3733</v>
      </c>
      <c r="E34" s="280" t="s">
        <v>3293</v>
      </c>
      <c r="F34" s="280" t="s">
        <v>3732</v>
      </c>
      <c r="G34" s="278" t="s">
        <v>3291</v>
      </c>
      <c r="H34" s="278" t="s">
        <v>3290</v>
      </c>
      <c r="I34" s="278" t="s">
        <v>3289</v>
      </c>
      <c r="J34" s="279">
        <v>32223</v>
      </c>
      <c r="K34" s="278" t="s">
        <v>3321</v>
      </c>
    </row>
    <row r="35" spans="1:11" outlineLevel="1">
      <c r="A35" s="280" t="s">
        <v>3731</v>
      </c>
      <c r="B35" s="280" t="s">
        <v>3730</v>
      </c>
      <c r="C35" s="280" t="s">
        <v>3730</v>
      </c>
      <c r="D35" s="281" t="s">
        <v>3293</v>
      </c>
      <c r="E35" s="280" t="s">
        <v>3293</v>
      </c>
      <c r="F35" s="280" t="s">
        <v>3729</v>
      </c>
      <c r="G35" s="278" t="s">
        <v>3291</v>
      </c>
      <c r="H35" s="278" t="s">
        <v>3293</v>
      </c>
      <c r="I35" s="278" t="s">
        <v>3293</v>
      </c>
      <c r="J35" s="279">
        <v>18264</v>
      </c>
      <c r="K35" s="278" t="s">
        <v>3321</v>
      </c>
    </row>
    <row r="36" spans="1:11" outlineLevel="1">
      <c r="A36" s="280" t="s">
        <v>3728</v>
      </c>
      <c r="B36" s="280" t="s">
        <v>3727</v>
      </c>
      <c r="C36" s="280" t="s">
        <v>3727</v>
      </c>
      <c r="D36" s="281" t="s">
        <v>3726</v>
      </c>
      <c r="E36" s="280" t="s">
        <v>3293</v>
      </c>
      <c r="F36" s="280" t="s">
        <v>3725</v>
      </c>
      <c r="G36" s="278" t="s">
        <v>3291</v>
      </c>
      <c r="H36" s="278" t="s">
        <v>3290</v>
      </c>
      <c r="I36" s="278" t="s">
        <v>3289</v>
      </c>
      <c r="J36" s="279">
        <v>36954</v>
      </c>
      <c r="K36" s="278" t="s">
        <v>3321</v>
      </c>
    </row>
    <row r="37" spans="1:11" outlineLevel="1">
      <c r="A37" s="280" t="s">
        <v>2571</v>
      </c>
      <c r="B37" s="280" t="s">
        <v>3724</v>
      </c>
      <c r="C37" s="280" t="s">
        <v>3724</v>
      </c>
      <c r="D37" s="281" t="s">
        <v>3723</v>
      </c>
      <c r="E37" s="280" t="s">
        <v>3293</v>
      </c>
      <c r="F37" s="280" t="s">
        <v>3722</v>
      </c>
      <c r="G37" s="278" t="s">
        <v>3291</v>
      </c>
      <c r="H37" s="278" t="s">
        <v>3290</v>
      </c>
      <c r="I37" s="278" t="s">
        <v>3289</v>
      </c>
      <c r="J37" s="279">
        <v>36277</v>
      </c>
      <c r="K37" s="278" t="s">
        <v>3321</v>
      </c>
    </row>
    <row r="38" spans="1:11" outlineLevel="1">
      <c r="A38" s="280" t="s">
        <v>3721</v>
      </c>
      <c r="B38" s="280" t="s">
        <v>3720</v>
      </c>
      <c r="C38" s="280" t="s">
        <v>3720</v>
      </c>
      <c r="D38" s="281" t="s">
        <v>3293</v>
      </c>
      <c r="E38" s="280" t="s">
        <v>3293</v>
      </c>
      <c r="F38" s="280" t="s">
        <v>3719</v>
      </c>
      <c r="G38" s="278" t="s">
        <v>3291</v>
      </c>
      <c r="H38" s="278" t="s">
        <v>3293</v>
      </c>
      <c r="I38" s="278" t="s">
        <v>3293</v>
      </c>
      <c r="J38" s="279">
        <v>18264</v>
      </c>
      <c r="K38" s="278" t="s">
        <v>3321</v>
      </c>
    </row>
    <row r="39" spans="1:11" outlineLevel="1">
      <c r="A39" s="280" t="s">
        <v>3718</v>
      </c>
      <c r="B39" s="280" t="s">
        <v>3717</v>
      </c>
      <c r="C39" s="280" t="s">
        <v>3717</v>
      </c>
      <c r="D39" s="281" t="s">
        <v>3716</v>
      </c>
      <c r="E39" s="280" t="s">
        <v>3293</v>
      </c>
      <c r="F39" s="280" t="s">
        <v>3715</v>
      </c>
      <c r="G39" s="278" t="s">
        <v>3291</v>
      </c>
      <c r="H39" s="278" t="s">
        <v>3290</v>
      </c>
      <c r="I39" s="278" t="s">
        <v>3289</v>
      </c>
      <c r="J39" s="279">
        <v>36680</v>
      </c>
      <c r="K39" s="278" t="s">
        <v>3321</v>
      </c>
    </row>
    <row r="40" spans="1:11" outlineLevel="1">
      <c r="A40" s="280" t="s">
        <v>2565</v>
      </c>
      <c r="B40" s="280" t="s">
        <v>3255</v>
      </c>
      <c r="C40" s="280" t="s">
        <v>3255</v>
      </c>
      <c r="D40" s="281" t="s">
        <v>3714</v>
      </c>
      <c r="E40" s="280" t="s">
        <v>3293</v>
      </c>
      <c r="F40" s="280" t="s">
        <v>3713</v>
      </c>
      <c r="G40" s="278" t="s">
        <v>3291</v>
      </c>
      <c r="H40" s="278" t="s">
        <v>3290</v>
      </c>
      <c r="I40" s="278" t="s">
        <v>3289</v>
      </c>
      <c r="J40" s="279">
        <v>36207</v>
      </c>
      <c r="K40" s="278" t="s">
        <v>3321</v>
      </c>
    </row>
    <row r="41" spans="1:11" outlineLevel="1">
      <c r="A41" s="280" t="s">
        <v>2572</v>
      </c>
      <c r="B41" s="280" t="s">
        <v>3260</v>
      </c>
      <c r="C41" s="280" t="s">
        <v>3260</v>
      </c>
      <c r="D41" s="281" t="s">
        <v>3712</v>
      </c>
      <c r="E41" s="280" t="s">
        <v>3293</v>
      </c>
      <c r="F41" s="280" t="s">
        <v>3711</v>
      </c>
      <c r="G41" s="278" t="s">
        <v>3291</v>
      </c>
      <c r="H41" s="278" t="s">
        <v>3290</v>
      </c>
      <c r="I41" s="278" t="s">
        <v>3289</v>
      </c>
      <c r="J41" s="279">
        <v>35677</v>
      </c>
      <c r="K41" s="278" t="s">
        <v>3321</v>
      </c>
    </row>
    <row r="42" spans="1:11" outlineLevel="1">
      <c r="A42" s="280" t="s">
        <v>2566</v>
      </c>
      <c r="B42" s="280" t="s">
        <v>3710</v>
      </c>
      <c r="C42" s="280" t="s">
        <v>3710</v>
      </c>
      <c r="D42" s="281" t="s">
        <v>3709</v>
      </c>
      <c r="E42" s="280" t="s">
        <v>3293</v>
      </c>
      <c r="F42" s="280" t="s">
        <v>3708</v>
      </c>
      <c r="G42" s="278" t="s">
        <v>3291</v>
      </c>
      <c r="H42" s="278" t="s">
        <v>3290</v>
      </c>
      <c r="I42" s="278" t="s">
        <v>3289</v>
      </c>
      <c r="J42" s="279">
        <v>36041</v>
      </c>
      <c r="K42" s="278" t="s">
        <v>3321</v>
      </c>
    </row>
    <row r="43" spans="1:11" outlineLevel="1">
      <c r="A43" s="280" t="s">
        <v>2666</v>
      </c>
      <c r="B43" s="280" t="s">
        <v>3707</v>
      </c>
      <c r="C43" s="280" t="s">
        <v>3706</v>
      </c>
      <c r="D43" s="281" t="s">
        <v>3705</v>
      </c>
      <c r="E43" s="280" t="s">
        <v>3293</v>
      </c>
      <c r="F43" s="280" t="s">
        <v>3704</v>
      </c>
      <c r="G43" s="278" t="s">
        <v>3291</v>
      </c>
      <c r="H43" s="278" t="s">
        <v>3290</v>
      </c>
      <c r="I43" s="278" t="s">
        <v>3289</v>
      </c>
      <c r="J43" s="279">
        <v>33942</v>
      </c>
      <c r="K43" s="278" t="s">
        <v>3288</v>
      </c>
    </row>
    <row r="44" spans="1:11">
      <c r="A44" s="282"/>
      <c r="B44" s="282" t="s">
        <v>3703</v>
      </c>
      <c r="C44" s="282"/>
      <c r="D44" s="282"/>
      <c r="E44" s="282"/>
      <c r="F44" s="282"/>
      <c r="G44" s="282"/>
      <c r="H44" s="282"/>
      <c r="I44" s="282"/>
      <c r="J44" s="282"/>
      <c r="K44" s="282"/>
    </row>
    <row r="45" spans="1:11" outlineLevel="1">
      <c r="A45" s="280" t="s">
        <v>151</v>
      </c>
      <c r="B45" s="280" t="s">
        <v>3702</v>
      </c>
      <c r="C45" s="280" t="s">
        <v>3702</v>
      </c>
      <c r="D45" s="281" t="s">
        <v>3701</v>
      </c>
      <c r="E45" s="280" t="s">
        <v>3293</v>
      </c>
      <c r="F45" s="280" t="s">
        <v>3293</v>
      </c>
      <c r="G45" s="278" t="s">
        <v>3291</v>
      </c>
      <c r="H45" s="278" t="s">
        <v>3290</v>
      </c>
      <c r="I45" s="278" t="s">
        <v>3289</v>
      </c>
      <c r="J45" s="279">
        <v>27230</v>
      </c>
      <c r="K45" s="278" t="s">
        <v>3288</v>
      </c>
    </row>
    <row r="46" spans="1:11" outlineLevel="1">
      <c r="A46" s="280" t="s">
        <v>2534</v>
      </c>
      <c r="B46" s="280" t="s">
        <v>3700</v>
      </c>
      <c r="C46" s="280" t="s">
        <v>3699</v>
      </c>
      <c r="D46" s="281" t="s">
        <v>3698</v>
      </c>
      <c r="E46" s="280" t="s">
        <v>3293</v>
      </c>
      <c r="F46" s="280" t="s">
        <v>3293</v>
      </c>
      <c r="G46" s="278" t="s">
        <v>3291</v>
      </c>
      <c r="H46" s="278" t="s">
        <v>3290</v>
      </c>
      <c r="I46" s="278" t="s">
        <v>3289</v>
      </c>
      <c r="J46" s="279">
        <v>32474</v>
      </c>
      <c r="K46" s="278" t="s">
        <v>3288</v>
      </c>
    </row>
    <row r="47" spans="1:11" outlineLevel="1">
      <c r="A47" s="280" t="s">
        <v>2535</v>
      </c>
      <c r="B47" s="280" t="s">
        <v>3697</v>
      </c>
      <c r="C47" s="280" t="s">
        <v>3696</v>
      </c>
      <c r="D47" s="281" t="s">
        <v>3695</v>
      </c>
      <c r="E47" s="280" t="s">
        <v>3293</v>
      </c>
      <c r="F47" s="280" t="s">
        <v>3293</v>
      </c>
      <c r="G47" s="278" t="s">
        <v>3291</v>
      </c>
      <c r="H47" s="278" t="s">
        <v>3290</v>
      </c>
      <c r="I47" s="278" t="s">
        <v>3289</v>
      </c>
      <c r="J47" s="279">
        <v>34827</v>
      </c>
      <c r="K47" s="278" t="s">
        <v>3288</v>
      </c>
    </row>
    <row r="48" spans="1:11" outlineLevel="1">
      <c r="A48" s="280" t="s">
        <v>2533</v>
      </c>
      <c r="B48" s="280" t="s">
        <v>3694</v>
      </c>
      <c r="C48" s="280" t="s">
        <v>3693</v>
      </c>
      <c r="D48" s="281" t="s">
        <v>3692</v>
      </c>
      <c r="E48" s="280" t="s">
        <v>3293</v>
      </c>
      <c r="F48" s="280" t="s">
        <v>3293</v>
      </c>
      <c r="G48" s="278" t="s">
        <v>3291</v>
      </c>
      <c r="H48" s="278" t="s">
        <v>3290</v>
      </c>
      <c r="I48" s="278" t="s">
        <v>3289</v>
      </c>
      <c r="J48" s="279">
        <v>33118</v>
      </c>
      <c r="K48" s="278" t="s">
        <v>3288</v>
      </c>
    </row>
    <row r="49" spans="1:11" outlineLevel="1">
      <c r="A49" s="280" t="s">
        <v>222</v>
      </c>
      <c r="B49" s="280" t="s">
        <v>3280</v>
      </c>
      <c r="C49" s="280" t="s">
        <v>3280</v>
      </c>
      <c r="D49" s="281" t="s">
        <v>3691</v>
      </c>
      <c r="E49" s="280" t="s">
        <v>3293</v>
      </c>
      <c r="F49" s="280" t="s">
        <v>3690</v>
      </c>
      <c r="G49" s="278" t="s">
        <v>3291</v>
      </c>
      <c r="H49" s="278" t="s">
        <v>3290</v>
      </c>
      <c r="I49" s="278" t="s">
        <v>3289</v>
      </c>
      <c r="J49" s="279">
        <v>31476</v>
      </c>
      <c r="K49" s="278" t="s">
        <v>3321</v>
      </c>
    </row>
    <row r="50" spans="1:11" outlineLevel="1">
      <c r="A50" s="280" t="s">
        <v>3689</v>
      </c>
      <c r="B50" s="280" t="s">
        <v>3688</v>
      </c>
      <c r="C50" s="280" t="s">
        <v>3688</v>
      </c>
      <c r="D50" s="281" t="s">
        <v>3687</v>
      </c>
      <c r="E50" s="280" t="s">
        <v>3293</v>
      </c>
      <c r="F50" s="280" t="s">
        <v>3293</v>
      </c>
      <c r="G50" s="278" t="s">
        <v>3291</v>
      </c>
      <c r="H50" s="278" t="s">
        <v>3290</v>
      </c>
      <c r="I50" s="278" t="s">
        <v>3289</v>
      </c>
      <c r="J50" s="279">
        <v>30051</v>
      </c>
      <c r="K50" s="278" t="s">
        <v>3321</v>
      </c>
    </row>
    <row r="51" spans="1:11" outlineLevel="1">
      <c r="A51" s="280" t="s">
        <v>220</v>
      </c>
      <c r="B51" s="280" t="s">
        <v>3686</v>
      </c>
      <c r="C51" s="280" t="s">
        <v>3685</v>
      </c>
      <c r="D51" s="281" t="s">
        <v>3684</v>
      </c>
      <c r="E51" s="280" t="s">
        <v>3293</v>
      </c>
      <c r="F51" s="280" t="s">
        <v>3683</v>
      </c>
      <c r="G51" s="278" t="s">
        <v>3291</v>
      </c>
      <c r="H51" s="278" t="s">
        <v>3290</v>
      </c>
      <c r="I51" s="278" t="s">
        <v>3289</v>
      </c>
      <c r="J51" s="279">
        <v>30544</v>
      </c>
      <c r="K51" s="278" t="s">
        <v>3321</v>
      </c>
    </row>
    <row r="52" spans="1:11" outlineLevel="1">
      <c r="A52" s="280" t="s">
        <v>3681</v>
      </c>
      <c r="B52" s="280" t="s">
        <v>3682</v>
      </c>
      <c r="C52" s="280" t="s">
        <v>3680</v>
      </c>
      <c r="D52" s="281" t="s">
        <v>3679</v>
      </c>
      <c r="E52" s="280" t="s">
        <v>3293</v>
      </c>
      <c r="F52" s="280" t="s">
        <v>3678</v>
      </c>
      <c r="G52" s="278" t="s">
        <v>3677</v>
      </c>
      <c r="H52" s="278" t="s">
        <v>3290</v>
      </c>
      <c r="I52" s="278" t="s">
        <v>3289</v>
      </c>
      <c r="J52" s="279">
        <v>31226</v>
      </c>
      <c r="K52" s="278" t="s">
        <v>3321</v>
      </c>
    </row>
    <row r="53" spans="1:11" outlineLevel="1">
      <c r="A53" s="280" t="s">
        <v>106</v>
      </c>
      <c r="B53" s="280" t="s">
        <v>3676</v>
      </c>
      <c r="C53" s="280" t="s">
        <v>3675</v>
      </c>
      <c r="D53" s="281" t="s">
        <v>3674</v>
      </c>
      <c r="E53" s="280" t="s">
        <v>3293</v>
      </c>
      <c r="F53" s="280" t="s">
        <v>3673</v>
      </c>
      <c r="G53" s="278" t="s">
        <v>3291</v>
      </c>
      <c r="H53" s="278" t="s">
        <v>3290</v>
      </c>
      <c r="I53" s="278" t="s">
        <v>3289</v>
      </c>
      <c r="J53" s="279">
        <v>36063</v>
      </c>
      <c r="K53" s="278" t="s">
        <v>3288</v>
      </c>
    </row>
    <row r="54" spans="1:11" outlineLevel="1">
      <c r="A54" s="280" t="s">
        <v>119</v>
      </c>
      <c r="B54" s="280" t="s">
        <v>3672</v>
      </c>
      <c r="C54" s="280" t="s">
        <v>3671</v>
      </c>
      <c r="D54" s="281" t="s">
        <v>3670</v>
      </c>
      <c r="E54" s="280" t="s">
        <v>3293</v>
      </c>
      <c r="F54" s="280" t="s">
        <v>3669</v>
      </c>
      <c r="G54" s="278" t="s">
        <v>3291</v>
      </c>
      <c r="H54" s="278" t="s">
        <v>3290</v>
      </c>
      <c r="I54" s="278" t="s">
        <v>3289</v>
      </c>
      <c r="J54" s="279">
        <v>32754</v>
      </c>
      <c r="K54" s="278" t="s">
        <v>3288</v>
      </c>
    </row>
    <row r="55" spans="1:11" outlineLevel="1">
      <c r="A55" s="280" t="s">
        <v>117</v>
      </c>
      <c r="B55" s="280" t="s">
        <v>3281</v>
      </c>
      <c r="C55" s="280" t="s">
        <v>3668</v>
      </c>
      <c r="D55" s="281" t="s">
        <v>3667</v>
      </c>
      <c r="E55" s="280" t="s">
        <v>3293</v>
      </c>
      <c r="F55" s="280" t="s">
        <v>3666</v>
      </c>
      <c r="G55" s="278" t="s">
        <v>3291</v>
      </c>
      <c r="H55" s="278" t="s">
        <v>3290</v>
      </c>
      <c r="I55" s="278" t="s">
        <v>3289</v>
      </c>
      <c r="J55" s="279">
        <v>34293</v>
      </c>
      <c r="K55" s="278" t="s">
        <v>3288</v>
      </c>
    </row>
    <row r="56" spans="1:11" outlineLevel="1">
      <c r="A56" s="280" t="s">
        <v>3665</v>
      </c>
      <c r="B56" s="280" t="s">
        <v>3664</v>
      </c>
      <c r="C56" s="280" t="s">
        <v>3664</v>
      </c>
      <c r="D56" s="281" t="s">
        <v>3663</v>
      </c>
      <c r="E56" s="280" t="s">
        <v>3293</v>
      </c>
      <c r="F56" s="280" t="s">
        <v>3662</v>
      </c>
      <c r="G56" s="278" t="s">
        <v>3291</v>
      </c>
      <c r="H56" s="278" t="s">
        <v>3290</v>
      </c>
      <c r="I56" s="278" t="s">
        <v>3289</v>
      </c>
      <c r="J56" s="279">
        <v>36277</v>
      </c>
      <c r="K56" s="278" t="s">
        <v>3288</v>
      </c>
    </row>
    <row r="57" spans="1:11" outlineLevel="1">
      <c r="A57" s="280" t="s">
        <v>217</v>
      </c>
      <c r="B57" s="280" t="s">
        <v>3283</v>
      </c>
      <c r="C57" s="280" t="s">
        <v>3283</v>
      </c>
      <c r="D57" s="281" t="s">
        <v>3293</v>
      </c>
      <c r="E57" s="280" t="s">
        <v>3293</v>
      </c>
      <c r="F57" s="280" t="s">
        <v>3661</v>
      </c>
      <c r="G57" s="278" t="s">
        <v>3291</v>
      </c>
      <c r="H57" s="278" t="s">
        <v>3293</v>
      </c>
      <c r="I57" s="278" t="s">
        <v>3293</v>
      </c>
      <c r="J57" s="279">
        <v>18264</v>
      </c>
      <c r="K57" s="278" t="s">
        <v>3321</v>
      </c>
    </row>
    <row r="58" spans="1:11" outlineLevel="1">
      <c r="A58" s="280" t="s">
        <v>114</v>
      </c>
      <c r="B58" s="280" t="s">
        <v>3660</v>
      </c>
      <c r="C58" s="280" t="s">
        <v>3660</v>
      </c>
      <c r="D58" s="281" t="s">
        <v>3659</v>
      </c>
      <c r="E58" s="280" t="s">
        <v>3293</v>
      </c>
      <c r="F58" s="280" t="s">
        <v>3658</v>
      </c>
      <c r="G58" s="278" t="s">
        <v>3291</v>
      </c>
      <c r="H58" s="278" t="s">
        <v>3290</v>
      </c>
      <c r="I58" s="278" t="s">
        <v>3289</v>
      </c>
      <c r="J58" s="279">
        <v>36456</v>
      </c>
      <c r="K58" s="278" t="s">
        <v>3321</v>
      </c>
    </row>
    <row r="59" spans="1:11" outlineLevel="1">
      <c r="A59" s="280" t="s">
        <v>3657</v>
      </c>
      <c r="B59" s="280" t="s">
        <v>3656</v>
      </c>
      <c r="C59" s="280" t="s">
        <v>3656</v>
      </c>
      <c r="D59" s="281" t="s">
        <v>3293</v>
      </c>
      <c r="E59" s="280" t="s">
        <v>3293</v>
      </c>
      <c r="F59" s="280" t="s">
        <v>3293</v>
      </c>
      <c r="G59" s="278" t="s">
        <v>3293</v>
      </c>
      <c r="H59" s="278" t="s">
        <v>3293</v>
      </c>
      <c r="I59" s="278" t="s">
        <v>3293</v>
      </c>
      <c r="J59" s="279" t="s">
        <v>3293</v>
      </c>
      <c r="K59" s="278" t="s">
        <v>3288</v>
      </c>
    </row>
    <row r="60" spans="1:11" outlineLevel="1">
      <c r="A60" s="280" t="s">
        <v>3655</v>
      </c>
      <c r="B60" s="280" t="s">
        <v>3654</v>
      </c>
      <c r="C60" s="280" t="s">
        <v>3654</v>
      </c>
      <c r="D60" s="281" t="s">
        <v>3293</v>
      </c>
      <c r="E60" s="280" t="s">
        <v>3293</v>
      </c>
      <c r="F60" s="280" t="s">
        <v>3293</v>
      </c>
      <c r="G60" s="278" t="s">
        <v>3293</v>
      </c>
      <c r="H60" s="278" t="s">
        <v>3293</v>
      </c>
      <c r="I60" s="278" t="s">
        <v>3293</v>
      </c>
      <c r="J60" s="279" t="s">
        <v>3293</v>
      </c>
      <c r="K60" s="278" t="s">
        <v>3288</v>
      </c>
    </row>
    <row r="61" spans="1:11" outlineLevel="1">
      <c r="A61" s="280" t="s">
        <v>2523</v>
      </c>
      <c r="B61" s="280" t="s">
        <v>3653</v>
      </c>
      <c r="C61" s="280" t="s">
        <v>3653</v>
      </c>
      <c r="D61" s="281" t="s">
        <v>3293</v>
      </c>
      <c r="E61" s="280" t="s">
        <v>3293</v>
      </c>
      <c r="F61" s="280" t="s">
        <v>3293</v>
      </c>
      <c r="G61" s="278" t="s">
        <v>3293</v>
      </c>
      <c r="H61" s="278" t="s">
        <v>3293</v>
      </c>
      <c r="I61" s="278" t="s">
        <v>3293</v>
      </c>
      <c r="J61" s="279" t="s">
        <v>3293</v>
      </c>
      <c r="K61" s="278" t="s">
        <v>3288</v>
      </c>
    </row>
    <row r="62" spans="1:11" outlineLevel="1">
      <c r="A62" s="280" t="s">
        <v>3652</v>
      </c>
      <c r="B62" s="280" t="s">
        <v>3651</v>
      </c>
      <c r="C62" s="280" t="s">
        <v>3651</v>
      </c>
      <c r="D62" s="281" t="s">
        <v>3293</v>
      </c>
      <c r="E62" s="280" t="s">
        <v>3293</v>
      </c>
      <c r="F62" s="280" t="s">
        <v>3293</v>
      </c>
      <c r="G62" s="278" t="s">
        <v>3293</v>
      </c>
      <c r="H62" s="278" t="s">
        <v>3293</v>
      </c>
      <c r="I62" s="278" t="s">
        <v>3293</v>
      </c>
      <c r="J62" s="279" t="s">
        <v>3293</v>
      </c>
      <c r="K62" s="278" t="s">
        <v>3288</v>
      </c>
    </row>
    <row r="63" spans="1:11">
      <c r="A63" s="282"/>
      <c r="B63" s="282" t="s">
        <v>3650</v>
      </c>
      <c r="C63" s="282"/>
      <c r="D63" s="282"/>
      <c r="E63" s="282"/>
      <c r="F63" s="282"/>
      <c r="G63" s="282"/>
      <c r="H63" s="282"/>
      <c r="I63" s="282"/>
      <c r="J63" s="282"/>
      <c r="K63" s="282"/>
    </row>
    <row r="64" spans="1:11" outlineLevel="1">
      <c r="A64" s="280" t="s">
        <v>2530</v>
      </c>
      <c r="B64" s="280" t="s">
        <v>3649</v>
      </c>
      <c r="C64" s="280" t="s">
        <v>3649</v>
      </c>
      <c r="D64" s="281" t="s">
        <v>3293</v>
      </c>
      <c r="E64" s="280" t="s">
        <v>3293</v>
      </c>
      <c r="F64" s="280" t="s">
        <v>3293</v>
      </c>
      <c r="G64" s="278" t="s">
        <v>3293</v>
      </c>
      <c r="H64" s="278" t="s">
        <v>3293</v>
      </c>
      <c r="I64" s="278" t="s">
        <v>3293</v>
      </c>
      <c r="J64" s="279" t="s">
        <v>3293</v>
      </c>
      <c r="K64" s="278" t="s">
        <v>3288</v>
      </c>
    </row>
    <row r="65" spans="1:11" outlineLevel="1">
      <c r="A65" s="280" t="s">
        <v>2531</v>
      </c>
      <c r="B65" s="280" t="s">
        <v>3648</v>
      </c>
      <c r="C65" s="280" t="s">
        <v>3648</v>
      </c>
      <c r="D65" s="281" t="s">
        <v>3293</v>
      </c>
      <c r="E65" s="280" t="s">
        <v>3293</v>
      </c>
      <c r="F65" s="280" t="s">
        <v>3293</v>
      </c>
      <c r="G65" s="278" t="s">
        <v>3293</v>
      </c>
      <c r="H65" s="278" t="s">
        <v>3293</v>
      </c>
      <c r="I65" s="278" t="s">
        <v>3293</v>
      </c>
      <c r="J65" s="279" t="s">
        <v>3293</v>
      </c>
      <c r="K65" s="278" t="s">
        <v>3288</v>
      </c>
    </row>
    <row r="66" spans="1:11" outlineLevel="1">
      <c r="A66" s="280" t="s">
        <v>504</v>
      </c>
      <c r="B66" s="280" t="s">
        <v>3647</v>
      </c>
      <c r="C66" s="280" t="s">
        <v>3646</v>
      </c>
      <c r="D66" s="281" t="s">
        <v>3645</v>
      </c>
      <c r="E66" s="280" t="s">
        <v>3293</v>
      </c>
      <c r="F66" s="280" t="s">
        <v>3644</v>
      </c>
      <c r="G66" s="278" t="s">
        <v>3291</v>
      </c>
      <c r="H66" s="278" t="s">
        <v>3290</v>
      </c>
      <c r="I66" s="278" t="s">
        <v>3289</v>
      </c>
      <c r="J66" s="279">
        <v>37074</v>
      </c>
      <c r="K66" s="278" t="s">
        <v>3288</v>
      </c>
    </row>
    <row r="67" spans="1:11" outlineLevel="1">
      <c r="A67" s="280" t="s">
        <v>463</v>
      </c>
      <c r="B67" s="280" t="s">
        <v>3643</v>
      </c>
      <c r="C67" s="280" t="s">
        <v>3643</v>
      </c>
      <c r="D67" s="281" t="s">
        <v>3642</v>
      </c>
      <c r="E67" s="280" t="s">
        <v>3293</v>
      </c>
      <c r="F67" s="280" t="s">
        <v>3641</v>
      </c>
      <c r="G67" s="278" t="s">
        <v>3291</v>
      </c>
      <c r="H67" s="278" t="s">
        <v>3290</v>
      </c>
      <c r="I67" s="278" t="s">
        <v>3289</v>
      </c>
      <c r="J67" s="279">
        <v>37155</v>
      </c>
      <c r="K67" s="278" t="s">
        <v>3288</v>
      </c>
    </row>
    <row r="68" spans="1:11" outlineLevel="1">
      <c r="A68" s="280" t="s">
        <v>538</v>
      </c>
      <c r="B68" s="280" t="s">
        <v>3264</v>
      </c>
      <c r="C68" s="280" t="s">
        <v>3264</v>
      </c>
      <c r="D68" s="281" t="s">
        <v>3640</v>
      </c>
      <c r="E68" s="280" t="s">
        <v>3293</v>
      </c>
      <c r="F68" s="280" t="s">
        <v>3639</v>
      </c>
      <c r="G68" s="278" t="s">
        <v>3291</v>
      </c>
      <c r="H68" s="278" t="s">
        <v>3290</v>
      </c>
      <c r="I68" s="278" t="s">
        <v>3289</v>
      </c>
      <c r="J68" s="279">
        <v>34389</v>
      </c>
      <c r="K68" s="278" t="s">
        <v>3288</v>
      </c>
    </row>
    <row r="69" spans="1:11" outlineLevel="1">
      <c r="A69" s="280" t="s">
        <v>448</v>
      </c>
      <c r="B69" s="280" t="s">
        <v>3278</v>
      </c>
      <c r="C69" s="280" t="s">
        <v>3278</v>
      </c>
      <c r="D69" s="281" t="s">
        <v>3638</v>
      </c>
      <c r="E69" s="280" t="s">
        <v>3293</v>
      </c>
      <c r="F69" s="280" t="s">
        <v>3637</v>
      </c>
      <c r="G69" s="278" t="s">
        <v>3291</v>
      </c>
      <c r="H69" s="278" t="s">
        <v>3290</v>
      </c>
      <c r="I69" s="278" t="s">
        <v>3289</v>
      </c>
      <c r="J69" s="279">
        <v>36497</v>
      </c>
      <c r="K69" s="278" t="s">
        <v>3288</v>
      </c>
    </row>
    <row r="70" spans="1:11" outlineLevel="1">
      <c r="A70" s="280" t="s">
        <v>466</v>
      </c>
      <c r="B70" s="280" t="s">
        <v>3636</v>
      </c>
      <c r="C70" s="280" t="s">
        <v>3635</v>
      </c>
      <c r="D70" s="281" t="s">
        <v>3634</v>
      </c>
      <c r="E70" s="280" t="s">
        <v>3293</v>
      </c>
      <c r="F70" s="280" t="s">
        <v>3633</v>
      </c>
      <c r="G70" s="278" t="s">
        <v>3291</v>
      </c>
      <c r="H70" s="278" t="s">
        <v>3293</v>
      </c>
      <c r="I70" s="278" t="s">
        <v>3293</v>
      </c>
      <c r="J70" s="279">
        <v>33533</v>
      </c>
      <c r="K70" s="278" t="s">
        <v>3288</v>
      </c>
    </row>
    <row r="71" spans="1:11" outlineLevel="1">
      <c r="A71" s="280" t="s">
        <v>3632</v>
      </c>
      <c r="B71" s="280" t="s">
        <v>3631</v>
      </c>
      <c r="C71" s="280" t="s">
        <v>3631</v>
      </c>
      <c r="D71" s="281" t="s">
        <v>3293</v>
      </c>
      <c r="E71" s="280" t="s">
        <v>3293</v>
      </c>
      <c r="F71" s="280" t="s">
        <v>3293</v>
      </c>
      <c r="G71" s="278" t="s">
        <v>3293</v>
      </c>
      <c r="H71" s="278" t="s">
        <v>3293</v>
      </c>
      <c r="I71" s="278" t="s">
        <v>3293</v>
      </c>
      <c r="J71" s="279">
        <v>33630</v>
      </c>
      <c r="K71" s="278" t="s">
        <v>3288</v>
      </c>
    </row>
    <row r="72" spans="1:11" outlineLevel="1">
      <c r="A72" s="280" t="s">
        <v>3629</v>
      </c>
      <c r="B72" s="280" t="s">
        <v>3630</v>
      </c>
      <c r="C72" s="280" t="s">
        <v>3628</v>
      </c>
      <c r="D72" s="281" t="s">
        <v>3627</v>
      </c>
      <c r="E72" s="280" t="s">
        <v>3293</v>
      </c>
      <c r="F72" s="280" t="s">
        <v>3626</v>
      </c>
      <c r="G72" s="278" t="s">
        <v>3291</v>
      </c>
      <c r="H72" s="278" t="s">
        <v>3290</v>
      </c>
      <c r="I72" s="278" t="s">
        <v>3289</v>
      </c>
      <c r="J72" s="279">
        <v>31713</v>
      </c>
      <c r="K72" s="278" t="s">
        <v>3288</v>
      </c>
    </row>
    <row r="73" spans="1:11">
      <c r="A73" s="282"/>
      <c r="B73" s="282" t="s">
        <v>3625</v>
      </c>
      <c r="C73" s="282"/>
      <c r="D73" s="282"/>
      <c r="E73" s="282"/>
      <c r="F73" s="282"/>
      <c r="G73" s="282"/>
      <c r="H73" s="282"/>
      <c r="I73" s="282"/>
      <c r="J73" s="282"/>
      <c r="K73" s="282"/>
    </row>
    <row r="74" spans="1:11" outlineLevel="1">
      <c r="A74" s="280" t="s">
        <v>2549</v>
      </c>
      <c r="B74" s="280" t="s">
        <v>3624</v>
      </c>
      <c r="C74" s="280" t="s">
        <v>3623</v>
      </c>
      <c r="D74" s="281" t="s">
        <v>3622</v>
      </c>
      <c r="E74" s="280" t="s">
        <v>3293</v>
      </c>
      <c r="F74" s="280" t="s">
        <v>3621</v>
      </c>
      <c r="G74" s="278" t="s">
        <v>3291</v>
      </c>
      <c r="H74" s="278" t="s">
        <v>3290</v>
      </c>
      <c r="I74" s="278" t="s">
        <v>3289</v>
      </c>
      <c r="J74" s="279">
        <v>36782</v>
      </c>
      <c r="K74" s="278" t="s">
        <v>3288</v>
      </c>
    </row>
    <row r="75" spans="1:11" outlineLevel="1">
      <c r="A75" s="280" t="s">
        <v>2559</v>
      </c>
      <c r="B75" s="280" t="s">
        <v>3620</v>
      </c>
      <c r="C75" s="280" t="s">
        <v>3620</v>
      </c>
      <c r="D75" s="281" t="s">
        <v>3293</v>
      </c>
      <c r="E75" s="280" t="s">
        <v>3293</v>
      </c>
      <c r="F75" s="280" t="s">
        <v>3619</v>
      </c>
      <c r="G75" s="278" t="s">
        <v>3291</v>
      </c>
      <c r="H75" s="278" t="s">
        <v>3293</v>
      </c>
      <c r="I75" s="278" t="s">
        <v>3293</v>
      </c>
      <c r="J75" s="279">
        <v>18264</v>
      </c>
      <c r="K75" s="278" t="s">
        <v>3321</v>
      </c>
    </row>
    <row r="76" spans="1:11" outlineLevel="1">
      <c r="A76" s="280" t="s">
        <v>3618</v>
      </c>
      <c r="B76" s="280" t="s">
        <v>3617</v>
      </c>
      <c r="C76" s="280" t="s">
        <v>3617</v>
      </c>
      <c r="D76" s="281" t="s">
        <v>3616</v>
      </c>
      <c r="E76" s="280" t="s">
        <v>3293</v>
      </c>
      <c r="F76" s="280" t="s">
        <v>3615</v>
      </c>
      <c r="G76" s="278" t="s">
        <v>3291</v>
      </c>
      <c r="H76" s="278" t="s">
        <v>3290</v>
      </c>
      <c r="I76" s="278" t="s">
        <v>3289</v>
      </c>
      <c r="J76" s="279">
        <v>36476</v>
      </c>
      <c r="K76" s="278" t="s">
        <v>3321</v>
      </c>
    </row>
    <row r="77" spans="1:11" outlineLevel="1">
      <c r="A77" s="280" t="s">
        <v>2555</v>
      </c>
      <c r="B77" s="280" t="s">
        <v>3614</v>
      </c>
      <c r="C77" s="280" t="s">
        <v>3613</v>
      </c>
      <c r="D77" s="281" t="s">
        <v>3612</v>
      </c>
      <c r="E77" s="280" t="s">
        <v>3293</v>
      </c>
      <c r="F77" s="280" t="s">
        <v>3611</v>
      </c>
      <c r="G77" s="278" t="s">
        <v>3291</v>
      </c>
      <c r="H77" s="278" t="s">
        <v>3290</v>
      </c>
      <c r="I77" s="278" t="s">
        <v>3289</v>
      </c>
      <c r="J77" s="279">
        <v>34890</v>
      </c>
      <c r="K77" s="278" t="s">
        <v>3321</v>
      </c>
    </row>
    <row r="78" spans="1:11" outlineLevel="1">
      <c r="A78" s="280" t="s">
        <v>3610</v>
      </c>
      <c r="B78" s="280" t="s">
        <v>3609</v>
      </c>
      <c r="C78" s="280" t="s">
        <v>3609</v>
      </c>
      <c r="D78" s="281" t="s">
        <v>3293</v>
      </c>
      <c r="E78" s="280" t="s">
        <v>3293</v>
      </c>
      <c r="F78" s="280" t="s">
        <v>3293</v>
      </c>
      <c r="G78" s="278" t="s">
        <v>3293</v>
      </c>
      <c r="H78" s="278" t="s">
        <v>3293</v>
      </c>
      <c r="I78" s="278" t="s">
        <v>3293</v>
      </c>
      <c r="J78" s="279" t="s">
        <v>3293</v>
      </c>
      <c r="K78" s="278" t="s">
        <v>3288</v>
      </c>
    </row>
    <row r="79" spans="1:11" outlineLevel="1">
      <c r="A79" s="280" t="s">
        <v>2560</v>
      </c>
      <c r="B79" s="280" t="s">
        <v>3608</v>
      </c>
      <c r="C79" s="280" t="s">
        <v>3608</v>
      </c>
      <c r="D79" s="281" t="s">
        <v>3293</v>
      </c>
      <c r="E79" s="280" t="s">
        <v>3293</v>
      </c>
      <c r="F79" s="280" t="s">
        <v>3293</v>
      </c>
      <c r="G79" s="278" t="s">
        <v>3293</v>
      </c>
      <c r="H79" s="278" t="s">
        <v>3293</v>
      </c>
      <c r="I79" s="278" t="s">
        <v>3293</v>
      </c>
      <c r="J79" s="279" t="s">
        <v>3293</v>
      </c>
      <c r="K79" s="278" t="s">
        <v>3288</v>
      </c>
    </row>
    <row r="80" spans="1:11" outlineLevel="1">
      <c r="A80" s="280" t="s">
        <v>2562</v>
      </c>
      <c r="B80" s="280" t="s">
        <v>3249</v>
      </c>
      <c r="C80" s="280" t="s">
        <v>3249</v>
      </c>
      <c r="D80" s="281" t="s">
        <v>3293</v>
      </c>
      <c r="E80" s="280" t="s">
        <v>3293</v>
      </c>
      <c r="F80" s="280" t="s">
        <v>3293</v>
      </c>
      <c r="G80" s="278" t="s">
        <v>3293</v>
      </c>
      <c r="H80" s="278" t="s">
        <v>3293</v>
      </c>
      <c r="I80" s="278" t="s">
        <v>3293</v>
      </c>
      <c r="J80" s="279" t="s">
        <v>3293</v>
      </c>
      <c r="K80" s="278" t="s">
        <v>3288</v>
      </c>
    </row>
    <row r="81" spans="1:11" outlineLevel="1">
      <c r="A81" s="280" t="s">
        <v>2561</v>
      </c>
      <c r="B81" s="280" t="s">
        <v>3607</v>
      </c>
      <c r="C81" s="280" t="s">
        <v>3607</v>
      </c>
      <c r="D81" s="281" t="s">
        <v>3293</v>
      </c>
      <c r="E81" s="280" t="s">
        <v>3293</v>
      </c>
      <c r="F81" s="280" t="s">
        <v>3293</v>
      </c>
      <c r="G81" s="278" t="s">
        <v>3293</v>
      </c>
      <c r="H81" s="278" t="s">
        <v>3293</v>
      </c>
      <c r="I81" s="278" t="s">
        <v>3293</v>
      </c>
      <c r="J81" s="279" t="s">
        <v>3293</v>
      </c>
      <c r="K81" s="278" t="s">
        <v>3288</v>
      </c>
    </row>
    <row r="82" spans="1:11" outlineLevel="1">
      <c r="A82" s="280" t="s">
        <v>3606</v>
      </c>
      <c r="B82" s="280" t="s">
        <v>3605</v>
      </c>
      <c r="C82" s="280" t="s">
        <v>3605</v>
      </c>
      <c r="D82" s="281" t="s">
        <v>3293</v>
      </c>
      <c r="E82" s="280" t="s">
        <v>3293</v>
      </c>
      <c r="F82" s="280" t="s">
        <v>3293</v>
      </c>
      <c r="G82" s="278" t="s">
        <v>3293</v>
      </c>
      <c r="H82" s="278" t="s">
        <v>3293</v>
      </c>
      <c r="I82" s="278" t="s">
        <v>3293</v>
      </c>
      <c r="J82" s="279" t="s">
        <v>3293</v>
      </c>
      <c r="K82" s="278" t="s">
        <v>3288</v>
      </c>
    </row>
    <row r="83" spans="1:11" outlineLevel="1">
      <c r="A83" s="280" t="s">
        <v>2563</v>
      </c>
      <c r="B83" s="280" t="s">
        <v>3604</v>
      </c>
      <c r="C83" s="280" t="s">
        <v>3604</v>
      </c>
      <c r="D83" s="281" t="s">
        <v>3293</v>
      </c>
      <c r="E83" s="280" t="s">
        <v>3293</v>
      </c>
      <c r="F83" s="280" t="s">
        <v>3293</v>
      </c>
      <c r="G83" s="278" t="s">
        <v>3293</v>
      </c>
      <c r="H83" s="278" t="s">
        <v>3293</v>
      </c>
      <c r="I83" s="278" t="s">
        <v>3293</v>
      </c>
      <c r="J83" s="279" t="s">
        <v>3293</v>
      </c>
      <c r="K83" s="278" t="s">
        <v>3288</v>
      </c>
    </row>
    <row r="84" spans="1:11" outlineLevel="1">
      <c r="A84" s="280" t="s">
        <v>2983</v>
      </c>
      <c r="B84" s="280" t="s">
        <v>3253</v>
      </c>
      <c r="C84" s="280" t="s">
        <v>3603</v>
      </c>
      <c r="D84" s="281" t="s">
        <v>3602</v>
      </c>
      <c r="E84" s="280" t="s">
        <v>3293</v>
      </c>
      <c r="F84" s="280" t="s">
        <v>3601</v>
      </c>
      <c r="G84" s="278" t="s">
        <v>3291</v>
      </c>
      <c r="H84" s="278" t="s">
        <v>3290</v>
      </c>
      <c r="I84" s="278" t="s">
        <v>3289</v>
      </c>
      <c r="J84" s="279">
        <v>34689</v>
      </c>
      <c r="K84" s="278" t="s">
        <v>3288</v>
      </c>
    </row>
    <row r="85" spans="1:11" outlineLevel="1">
      <c r="A85" s="280" t="s">
        <v>2558</v>
      </c>
      <c r="B85" s="280" t="s">
        <v>3251</v>
      </c>
      <c r="C85" s="280" t="s">
        <v>3600</v>
      </c>
      <c r="D85" s="281" t="s">
        <v>3293</v>
      </c>
      <c r="E85" s="280" t="s">
        <v>3293</v>
      </c>
      <c r="F85" s="280" t="s">
        <v>3599</v>
      </c>
      <c r="G85" s="278" t="s">
        <v>3291</v>
      </c>
      <c r="H85" s="278" t="s">
        <v>3293</v>
      </c>
      <c r="I85" s="278" t="s">
        <v>3293</v>
      </c>
      <c r="J85" s="279">
        <v>18264</v>
      </c>
      <c r="K85" s="278" t="s">
        <v>3288</v>
      </c>
    </row>
    <row r="86" spans="1:11" outlineLevel="1">
      <c r="A86" s="280" t="s">
        <v>3597</v>
      </c>
      <c r="B86" s="280" t="s">
        <v>3598</v>
      </c>
      <c r="C86" s="280" t="s">
        <v>3596</v>
      </c>
      <c r="D86" s="281" t="s">
        <v>3595</v>
      </c>
      <c r="E86" s="280" t="s">
        <v>3293</v>
      </c>
      <c r="F86" s="280" t="s">
        <v>3594</v>
      </c>
      <c r="G86" s="278" t="s">
        <v>3291</v>
      </c>
      <c r="H86" s="278" t="s">
        <v>3290</v>
      </c>
      <c r="I86" s="278" t="s">
        <v>3289</v>
      </c>
      <c r="J86" s="279">
        <v>34315</v>
      </c>
      <c r="K86" s="278" t="s">
        <v>3321</v>
      </c>
    </row>
    <row r="87" spans="1:11" outlineLevel="1">
      <c r="A87" s="280" t="s">
        <v>3593</v>
      </c>
      <c r="B87" s="280" t="s">
        <v>3592</v>
      </c>
      <c r="C87" s="280" t="s">
        <v>3592</v>
      </c>
      <c r="D87" s="281" t="s">
        <v>3591</v>
      </c>
      <c r="E87" s="280" t="s">
        <v>3293</v>
      </c>
      <c r="F87" s="280" t="s">
        <v>3293</v>
      </c>
      <c r="G87" s="278" t="s">
        <v>3291</v>
      </c>
      <c r="H87" s="278" t="s">
        <v>3290</v>
      </c>
      <c r="I87" s="278" t="s">
        <v>3289</v>
      </c>
      <c r="J87" s="279">
        <v>36601</v>
      </c>
      <c r="K87" s="278" t="s">
        <v>3288</v>
      </c>
    </row>
    <row r="88" spans="1:11" outlineLevel="1">
      <c r="A88" s="280" t="s">
        <v>2548</v>
      </c>
      <c r="B88" s="280" t="s">
        <v>3277</v>
      </c>
      <c r="C88" s="280" t="s">
        <v>3590</v>
      </c>
      <c r="D88" s="281" t="s">
        <v>3589</v>
      </c>
      <c r="E88" s="280" t="s">
        <v>3293</v>
      </c>
      <c r="F88" s="280" t="s">
        <v>3588</v>
      </c>
      <c r="G88" s="278" t="s">
        <v>3291</v>
      </c>
      <c r="H88" s="278" t="s">
        <v>3290</v>
      </c>
      <c r="I88" s="278" t="s">
        <v>3289</v>
      </c>
      <c r="J88" s="279">
        <v>36823</v>
      </c>
      <c r="K88" s="278" t="s">
        <v>3288</v>
      </c>
    </row>
    <row r="89" spans="1:11" outlineLevel="1">
      <c r="A89" s="280" t="s">
        <v>3587</v>
      </c>
      <c r="B89" s="280" t="s">
        <v>3586</v>
      </c>
      <c r="C89" s="280" t="s">
        <v>3586</v>
      </c>
      <c r="D89" s="281" t="s">
        <v>3293</v>
      </c>
      <c r="E89" s="280" t="s">
        <v>3293</v>
      </c>
      <c r="F89" s="280" t="s">
        <v>3293</v>
      </c>
      <c r="G89" s="278" t="s">
        <v>3293</v>
      </c>
      <c r="H89" s="278" t="s">
        <v>3293</v>
      </c>
      <c r="I89" s="278" t="s">
        <v>3293</v>
      </c>
      <c r="J89" s="279">
        <v>36850</v>
      </c>
      <c r="K89" s="278" t="s">
        <v>3288</v>
      </c>
    </row>
    <row r="90" spans="1:11" outlineLevel="1">
      <c r="A90" s="280" t="s">
        <v>3214</v>
      </c>
      <c r="B90" s="280" t="s">
        <v>3267</v>
      </c>
      <c r="C90" s="280" t="s">
        <v>3585</v>
      </c>
      <c r="D90" s="281" t="s">
        <v>3584</v>
      </c>
      <c r="E90" s="280" t="s">
        <v>3293</v>
      </c>
      <c r="F90" s="280" t="s">
        <v>3583</v>
      </c>
      <c r="G90" s="278" t="s">
        <v>3291</v>
      </c>
      <c r="H90" s="278" t="s">
        <v>3290</v>
      </c>
      <c r="I90" s="278" t="s">
        <v>3289</v>
      </c>
      <c r="J90" s="279">
        <v>34496</v>
      </c>
      <c r="K90" s="278" t="s">
        <v>3321</v>
      </c>
    </row>
    <row r="91" spans="1:11" outlineLevel="1">
      <c r="A91" s="280" t="s">
        <v>2536</v>
      </c>
      <c r="B91" s="280" t="s">
        <v>3582</v>
      </c>
      <c r="C91" s="280" t="s">
        <v>3582</v>
      </c>
      <c r="D91" s="281" t="s">
        <v>3581</v>
      </c>
      <c r="E91" s="280" t="s">
        <v>3293</v>
      </c>
      <c r="F91" s="280" t="s">
        <v>3580</v>
      </c>
      <c r="G91" s="278" t="s">
        <v>3291</v>
      </c>
      <c r="H91" s="278" t="s">
        <v>3290</v>
      </c>
      <c r="I91" s="278" t="s">
        <v>3289</v>
      </c>
      <c r="J91" s="279">
        <v>32177</v>
      </c>
      <c r="K91" s="278" t="s">
        <v>3288</v>
      </c>
    </row>
    <row r="92" spans="1:11" outlineLevel="1">
      <c r="A92" s="280" t="s">
        <v>2543</v>
      </c>
      <c r="B92" s="280" t="s">
        <v>3579</v>
      </c>
      <c r="C92" s="280" t="s">
        <v>3579</v>
      </c>
      <c r="D92" s="281" t="s">
        <v>3578</v>
      </c>
      <c r="E92" s="280" t="s">
        <v>3293</v>
      </c>
      <c r="F92" s="280" t="s">
        <v>3577</v>
      </c>
      <c r="G92" s="278" t="s">
        <v>3291</v>
      </c>
      <c r="H92" s="278" t="s">
        <v>3290</v>
      </c>
      <c r="I92" s="278" t="s">
        <v>3289</v>
      </c>
      <c r="J92" s="279">
        <v>34486</v>
      </c>
      <c r="K92" s="278" t="s">
        <v>3321</v>
      </c>
    </row>
    <row r="93" spans="1:11" outlineLevel="1">
      <c r="A93" s="280" t="s">
        <v>2537</v>
      </c>
      <c r="B93" s="280" t="s">
        <v>3263</v>
      </c>
      <c r="C93" s="280" t="s">
        <v>3576</v>
      </c>
      <c r="D93" s="281" t="s">
        <v>3575</v>
      </c>
      <c r="E93" s="280" t="s">
        <v>3293</v>
      </c>
      <c r="F93" s="280" t="s">
        <v>3574</v>
      </c>
      <c r="G93" s="278" t="s">
        <v>3291</v>
      </c>
      <c r="H93" s="278" t="s">
        <v>3290</v>
      </c>
      <c r="I93" s="278" t="s">
        <v>3289</v>
      </c>
      <c r="J93" s="279">
        <v>34732</v>
      </c>
      <c r="K93" s="278" t="s">
        <v>3288</v>
      </c>
    </row>
    <row r="94" spans="1:11" outlineLevel="1">
      <c r="A94" s="280" t="s">
        <v>2552</v>
      </c>
      <c r="B94" s="280" t="s">
        <v>3573</v>
      </c>
      <c r="C94" s="280" t="s">
        <v>3572</v>
      </c>
      <c r="D94" s="281" t="s">
        <v>3571</v>
      </c>
      <c r="E94" s="280" t="s">
        <v>3293</v>
      </c>
      <c r="F94" s="280" t="s">
        <v>3570</v>
      </c>
      <c r="G94" s="278" t="s">
        <v>3291</v>
      </c>
      <c r="H94" s="278" t="s">
        <v>3290</v>
      </c>
      <c r="I94" s="278" t="s">
        <v>3289</v>
      </c>
      <c r="J94" s="279">
        <v>34254</v>
      </c>
      <c r="K94" s="278" t="s">
        <v>3321</v>
      </c>
    </row>
    <row r="95" spans="1:11" outlineLevel="1">
      <c r="A95" s="280" t="s">
        <v>2541</v>
      </c>
      <c r="B95" s="280" t="s">
        <v>3259</v>
      </c>
      <c r="C95" s="280" t="s">
        <v>3569</v>
      </c>
      <c r="D95" s="281" t="s">
        <v>3568</v>
      </c>
      <c r="E95" s="280" t="s">
        <v>3293</v>
      </c>
      <c r="F95" s="280" t="s">
        <v>3567</v>
      </c>
      <c r="G95" s="278" t="s">
        <v>3291</v>
      </c>
      <c r="H95" s="278" t="s">
        <v>3290</v>
      </c>
      <c r="I95" s="278" t="s">
        <v>3289</v>
      </c>
      <c r="J95" s="279">
        <v>34055</v>
      </c>
      <c r="K95" s="278" t="s">
        <v>3321</v>
      </c>
    </row>
    <row r="96" spans="1:11" outlineLevel="1">
      <c r="A96" s="280" t="s">
        <v>3565</v>
      </c>
      <c r="B96" s="280" t="s">
        <v>3566</v>
      </c>
      <c r="C96" s="280" t="s">
        <v>3564</v>
      </c>
      <c r="D96" s="281" t="s">
        <v>3563</v>
      </c>
      <c r="E96" s="280" t="s">
        <v>3293</v>
      </c>
      <c r="F96" s="280" t="s">
        <v>3562</v>
      </c>
      <c r="G96" s="278" t="s">
        <v>3291</v>
      </c>
      <c r="H96" s="278" t="s">
        <v>3290</v>
      </c>
      <c r="I96" s="278" t="s">
        <v>3289</v>
      </c>
      <c r="J96" s="279">
        <v>33378</v>
      </c>
      <c r="K96" s="278" t="s">
        <v>3321</v>
      </c>
    </row>
    <row r="97" spans="1:11" outlineLevel="1">
      <c r="A97" s="280" t="s">
        <v>2540</v>
      </c>
      <c r="B97" s="280" t="s">
        <v>3561</v>
      </c>
      <c r="C97" s="280" t="s">
        <v>3560</v>
      </c>
      <c r="D97" s="281" t="s">
        <v>3559</v>
      </c>
      <c r="E97" s="280" t="s">
        <v>3293</v>
      </c>
      <c r="F97" s="280" t="s">
        <v>3558</v>
      </c>
      <c r="G97" s="278" t="s">
        <v>3291</v>
      </c>
      <c r="H97" s="278" t="s">
        <v>3290</v>
      </c>
      <c r="I97" s="278" t="s">
        <v>3289</v>
      </c>
      <c r="J97" s="279">
        <v>34028</v>
      </c>
      <c r="K97" s="278" t="s">
        <v>3321</v>
      </c>
    </row>
    <row r="98" spans="1:11" outlineLevel="1">
      <c r="A98" s="280" t="s">
        <v>2539</v>
      </c>
      <c r="B98" s="280" t="s">
        <v>3557</v>
      </c>
      <c r="C98" s="280" t="s">
        <v>3557</v>
      </c>
      <c r="D98" s="281" t="s">
        <v>3556</v>
      </c>
      <c r="E98" s="280" t="s">
        <v>3293</v>
      </c>
      <c r="F98" s="280" t="s">
        <v>3555</v>
      </c>
      <c r="G98" s="278" t="s">
        <v>3291</v>
      </c>
      <c r="H98" s="278" t="s">
        <v>3290</v>
      </c>
      <c r="I98" s="278" t="s">
        <v>3289</v>
      </c>
      <c r="J98" s="279">
        <v>34857</v>
      </c>
      <c r="K98" s="278" t="s">
        <v>3321</v>
      </c>
    </row>
    <row r="99" spans="1:11" outlineLevel="1">
      <c r="A99" s="280" t="s">
        <v>481</v>
      </c>
      <c r="B99" s="280" t="s">
        <v>3279</v>
      </c>
      <c r="C99" s="280" t="s">
        <v>3554</v>
      </c>
      <c r="D99" s="281" t="s">
        <v>3553</v>
      </c>
      <c r="E99" s="280" t="s">
        <v>3293</v>
      </c>
      <c r="F99" s="280" t="s">
        <v>3552</v>
      </c>
      <c r="G99" s="278" t="s">
        <v>3291</v>
      </c>
      <c r="H99" s="278" t="s">
        <v>3290</v>
      </c>
      <c r="I99" s="278" t="s">
        <v>3289</v>
      </c>
      <c r="J99" s="279">
        <v>34314</v>
      </c>
      <c r="K99" s="278" t="s">
        <v>3288</v>
      </c>
    </row>
    <row r="100" spans="1:11" outlineLevel="1">
      <c r="A100" s="280" t="s">
        <v>2538</v>
      </c>
      <c r="B100" s="280" t="s">
        <v>3551</v>
      </c>
      <c r="C100" s="280" t="s">
        <v>3550</v>
      </c>
      <c r="D100" s="281" t="s">
        <v>3549</v>
      </c>
      <c r="E100" s="280" t="s">
        <v>3293</v>
      </c>
      <c r="F100" s="280" t="s">
        <v>3548</v>
      </c>
      <c r="G100" s="278" t="s">
        <v>3291</v>
      </c>
      <c r="H100" s="278" t="s">
        <v>3290</v>
      </c>
      <c r="I100" s="278" t="s">
        <v>3289</v>
      </c>
      <c r="J100" s="279">
        <v>33726</v>
      </c>
      <c r="K100" s="278" t="s">
        <v>3288</v>
      </c>
    </row>
    <row r="101" spans="1:11" outlineLevel="1">
      <c r="A101" s="280" t="s">
        <v>2544</v>
      </c>
      <c r="B101" s="280" t="s">
        <v>3547</v>
      </c>
      <c r="C101" s="280" t="s">
        <v>3546</v>
      </c>
      <c r="D101" s="281" t="s">
        <v>3545</v>
      </c>
      <c r="E101" s="280" t="s">
        <v>3293</v>
      </c>
      <c r="F101" s="280" t="s">
        <v>3544</v>
      </c>
      <c r="G101" s="278" t="s">
        <v>3291</v>
      </c>
      <c r="H101" s="278" t="s">
        <v>3290</v>
      </c>
      <c r="I101" s="278" t="s">
        <v>3289</v>
      </c>
      <c r="J101" s="279">
        <v>35111</v>
      </c>
      <c r="K101" s="278" t="s">
        <v>3288</v>
      </c>
    </row>
    <row r="102" spans="1:11" outlineLevel="1">
      <c r="A102" s="280" t="s">
        <v>3213</v>
      </c>
      <c r="B102" s="280" t="s">
        <v>3543</v>
      </c>
      <c r="C102" s="280" t="s">
        <v>3542</v>
      </c>
      <c r="D102" s="281" t="s">
        <v>3541</v>
      </c>
      <c r="E102" s="280" t="s">
        <v>3293</v>
      </c>
      <c r="F102" s="280" t="s">
        <v>3540</v>
      </c>
      <c r="G102" s="278" t="s">
        <v>3291</v>
      </c>
      <c r="H102" s="278" t="s">
        <v>3290</v>
      </c>
      <c r="I102" s="278" t="s">
        <v>3289</v>
      </c>
      <c r="J102" s="279">
        <v>34639</v>
      </c>
      <c r="K102" s="278" t="s">
        <v>3288</v>
      </c>
    </row>
    <row r="103" spans="1:11" outlineLevel="1">
      <c r="A103" s="280" t="s">
        <v>2551</v>
      </c>
      <c r="B103" s="280" t="s">
        <v>3539</v>
      </c>
      <c r="C103" s="280" t="s">
        <v>3538</v>
      </c>
      <c r="D103" s="281" t="s">
        <v>3537</v>
      </c>
      <c r="E103" s="280" t="s">
        <v>3293</v>
      </c>
      <c r="F103" s="280" t="s">
        <v>3536</v>
      </c>
      <c r="G103" s="278" t="s">
        <v>3291</v>
      </c>
      <c r="H103" s="278" t="s">
        <v>3290</v>
      </c>
      <c r="I103" s="278" t="s">
        <v>3289</v>
      </c>
      <c r="J103" s="279">
        <v>34343</v>
      </c>
      <c r="K103" s="278" t="s">
        <v>3321</v>
      </c>
    </row>
    <row r="104" spans="1:11" outlineLevel="1">
      <c r="A104" s="280" t="s">
        <v>2557</v>
      </c>
      <c r="B104" s="280" t="s">
        <v>3535</v>
      </c>
      <c r="C104" s="280" t="s">
        <v>3534</v>
      </c>
      <c r="D104" s="281" t="s">
        <v>3533</v>
      </c>
      <c r="E104" s="280" t="s">
        <v>3293</v>
      </c>
      <c r="F104" s="280" t="s">
        <v>3532</v>
      </c>
      <c r="G104" s="278" t="s">
        <v>3291</v>
      </c>
      <c r="H104" s="278" t="s">
        <v>3290</v>
      </c>
      <c r="I104" s="278" t="s">
        <v>3289</v>
      </c>
      <c r="J104" s="279">
        <v>35252</v>
      </c>
      <c r="K104" s="278" t="s">
        <v>3288</v>
      </c>
    </row>
    <row r="105" spans="1:11" outlineLevel="1">
      <c r="A105" s="280" t="s">
        <v>2554</v>
      </c>
      <c r="B105" s="280" t="s">
        <v>3268</v>
      </c>
      <c r="C105" s="280" t="s">
        <v>3531</v>
      </c>
      <c r="D105" s="281" t="s">
        <v>3530</v>
      </c>
      <c r="E105" s="280" t="s">
        <v>3293</v>
      </c>
      <c r="F105" s="280" t="s">
        <v>3529</v>
      </c>
      <c r="G105" s="278" t="s">
        <v>3291</v>
      </c>
      <c r="H105" s="278" t="s">
        <v>3290</v>
      </c>
      <c r="I105" s="278" t="s">
        <v>3289</v>
      </c>
      <c r="J105" s="279">
        <v>31731</v>
      </c>
      <c r="K105" s="278" t="s">
        <v>3321</v>
      </c>
    </row>
    <row r="106" spans="1:11" outlineLevel="1">
      <c r="A106" s="280" t="s">
        <v>2553</v>
      </c>
      <c r="B106" s="280" t="s">
        <v>3275</v>
      </c>
      <c r="C106" s="280" t="s">
        <v>3528</v>
      </c>
      <c r="D106" s="281" t="s">
        <v>3293</v>
      </c>
      <c r="E106" s="280" t="s">
        <v>3293</v>
      </c>
      <c r="F106" s="280" t="s">
        <v>3527</v>
      </c>
      <c r="G106" s="278" t="s">
        <v>3291</v>
      </c>
      <c r="H106" s="278" t="s">
        <v>3293</v>
      </c>
      <c r="I106" s="278" t="s">
        <v>3293</v>
      </c>
      <c r="J106" s="279">
        <v>32406</v>
      </c>
      <c r="K106" s="278" t="s">
        <v>3288</v>
      </c>
    </row>
    <row r="107" spans="1:11" outlineLevel="1">
      <c r="A107" s="280" t="s">
        <v>2547</v>
      </c>
      <c r="B107" s="280" t="s">
        <v>3272</v>
      </c>
      <c r="C107" s="280" t="s">
        <v>3526</v>
      </c>
      <c r="D107" s="281" t="s">
        <v>3525</v>
      </c>
      <c r="E107" s="280" t="s">
        <v>3293</v>
      </c>
      <c r="F107" s="280" t="s">
        <v>3524</v>
      </c>
      <c r="G107" s="278" t="s">
        <v>3291</v>
      </c>
      <c r="H107" s="278" t="s">
        <v>3290</v>
      </c>
      <c r="I107" s="278" t="s">
        <v>3289</v>
      </c>
      <c r="J107" s="279">
        <v>31419</v>
      </c>
      <c r="K107" s="278" t="s">
        <v>3321</v>
      </c>
    </row>
    <row r="108" spans="1:11">
      <c r="A108" s="282"/>
      <c r="B108" s="282" t="s">
        <v>3523</v>
      </c>
      <c r="C108" s="282"/>
      <c r="D108" s="282"/>
      <c r="E108" s="282"/>
      <c r="F108" s="282"/>
      <c r="G108" s="282"/>
      <c r="H108" s="282"/>
      <c r="I108" s="282"/>
      <c r="J108" s="282"/>
      <c r="K108" s="282"/>
    </row>
    <row r="109" spans="1:11" outlineLevel="1">
      <c r="A109" s="280" t="s">
        <v>3521</v>
      </c>
      <c r="B109" s="280" t="s">
        <v>3522</v>
      </c>
      <c r="C109" s="280" t="s">
        <v>3520</v>
      </c>
      <c r="D109" s="281" t="s">
        <v>3293</v>
      </c>
      <c r="E109" s="280" t="s">
        <v>3293</v>
      </c>
      <c r="F109" s="280" t="s">
        <v>3519</v>
      </c>
      <c r="G109" s="278" t="s">
        <v>3291</v>
      </c>
      <c r="H109" s="278" t="s">
        <v>3293</v>
      </c>
      <c r="I109" s="278" t="s">
        <v>3293</v>
      </c>
      <c r="J109" s="279">
        <v>18264</v>
      </c>
      <c r="K109" s="278" t="s">
        <v>3321</v>
      </c>
    </row>
    <row r="110" spans="1:11" outlineLevel="1">
      <c r="A110" s="280" t="s">
        <v>2600</v>
      </c>
      <c r="B110" s="280" t="s">
        <v>3518</v>
      </c>
      <c r="C110" s="280" t="s">
        <v>3517</v>
      </c>
      <c r="D110" s="281" t="s">
        <v>3516</v>
      </c>
      <c r="E110" s="280" t="s">
        <v>3293</v>
      </c>
      <c r="F110" s="280" t="s">
        <v>3515</v>
      </c>
      <c r="G110" s="278" t="s">
        <v>3291</v>
      </c>
      <c r="H110" s="278" t="s">
        <v>3290</v>
      </c>
      <c r="I110" s="278" t="s">
        <v>3289</v>
      </c>
      <c r="J110" s="279">
        <v>36690</v>
      </c>
      <c r="K110" s="278" t="s">
        <v>3321</v>
      </c>
    </row>
    <row r="111" spans="1:11" outlineLevel="1">
      <c r="A111" s="280" t="s">
        <v>2602</v>
      </c>
      <c r="B111" s="280" t="s">
        <v>3282</v>
      </c>
      <c r="C111" s="280" t="s">
        <v>3514</v>
      </c>
      <c r="D111" s="281" t="s">
        <v>3513</v>
      </c>
      <c r="E111" s="280" t="s">
        <v>3293</v>
      </c>
      <c r="F111" s="280" t="s">
        <v>3512</v>
      </c>
      <c r="G111" s="278" t="s">
        <v>3291</v>
      </c>
      <c r="H111" s="278" t="s">
        <v>3290</v>
      </c>
      <c r="I111" s="278" t="s">
        <v>3289</v>
      </c>
      <c r="J111" s="279">
        <v>36697</v>
      </c>
      <c r="K111" s="278" t="s">
        <v>3321</v>
      </c>
    </row>
    <row r="112" spans="1:11" outlineLevel="1">
      <c r="A112" s="280" t="s">
        <v>2623</v>
      </c>
      <c r="B112" s="280" t="s">
        <v>3511</v>
      </c>
      <c r="C112" s="280" t="s">
        <v>3510</v>
      </c>
      <c r="D112" s="281" t="s">
        <v>3293</v>
      </c>
      <c r="E112" s="280" t="s">
        <v>3293</v>
      </c>
      <c r="F112" s="280" t="s">
        <v>3293</v>
      </c>
      <c r="G112" s="278" t="s">
        <v>3291</v>
      </c>
      <c r="H112" s="278" t="s">
        <v>3293</v>
      </c>
      <c r="I112" s="278" t="s">
        <v>3293</v>
      </c>
      <c r="J112" s="279">
        <v>36847</v>
      </c>
      <c r="K112" s="278" t="s">
        <v>3321</v>
      </c>
    </row>
    <row r="113" spans="1:11" outlineLevel="1">
      <c r="A113" s="280" t="s">
        <v>2612</v>
      </c>
      <c r="B113" s="280" t="s">
        <v>3274</v>
      </c>
      <c r="C113" s="280" t="s">
        <v>3509</v>
      </c>
      <c r="D113" s="281" t="s">
        <v>3508</v>
      </c>
      <c r="E113" s="280" t="s">
        <v>3293</v>
      </c>
      <c r="F113" s="280" t="s">
        <v>3507</v>
      </c>
      <c r="G113" s="278" t="s">
        <v>3291</v>
      </c>
      <c r="H113" s="278" t="s">
        <v>3290</v>
      </c>
      <c r="I113" s="278" t="s">
        <v>3289</v>
      </c>
      <c r="J113" s="279">
        <v>36254</v>
      </c>
      <c r="K113" s="278" t="s">
        <v>3321</v>
      </c>
    </row>
    <row r="114" spans="1:11" outlineLevel="1">
      <c r="A114" s="280" t="s">
        <v>2625</v>
      </c>
      <c r="B114" s="280" t="s">
        <v>3287</v>
      </c>
      <c r="C114" s="280" t="s">
        <v>3506</v>
      </c>
      <c r="D114" s="281" t="s">
        <v>3505</v>
      </c>
      <c r="E114" s="280" t="s">
        <v>3293</v>
      </c>
      <c r="F114" s="280" t="s">
        <v>3504</v>
      </c>
      <c r="G114" s="278" t="s">
        <v>3291</v>
      </c>
      <c r="H114" s="278" t="s">
        <v>3290</v>
      </c>
      <c r="I114" s="278" t="s">
        <v>3289</v>
      </c>
      <c r="J114" s="279">
        <v>36334</v>
      </c>
      <c r="K114" s="278" t="s">
        <v>3321</v>
      </c>
    </row>
    <row r="115" spans="1:11" outlineLevel="1">
      <c r="A115" s="280" t="s">
        <v>3212</v>
      </c>
      <c r="B115" s="280" t="s">
        <v>3503</v>
      </c>
      <c r="C115" s="280" t="s">
        <v>3502</v>
      </c>
      <c r="D115" s="281" t="s">
        <v>3501</v>
      </c>
      <c r="E115" s="280" t="s">
        <v>3293</v>
      </c>
      <c r="F115" s="280" t="s">
        <v>3500</v>
      </c>
      <c r="G115" s="278" t="s">
        <v>3291</v>
      </c>
      <c r="H115" s="278" t="s">
        <v>3290</v>
      </c>
      <c r="I115" s="278" t="s">
        <v>3289</v>
      </c>
      <c r="J115" s="279">
        <v>35978</v>
      </c>
      <c r="K115" s="278" t="s">
        <v>3321</v>
      </c>
    </row>
    <row r="116" spans="1:11" outlineLevel="1">
      <c r="A116" s="280" t="s">
        <v>2605</v>
      </c>
      <c r="B116" s="280" t="s">
        <v>3262</v>
      </c>
      <c r="C116" s="280" t="s">
        <v>3499</v>
      </c>
      <c r="D116" s="281" t="s">
        <v>3498</v>
      </c>
      <c r="E116" s="280" t="s">
        <v>3293</v>
      </c>
      <c r="F116" s="280" t="s">
        <v>3497</v>
      </c>
      <c r="G116" s="278" t="s">
        <v>3291</v>
      </c>
      <c r="H116" s="278" t="s">
        <v>3290</v>
      </c>
      <c r="I116" s="278" t="s">
        <v>3289</v>
      </c>
      <c r="J116" s="279">
        <v>33664</v>
      </c>
      <c r="K116" s="278" t="s">
        <v>3321</v>
      </c>
    </row>
    <row r="117" spans="1:11" outlineLevel="1">
      <c r="A117" s="280" t="s">
        <v>2617</v>
      </c>
      <c r="B117" s="280" t="s">
        <v>3256</v>
      </c>
      <c r="C117" s="280" t="s">
        <v>3496</v>
      </c>
      <c r="D117" s="281" t="s">
        <v>3495</v>
      </c>
      <c r="E117" s="280" t="s">
        <v>3293</v>
      </c>
      <c r="F117" s="280" t="s">
        <v>3494</v>
      </c>
      <c r="G117" s="278" t="s">
        <v>3291</v>
      </c>
      <c r="H117" s="278" t="s">
        <v>3290</v>
      </c>
      <c r="I117" s="278" t="s">
        <v>3289</v>
      </c>
      <c r="J117" s="279">
        <v>31955</v>
      </c>
      <c r="K117" s="278" t="s">
        <v>3321</v>
      </c>
    </row>
    <row r="118" spans="1:11" outlineLevel="1">
      <c r="A118" s="280" t="s">
        <v>2608</v>
      </c>
      <c r="B118" s="280" t="s">
        <v>3493</v>
      </c>
      <c r="C118" s="280" t="s">
        <v>3492</v>
      </c>
      <c r="D118" s="281" t="s">
        <v>3491</v>
      </c>
      <c r="E118" s="280" t="s">
        <v>3293</v>
      </c>
      <c r="F118" s="280" t="s">
        <v>3490</v>
      </c>
      <c r="G118" s="278" t="s">
        <v>3291</v>
      </c>
      <c r="H118" s="278" t="s">
        <v>3290</v>
      </c>
      <c r="I118" s="278" t="s">
        <v>3289</v>
      </c>
      <c r="J118" s="279">
        <v>32294</v>
      </c>
      <c r="K118" s="278" t="s">
        <v>3321</v>
      </c>
    </row>
    <row r="119" spans="1:11" outlineLevel="1">
      <c r="A119" s="280" t="s">
        <v>3488</v>
      </c>
      <c r="B119" s="280" t="s">
        <v>3489</v>
      </c>
      <c r="C119" s="280" t="s">
        <v>3487</v>
      </c>
      <c r="D119" s="281" t="s">
        <v>3383</v>
      </c>
      <c r="E119" s="280" t="s">
        <v>3293</v>
      </c>
      <c r="F119" s="280" t="s">
        <v>3486</v>
      </c>
      <c r="G119" s="278" t="s">
        <v>3291</v>
      </c>
      <c r="H119" s="278" t="s">
        <v>3293</v>
      </c>
      <c r="I119" s="278" t="s">
        <v>3293</v>
      </c>
      <c r="J119" s="279">
        <v>36421</v>
      </c>
      <c r="K119" s="278" t="s">
        <v>3321</v>
      </c>
    </row>
    <row r="120" spans="1:11" outlineLevel="1">
      <c r="A120" s="280" t="s">
        <v>3210</v>
      </c>
      <c r="B120" s="280" t="s">
        <v>3485</v>
      </c>
      <c r="C120" s="280" t="s">
        <v>3484</v>
      </c>
      <c r="D120" s="281" t="s">
        <v>3293</v>
      </c>
      <c r="E120" s="280" t="s">
        <v>3293</v>
      </c>
      <c r="F120" s="280" t="s">
        <v>3293</v>
      </c>
      <c r="G120" s="278" t="s">
        <v>3291</v>
      </c>
      <c r="H120" s="278" t="s">
        <v>3293</v>
      </c>
      <c r="I120" s="278" t="s">
        <v>3293</v>
      </c>
      <c r="J120" s="279">
        <v>36299</v>
      </c>
      <c r="K120" s="278" t="s">
        <v>3321</v>
      </c>
    </row>
    <row r="121" spans="1:11" outlineLevel="1">
      <c r="A121" s="280" t="s">
        <v>2613</v>
      </c>
      <c r="B121" s="280" t="s">
        <v>3483</v>
      </c>
      <c r="C121" s="280" t="s">
        <v>3482</v>
      </c>
      <c r="D121" s="281" t="s">
        <v>3481</v>
      </c>
      <c r="E121" s="280" t="s">
        <v>3293</v>
      </c>
      <c r="F121" s="280" t="s">
        <v>3480</v>
      </c>
      <c r="G121" s="278" t="s">
        <v>3291</v>
      </c>
      <c r="H121" s="278" t="s">
        <v>3290</v>
      </c>
      <c r="I121" s="278" t="s">
        <v>3289</v>
      </c>
      <c r="J121" s="279">
        <v>36049</v>
      </c>
      <c r="K121" s="278" t="s">
        <v>3321</v>
      </c>
    </row>
    <row r="122" spans="1:11" outlineLevel="1">
      <c r="A122" s="280" t="s">
        <v>2618</v>
      </c>
      <c r="B122" s="280" t="s">
        <v>3266</v>
      </c>
      <c r="C122" s="280" t="s">
        <v>3479</v>
      </c>
      <c r="D122" s="281" t="s">
        <v>3478</v>
      </c>
      <c r="E122" s="280" t="s">
        <v>3293</v>
      </c>
      <c r="F122" s="280" t="s">
        <v>3477</v>
      </c>
      <c r="G122" s="278" t="s">
        <v>3291</v>
      </c>
      <c r="H122" s="278" t="s">
        <v>3290</v>
      </c>
      <c r="I122" s="278" t="s">
        <v>3289</v>
      </c>
      <c r="J122" s="279">
        <v>36018</v>
      </c>
      <c r="K122" s="278" t="s">
        <v>3321</v>
      </c>
    </row>
    <row r="123" spans="1:11" outlineLevel="1">
      <c r="A123" s="280" t="s">
        <v>2542</v>
      </c>
      <c r="B123" s="280" t="s">
        <v>3285</v>
      </c>
      <c r="C123" s="280" t="s">
        <v>3476</v>
      </c>
      <c r="D123" s="281" t="s">
        <v>3475</v>
      </c>
      <c r="E123" s="280" t="s">
        <v>3293</v>
      </c>
      <c r="F123" s="280" t="s">
        <v>3474</v>
      </c>
      <c r="G123" s="278" t="s">
        <v>3291</v>
      </c>
      <c r="H123" s="278" t="s">
        <v>3290</v>
      </c>
      <c r="I123" s="278" t="s">
        <v>3289</v>
      </c>
      <c r="J123" s="279">
        <v>35921</v>
      </c>
      <c r="K123" s="278" t="s">
        <v>3321</v>
      </c>
    </row>
    <row r="124" spans="1:11" outlineLevel="1">
      <c r="A124" s="280" t="s">
        <v>3472</v>
      </c>
      <c r="B124" s="280" t="s">
        <v>3473</v>
      </c>
      <c r="C124" s="280" t="s">
        <v>3471</v>
      </c>
      <c r="D124" s="281" t="s">
        <v>3470</v>
      </c>
      <c r="E124" s="280" t="s">
        <v>3293</v>
      </c>
      <c r="F124" s="280" t="s">
        <v>3469</v>
      </c>
      <c r="G124" s="278" t="s">
        <v>3291</v>
      </c>
      <c r="H124" s="278" t="s">
        <v>3290</v>
      </c>
      <c r="I124" s="278" t="s">
        <v>3289</v>
      </c>
      <c r="J124" s="279">
        <v>36078</v>
      </c>
      <c r="K124" s="278" t="s">
        <v>3321</v>
      </c>
    </row>
    <row r="125" spans="1:11" outlineLevel="1">
      <c r="A125" s="280" t="s">
        <v>2599</v>
      </c>
      <c r="B125" s="280" t="s">
        <v>3468</v>
      </c>
      <c r="C125" s="280" t="s">
        <v>3467</v>
      </c>
      <c r="D125" s="281" t="s">
        <v>3466</v>
      </c>
      <c r="E125" s="280" t="s">
        <v>3293</v>
      </c>
      <c r="F125" s="280" t="s">
        <v>3465</v>
      </c>
      <c r="G125" s="278" t="s">
        <v>3291</v>
      </c>
      <c r="H125" s="278" t="s">
        <v>3290</v>
      </c>
      <c r="I125" s="278" t="s">
        <v>3289</v>
      </c>
      <c r="J125" s="279">
        <v>35344</v>
      </c>
      <c r="K125" s="278" t="s">
        <v>3321</v>
      </c>
    </row>
    <row r="126" spans="1:11" outlineLevel="1">
      <c r="A126" s="280" t="s">
        <v>2620</v>
      </c>
      <c r="B126" s="280" t="s">
        <v>3464</v>
      </c>
      <c r="C126" s="280" t="s">
        <v>3463</v>
      </c>
      <c r="D126" s="281" t="s">
        <v>3462</v>
      </c>
      <c r="E126" s="280" t="s">
        <v>3293</v>
      </c>
      <c r="F126" s="280" t="s">
        <v>3461</v>
      </c>
      <c r="G126" s="278" t="s">
        <v>3291</v>
      </c>
      <c r="H126" s="278" t="s">
        <v>3290</v>
      </c>
      <c r="I126" s="278" t="s">
        <v>3289</v>
      </c>
      <c r="J126" s="279">
        <v>34337</v>
      </c>
      <c r="K126" s="278" t="s">
        <v>3321</v>
      </c>
    </row>
    <row r="127" spans="1:11" outlineLevel="1">
      <c r="A127" s="280" t="s">
        <v>2622</v>
      </c>
      <c r="B127" s="280" t="s">
        <v>3460</v>
      </c>
      <c r="C127" s="280" t="s">
        <v>3459</v>
      </c>
      <c r="D127" s="281" t="s">
        <v>3458</v>
      </c>
      <c r="E127" s="280" t="s">
        <v>3293</v>
      </c>
      <c r="F127" s="280" t="s">
        <v>3457</v>
      </c>
      <c r="G127" s="278" t="s">
        <v>3293</v>
      </c>
      <c r="H127" s="278" t="s">
        <v>3293</v>
      </c>
      <c r="I127" s="278" t="s">
        <v>3293</v>
      </c>
      <c r="J127" s="279">
        <v>36158</v>
      </c>
      <c r="K127" s="278" t="s">
        <v>3321</v>
      </c>
    </row>
    <row r="128" spans="1:11" outlineLevel="1">
      <c r="A128" s="280" t="s">
        <v>2556</v>
      </c>
      <c r="B128" s="280" t="s">
        <v>3456</v>
      </c>
      <c r="C128" s="280" t="s">
        <v>3455</v>
      </c>
      <c r="D128" s="281" t="s">
        <v>3454</v>
      </c>
      <c r="E128" s="280" t="s">
        <v>3293</v>
      </c>
      <c r="F128" s="280" t="s">
        <v>3453</v>
      </c>
      <c r="G128" s="278" t="s">
        <v>3291</v>
      </c>
      <c r="H128" s="278" t="s">
        <v>3290</v>
      </c>
      <c r="I128" s="278" t="s">
        <v>3289</v>
      </c>
      <c r="J128" s="279">
        <v>32785</v>
      </c>
      <c r="K128" s="278" t="s">
        <v>3321</v>
      </c>
    </row>
    <row r="129" spans="1:11" outlineLevel="1">
      <c r="A129" s="280" t="s">
        <v>2624</v>
      </c>
      <c r="B129" s="280" t="s">
        <v>3452</v>
      </c>
      <c r="C129" s="280" t="s">
        <v>3451</v>
      </c>
      <c r="D129" s="281" t="s">
        <v>3383</v>
      </c>
      <c r="E129" s="280" t="s">
        <v>3293</v>
      </c>
      <c r="F129" s="280" t="s">
        <v>3450</v>
      </c>
      <c r="G129" s="278" t="s">
        <v>3291</v>
      </c>
      <c r="H129" s="278" t="s">
        <v>3293</v>
      </c>
      <c r="I129" s="278" t="s">
        <v>3293</v>
      </c>
      <c r="J129" s="279">
        <v>35468</v>
      </c>
      <c r="K129" s="278" t="s">
        <v>3321</v>
      </c>
    </row>
    <row r="130" spans="1:11" outlineLevel="1">
      <c r="A130" s="280" t="s">
        <v>2614</v>
      </c>
      <c r="B130" s="280" t="s">
        <v>3449</v>
      </c>
      <c r="C130" s="280" t="s">
        <v>3448</v>
      </c>
      <c r="D130" s="281" t="s">
        <v>3447</v>
      </c>
      <c r="E130" s="280" t="s">
        <v>3293</v>
      </c>
      <c r="F130" s="280" t="s">
        <v>3446</v>
      </c>
      <c r="G130" s="278" t="s">
        <v>3291</v>
      </c>
      <c r="H130" s="278" t="s">
        <v>3290</v>
      </c>
      <c r="I130" s="278" t="s">
        <v>3289</v>
      </c>
      <c r="J130" s="279">
        <v>36457</v>
      </c>
      <c r="K130" s="278" t="s">
        <v>3321</v>
      </c>
    </row>
    <row r="131" spans="1:11" outlineLevel="1">
      <c r="A131" s="280" t="s">
        <v>2628</v>
      </c>
      <c r="B131" s="280" t="s">
        <v>3445</v>
      </c>
      <c r="C131" s="280" t="s">
        <v>3444</v>
      </c>
      <c r="D131" s="281" t="s">
        <v>3443</v>
      </c>
      <c r="E131" s="280" t="s">
        <v>3293</v>
      </c>
      <c r="F131" s="280" t="s">
        <v>3442</v>
      </c>
      <c r="G131" s="278" t="s">
        <v>3291</v>
      </c>
      <c r="H131" s="278" t="s">
        <v>3293</v>
      </c>
      <c r="I131" s="278" t="s">
        <v>3293</v>
      </c>
      <c r="J131" s="279">
        <v>36050</v>
      </c>
      <c r="K131" s="278" t="s">
        <v>3321</v>
      </c>
    </row>
    <row r="132" spans="1:11" outlineLevel="1">
      <c r="A132" s="280" t="s">
        <v>2626</v>
      </c>
      <c r="B132" s="280" t="s">
        <v>3257</v>
      </c>
      <c r="C132" s="280" t="s">
        <v>3441</v>
      </c>
      <c r="D132" s="281" t="s">
        <v>3440</v>
      </c>
      <c r="E132" s="280" t="s">
        <v>3293</v>
      </c>
      <c r="F132" s="280" t="s">
        <v>3439</v>
      </c>
      <c r="G132" s="278" t="s">
        <v>3291</v>
      </c>
      <c r="H132" s="278" t="s">
        <v>3290</v>
      </c>
      <c r="I132" s="278" t="s">
        <v>3289</v>
      </c>
      <c r="J132" s="279">
        <v>34629</v>
      </c>
      <c r="K132" s="278" t="s">
        <v>3321</v>
      </c>
    </row>
    <row r="133" spans="1:11" outlineLevel="1">
      <c r="A133" s="280" t="s">
        <v>2607</v>
      </c>
      <c r="B133" s="280" t="s">
        <v>3270</v>
      </c>
      <c r="C133" s="280" t="s">
        <v>3438</v>
      </c>
      <c r="D133" s="281" t="s">
        <v>3437</v>
      </c>
      <c r="E133" s="280" t="s">
        <v>3293</v>
      </c>
      <c r="F133" s="280" t="s">
        <v>3436</v>
      </c>
      <c r="G133" s="278" t="s">
        <v>3291</v>
      </c>
      <c r="H133" s="278" t="s">
        <v>3290</v>
      </c>
      <c r="I133" s="278" t="s">
        <v>3289</v>
      </c>
      <c r="J133" s="279">
        <v>35376</v>
      </c>
      <c r="K133" s="278" t="s">
        <v>3321</v>
      </c>
    </row>
    <row r="134" spans="1:11" outlineLevel="1">
      <c r="A134" s="280" t="s">
        <v>2627</v>
      </c>
      <c r="B134" s="280" t="s">
        <v>3435</v>
      </c>
      <c r="C134" s="280" t="s">
        <v>3434</v>
      </c>
      <c r="D134" s="281" t="s">
        <v>3433</v>
      </c>
      <c r="E134" s="280" t="s">
        <v>3293</v>
      </c>
      <c r="F134" s="280" t="s">
        <v>3432</v>
      </c>
      <c r="G134" s="278" t="s">
        <v>3291</v>
      </c>
      <c r="H134" s="278" t="s">
        <v>3431</v>
      </c>
      <c r="I134" s="278" t="s">
        <v>3289</v>
      </c>
      <c r="J134" s="279">
        <v>35732</v>
      </c>
      <c r="K134" s="278" t="s">
        <v>3321</v>
      </c>
    </row>
    <row r="135" spans="1:11" outlineLevel="1">
      <c r="A135" s="280" t="s">
        <v>2606</v>
      </c>
      <c r="B135" s="280" t="s">
        <v>3430</v>
      </c>
      <c r="C135" s="280" t="s">
        <v>3429</v>
      </c>
      <c r="D135" s="281" t="s">
        <v>3428</v>
      </c>
      <c r="E135" s="280" t="s">
        <v>3293</v>
      </c>
      <c r="F135" s="280" t="s">
        <v>3427</v>
      </c>
      <c r="G135" s="278" t="s">
        <v>3291</v>
      </c>
      <c r="H135" s="278" t="s">
        <v>3290</v>
      </c>
      <c r="I135" s="278" t="s">
        <v>3289</v>
      </c>
      <c r="J135" s="279">
        <v>35585</v>
      </c>
      <c r="K135" s="278" t="s">
        <v>3321</v>
      </c>
    </row>
    <row r="136" spans="1:11" outlineLevel="1">
      <c r="A136" s="280" t="s">
        <v>2597</v>
      </c>
      <c r="B136" s="280" t="s">
        <v>3426</v>
      </c>
      <c r="C136" s="280" t="s">
        <v>3425</v>
      </c>
      <c r="D136" s="281" t="s">
        <v>3424</v>
      </c>
      <c r="E136" s="280" t="s">
        <v>3293</v>
      </c>
      <c r="F136" s="280" t="s">
        <v>3423</v>
      </c>
      <c r="G136" s="278" t="s">
        <v>3291</v>
      </c>
      <c r="H136" s="278" t="s">
        <v>3290</v>
      </c>
      <c r="I136" s="278" t="s">
        <v>3289</v>
      </c>
      <c r="J136" s="279">
        <v>34533</v>
      </c>
      <c r="K136" s="278" t="s">
        <v>3288</v>
      </c>
    </row>
    <row r="137" spans="1:11" outlineLevel="1">
      <c r="A137" s="280" t="s">
        <v>2596</v>
      </c>
      <c r="B137" s="280" t="s">
        <v>3422</v>
      </c>
      <c r="C137" s="280" t="s">
        <v>3421</v>
      </c>
      <c r="D137" s="281" t="s">
        <v>3420</v>
      </c>
      <c r="E137" s="280" t="s">
        <v>3293</v>
      </c>
      <c r="F137" s="280" t="s">
        <v>3419</v>
      </c>
      <c r="G137" s="278" t="s">
        <v>3291</v>
      </c>
      <c r="H137" s="278" t="s">
        <v>3290</v>
      </c>
      <c r="I137" s="278" t="s">
        <v>3289</v>
      </c>
      <c r="J137" s="279">
        <v>32675</v>
      </c>
      <c r="K137" s="278" t="s">
        <v>3321</v>
      </c>
    </row>
    <row r="138" spans="1:11" outlineLevel="1">
      <c r="A138" s="280" t="s">
        <v>3418</v>
      </c>
      <c r="B138" s="280" t="s">
        <v>3417</v>
      </c>
      <c r="C138" s="280" t="s">
        <v>3417</v>
      </c>
      <c r="D138" s="281" t="s">
        <v>3293</v>
      </c>
      <c r="E138" s="280" t="s">
        <v>3293</v>
      </c>
      <c r="F138" s="280" t="s">
        <v>3293</v>
      </c>
      <c r="G138" s="278" t="s">
        <v>3293</v>
      </c>
      <c r="H138" s="278" t="s">
        <v>3293</v>
      </c>
      <c r="I138" s="278" t="s">
        <v>3293</v>
      </c>
      <c r="J138" s="279" t="s">
        <v>3293</v>
      </c>
      <c r="K138" s="278" t="s">
        <v>3288</v>
      </c>
    </row>
    <row r="139" spans="1:11" outlineLevel="1">
      <c r="A139" s="280" t="s">
        <v>3416</v>
      </c>
      <c r="B139" s="280" t="s">
        <v>3415</v>
      </c>
      <c r="C139" s="280" t="s">
        <v>3415</v>
      </c>
      <c r="D139" s="281" t="s">
        <v>3293</v>
      </c>
      <c r="E139" s="280" t="s">
        <v>3293</v>
      </c>
      <c r="F139" s="280" t="s">
        <v>3293</v>
      </c>
      <c r="G139" s="278" t="s">
        <v>3293</v>
      </c>
      <c r="H139" s="278" t="s">
        <v>3293</v>
      </c>
      <c r="I139" s="278" t="s">
        <v>3293</v>
      </c>
      <c r="J139" s="279" t="s">
        <v>3293</v>
      </c>
      <c r="K139" s="278" t="s">
        <v>3288</v>
      </c>
    </row>
    <row r="140" spans="1:11" outlineLevel="1">
      <c r="A140" s="280" t="s">
        <v>3414</v>
      </c>
      <c r="B140" s="280" t="s">
        <v>3413</v>
      </c>
      <c r="C140" s="280" t="s">
        <v>3413</v>
      </c>
      <c r="D140" s="281" t="s">
        <v>3293</v>
      </c>
      <c r="E140" s="280" t="s">
        <v>3293</v>
      </c>
      <c r="F140" s="280" t="s">
        <v>3293</v>
      </c>
      <c r="G140" s="278" t="s">
        <v>3293</v>
      </c>
      <c r="H140" s="278" t="s">
        <v>3293</v>
      </c>
      <c r="I140" s="278" t="s">
        <v>3293</v>
      </c>
      <c r="J140" s="279" t="s">
        <v>3293</v>
      </c>
      <c r="K140" s="278" t="s">
        <v>3288</v>
      </c>
    </row>
    <row r="141" spans="1:11" outlineLevel="1">
      <c r="A141" s="280" t="s">
        <v>3412</v>
      </c>
      <c r="B141" s="280" t="s">
        <v>3411</v>
      </c>
      <c r="C141" s="280" t="s">
        <v>3411</v>
      </c>
      <c r="D141" s="281" t="s">
        <v>3293</v>
      </c>
      <c r="E141" s="280" t="s">
        <v>3293</v>
      </c>
      <c r="F141" s="280" t="s">
        <v>3293</v>
      </c>
      <c r="G141" s="278" t="s">
        <v>3293</v>
      </c>
      <c r="H141" s="278" t="s">
        <v>3293</v>
      </c>
      <c r="I141" s="278" t="s">
        <v>3293</v>
      </c>
      <c r="J141" s="279" t="s">
        <v>3293</v>
      </c>
      <c r="K141" s="278" t="s">
        <v>3288</v>
      </c>
    </row>
    <row r="142" spans="1:11" outlineLevel="1">
      <c r="A142" s="280" t="s">
        <v>3410</v>
      </c>
      <c r="B142" s="280" t="s">
        <v>3409</v>
      </c>
      <c r="C142" s="280" t="s">
        <v>3409</v>
      </c>
      <c r="D142" s="281" t="s">
        <v>3293</v>
      </c>
      <c r="E142" s="280" t="s">
        <v>3293</v>
      </c>
      <c r="F142" s="280" t="s">
        <v>3293</v>
      </c>
      <c r="G142" s="278" t="s">
        <v>3293</v>
      </c>
      <c r="H142" s="278" t="s">
        <v>3293</v>
      </c>
      <c r="I142" s="278" t="s">
        <v>3293</v>
      </c>
      <c r="J142" s="279" t="s">
        <v>3293</v>
      </c>
      <c r="K142" s="278" t="s">
        <v>3288</v>
      </c>
    </row>
    <row r="143" spans="1:11" outlineLevel="1">
      <c r="A143" s="280" t="s">
        <v>3408</v>
      </c>
      <c r="B143" s="280" t="s">
        <v>3407</v>
      </c>
      <c r="C143" s="280" t="s">
        <v>3407</v>
      </c>
      <c r="D143" s="281" t="s">
        <v>3293</v>
      </c>
      <c r="E143" s="280" t="s">
        <v>3293</v>
      </c>
      <c r="F143" s="280" t="s">
        <v>3293</v>
      </c>
      <c r="G143" s="278" t="s">
        <v>3293</v>
      </c>
      <c r="H143" s="278" t="s">
        <v>3293</v>
      </c>
      <c r="I143" s="278" t="s">
        <v>3293</v>
      </c>
      <c r="J143" s="279" t="s">
        <v>3293</v>
      </c>
      <c r="K143" s="278" t="s">
        <v>3288</v>
      </c>
    </row>
    <row r="144" spans="1:11" outlineLevel="1">
      <c r="A144" s="280" t="s">
        <v>3406</v>
      </c>
      <c r="B144" s="280" t="s">
        <v>3405</v>
      </c>
      <c r="C144" s="280" t="s">
        <v>3405</v>
      </c>
      <c r="D144" s="281" t="s">
        <v>3293</v>
      </c>
      <c r="E144" s="280" t="s">
        <v>3293</v>
      </c>
      <c r="F144" s="280" t="s">
        <v>3293</v>
      </c>
      <c r="G144" s="278" t="s">
        <v>3293</v>
      </c>
      <c r="H144" s="278" t="s">
        <v>3293</v>
      </c>
      <c r="I144" s="278" t="s">
        <v>3293</v>
      </c>
      <c r="J144" s="279" t="s">
        <v>3293</v>
      </c>
      <c r="K144" s="278" t="s">
        <v>3288</v>
      </c>
    </row>
    <row r="145" spans="1:11" outlineLevel="1">
      <c r="A145" s="280" t="s">
        <v>3404</v>
      </c>
      <c r="B145" s="280" t="s">
        <v>3403</v>
      </c>
      <c r="C145" s="280" t="s">
        <v>3403</v>
      </c>
      <c r="D145" s="281" t="s">
        <v>3293</v>
      </c>
      <c r="E145" s="280" t="s">
        <v>3293</v>
      </c>
      <c r="F145" s="280" t="s">
        <v>3293</v>
      </c>
      <c r="G145" s="278" t="s">
        <v>3293</v>
      </c>
      <c r="H145" s="278" t="s">
        <v>3293</v>
      </c>
      <c r="I145" s="278" t="s">
        <v>3293</v>
      </c>
      <c r="J145" s="279" t="s">
        <v>3293</v>
      </c>
      <c r="K145" s="278" t="s">
        <v>3288</v>
      </c>
    </row>
    <row r="146" spans="1:11" outlineLevel="1">
      <c r="A146" s="280" t="s">
        <v>3401</v>
      </c>
      <c r="B146" s="280" t="s">
        <v>3402</v>
      </c>
      <c r="C146" s="280" t="s">
        <v>3400</v>
      </c>
      <c r="D146" s="281" t="s">
        <v>3293</v>
      </c>
      <c r="E146" s="280" t="s">
        <v>3293</v>
      </c>
      <c r="F146" s="280" t="s">
        <v>3293</v>
      </c>
      <c r="G146" s="278" t="s">
        <v>3293</v>
      </c>
      <c r="H146" s="278" t="s">
        <v>3293</v>
      </c>
      <c r="I146" s="278" t="s">
        <v>3293</v>
      </c>
      <c r="J146" s="279" t="s">
        <v>3293</v>
      </c>
      <c r="K146" s="278" t="s">
        <v>3288</v>
      </c>
    </row>
    <row r="147" spans="1:11" outlineLevel="1">
      <c r="A147" s="280" t="s">
        <v>3398</v>
      </c>
      <c r="B147" s="280" t="s">
        <v>3399</v>
      </c>
      <c r="C147" s="280" t="s">
        <v>3397</v>
      </c>
      <c r="D147" s="281" t="s">
        <v>3293</v>
      </c>
      <c r="E147" s="280" t="s">
        <v>3293</v>
      </c>
      <c r="F147" s="280" t="s">
        <v>3293</v>
      </c>
      <c r="G147" s="278" t="s">
        <v>3293</v>
      </c>
      <c r="H147" s="278" t="s">
        <v>3293</v>
      </c>
      <c r="I147" s="278" t="s">
        <v>3293</v>
      </c>
      <c r="J147" s="279">
        <v>18264</v>
      </c>
      <c r="K147" s="278" t="s">
        <v>3288</v>
      </c>
    </row>
    <row r="148" spans="1:11" outlineLevel="1">
      <c r="A148" s="280" t="s">
        <v>3395</v>
      </c>
      <c r="B148" s="280" t="s">
        <v>3396</v>
      </c>
      <c r="C148" s="280" t="s">
        <v>3394</v>
      </c>
      <c r="D148" s="281" t="s">
        <v>3393</v>
      </c>
      <c r="E148" s="280" t="s">
        <v>3293</v>
      </c>
      <c r="F148" s="280" t="s">
        <v>3392</v>
      </c>
      <c r="G148" s="278" t="s">
        <v>3291</v>
      </c>
      <c r="H148" s="278" t="s">
        <v>3290</v>
      </c>
      <c r="I148" s="278" t="s">
        <v>3289</v>
      </c>
      <c r="J148" s="279">
        <v>36546</v>
      </c>
      <c r="K148" s="278" t="s">
        <v>3321</v>
      </c>
    </row>
    <row r="149" spans="1:11" outlineLevel="1">
      <c r="A149" s="280" t="s">
        <v>3390</v>
      </c>
      <c r="B149" s="280" t="s">
        <v>3391</v>
      </c>
      <c r="C149" s="280" t="s">
        <v>3389</v>
      </c>
      <c r="D149" s="281" t="s">
        <v>3388</v>
      </c>
      <c r="E149" s="280" t="s">
        <v>3293</v>
      </c>
      <c r="F149" s="280" t="s">
        <v>3387</v>
      </c>
      <c r="G149" s="278" t="s">
        <v>3386</v>
      </c>
      <c r="H149" s="278" t="s">
        <v>3290</v>
      </c>
      <c r="I149" s="278" t="s">
        <v>3289</v>
      </c>
      <c r="J149" s="279">
        <v>37508</v>
      </c>
      <c r="K149" s="278" t="s">
        <v>3321</v>
      </c>
    </row>
    <row r="150" spans="1:11" outlineLevel="1">
      <c r="A150" s="280" t="s">
        <v>2632</v>
      </c>
      <c r="B150" s="280" t="s">
        <v>3385</v>
      </c>
      <c r="C150" s="280" t="s">
        <v>3384</v>
      </c>
      <c r="D150" s="281" t="s">
        <v>3293</v>
      </c>
      <c r="E150" s="280" t="s">
        <v>3293</v>
      </c>
      <c r="F150" s="280" t="s">
        <v>3383</v>
      </c>
      <c r="G150" s="278" t="s">
        <v>3291</v>
      </c>
      <c r="H150" s="278" t="s">
        <v>3293</v>
      </c>
      <c r="I150" s="278" t="s">
        <v>3293</v>
      </c>
      <c r="J150" s="279">
        <v>18264</v>
      </c>
      <c r="K150" s="278" t="s">
        <v>3321</v>
      </c>
    </row>
    <row r="151" spans="1:11" outlineLevel="1">
      <c r="A151" s="280" t="s">
        <v>2601</v>
      </c>
      <c r="B151" s="280" t="s">
        <v>3382</v>
      </c>
      <c r="C151" s="280" t="s">
        <v>3381</v>
      </c>
      <c r="D151" s="281" t="s">
        <v>3380</v>
      </c>
      <c r="E151" s="280" t="s">
        <v>3293</v>
      </c>
      <c r="F151" s="280" t="s">
        <v>3379</v>
      </c>
      <c r="G151" s="278" t="s">
        <v>3291</v>
      </c>
      <c r="H151" s="278" t="s">
        <v>3290</v>
      </c>
      <c r="I151" s="278" t="s">
        <v>3289</v>
      </c>
      <c r="J151" s="279">
        <v>34197</v>
      </c>
      <c r="K151" s="278" t="s">
        <v>3321</v>
      </c>
    </row>
    <row r="152" spans="1:11" outlineLevel="1">
      <c r="A152" s="280" t="s">
        <v>2631</v>
      </c>
      <c r="B152" s="280" t="s">
        <v>3378</v>
      </c>
      <c r="C152" s="280" t="s">
        <v>3377</v>
      </c>
      <c r="D152" s="281" t="s">
        <v>3293</v>
      </c>
      <c r="E152" s="280" t="s">
        <v>3293</v>
      </c>
      <c r="F152" s="280" t="s">
        <v>3293</v>
      </c>
      <c r="G152" s="278" t="s">
        <v>3293</v>
      </c>
      <c r="H152" s="278" t="s">
        <v>3293</v>
      </c>
      <c r="I152" s="278" t="s">
        <v>3293</v>
      </c>
      <c r="J152" s="279" t="s">
        <v>3293</v>
      </c>
      <c r="K152" s="278" t="s">
        <v>3288</v>
      </c>
    </row>
    <row r="153" spans="1:11" outlineLevel="1">
      <c r="A153" s="280" t="s">
        <v>2610</v>
      </c>
      <c r="B153" s="280" t="s">
        <v>3376</v>
      </c>
      <c r="C153" s="280" t="s">
        <v>3375</v>
      </c>
      <c r="D153" s="281" t="s">
        <v>3374</v>
      </c>
      <c r="E153" s="280" t="s">
        <v>3293</v>
      </c>
      <c r="F153" s="280" t="s">
        <v>3373</v>
      </c>
      <c r="G153" s="278" t="s">
        <v>3291</v>
      </c>
      <c r="H153" s="278" t="s">
        <v>3290</v>
      </c>
      <c r="I153" s="278" t="s">
        <v>3289</v>
      </c>
      <c r="J153" s="279">
        <v>36589</v>
      </c>
      <c r="K153" s="278" t="s">
        <v>3321</v>
      </c>
    </row>
    <row r="154" spans="1:11" outlineLevel="1">
      <c r="A154" s="280" t="s">
        <v>2621</v>
      </c>
      <c r="B154" s="280" t="s">
        <v>3372</v>
      </c>
      <c r="C154" s="280" t="s">
        <v>3371</v>
      </c>
      <c r="D154" s="281" t="s">
        <v>3370</v>
      </c>
      <c r="E154" s="280" t="s">
        <v>3293</v>
      </c>
      <c r="F154" s="280" t="s">
        <v>3369</v>
      </c>
      <c r="G154" s="278" t="s">
        <v>3291</v>
      </c>
      <c r="H154" s="278" t="s">
        <v>3290</v>
      </c>
      <c r="I154" s="278" t="s">
        <v>3289</v>
      </c>
      <c r="J154" s="279">
        <v>36051</v>
      </c>
      <c r="K154" s="278" t="s">
        <v>3321</v>
      </c>
    </row>
    <row r="155" spans="1:11" outlineLevel="1">
      <c r="A155" s="280" t="s">
        <v>2616</v>
      </c>
      <c r="B155" s="280" t="s">
        <v>3269</v>
      </c>
      <c r="C155" s="280" t="s">
        <v>3368</v>
      </c>
      <c r="D155" s="281" t="s">
        <v>3367</v>
      </c>
      <c r="E155" s="280" t="s">
        <v>3293</v>
      </c>
      <c r="F155" s="280" t="s">
        <v>3366</v>
      </c>
      <c r="G155" s="278" t="s">
        <v>3365</v>
      </c>
      <c r="H155" s="278" t="s">
        <v>3290</v>
      </c>
      <c r="I155" s="278" t="s">
        <v>3289</v>
      </c>
      <c r="J155" s="279">
        <v>36209</v>
      </c>
      <c r="K155" s="278" t="s">
        <v>3321</v>
      </c>
    </row>
    <row r="156" spans="1:11" outlineLevel="1">
      <c r="A156" s="280" t="s">
        <v>2629</v>
      </c>
      <c r="B156" s="280" t="s">
        <v>3364</v>
      </c>
      <c r="C156" s="280" t="s">
        <v>3363</v>
      </c>
      <c r="D156" s="281" t="s">
        <v>3362</v>
      </c>
      <c r="E156" s="280" t="s">
        <v>3293</v>
      </c>
      <c r="F156" s="280" t="s">
        <v>3361</v>
      </c>
      <c r="G156" s="278" t="s">
        <v>3291</v>
      </c>
      <c r="H156" s="278" t="s">
        <v>3290</v>
      </c>
      <c r="I156" s="278" t="s">
        <v>3289</v>
      </c>
      <c r="J156" s="279">
        <v>36867</v>
      </c>
      <c r="K156" s="278" t="s">
        <v>3321</v>
      </c>
    </row>
    <row r="157" spans="1:11" outlineLevel="1">
      <c r="A157" s="280" t="s">
        <v>2609</v>
      </c>
      <c r="B157" s="280" t="s">
        <v>3360</v>
      </c>
      <c r="C157" s="280" t="s">
        <v>3359</v>
      </c>
      <c r="D157" s="281" t="s">
        <v>3358</v>
      </c>
      <c r="E157" s="280" t="s">
        <v>3293</v>
      </c>
      <c r="F157" s="280" t="s">
        <v>3357</v>
      </c>
      <c r="G157" s="278" t="s">
        <v>3291</v>
      </c>
      <c r="H157" s="278" t="s">
        <v>3290</v>
      </c>
      <c r="I157" s="278" t="s">
        <v>3289</v>
      </c>
      <c r="J157" s="279">
        <v>36405</v>
      </c>
      <c r="K157" s="278" t="s">
        <v>3321</v>
      </c>
    </row>
    <row r="158" spans="1:11" outlineLevel="1">
      <c r="A158" s="280" t="s">
        <v>2615</v>
      </c>
      <c r="B158" s="280" t="s">
        <v>3356</v>
      </c>
      <c r="C158" s="280" t="s">
        <v>3355</v>
      </c>
      <c r="D158" s="281" t="s">
        <v>3354</v>
      </c>
      <c r="E158" s="280" t="s">
        <v>3293</v>
      </c>
      <c r="F158" s="280" t="s">
        <v>3353</v>
      </c>
      <c r="G158" s="278" t="s">
        <v>3291</v>
      </c>
      <c r="H158" s="278" t="s">
        <v>3290</v>
      </c>
      <c r="I158" s="278" t="s">
        <v>3289</v>
      </c>
      <c r="J158" s="279">
        <v>34993</v>
      </c>
      <c r="K158" s="278" t="s">
        <v>3321</v>
      </c>
    </row>
    <row r="159" spans="1:11" outlineLevel="1">
      <c r="A159" s="280" t="s">
        <v>3351</v>
      </c>
      <c r="B159" s="280" t="s">
        <v>3352</v>
      </c>
      <c r="C159" s="280" t="s">
        <v>3350</v>
      </c>
      <c r="D159" s="281" t="s">
        <v>3349</v>
      </c>
      <c r="E159" s="280" t="s">
        <v>3293</v>
      </c>
      <c r="F159" s="280" t="s">
        <v>3348</v>
      </c>
      <c r="G159" s="278" t="s">
        <v>3291</v>
      </c>
      <c r="H159" s="278" t="s">
        <v>3290</v>
      </c>
      <c r="I159" s="278" t="s">
        <v>3289</v>
      </c>
      <c r="J159" s="279">
        <v>36777</v>
      </c>
      <c r="K159" s="278" t="s">
        <v>3321</v>
      </c>
    </row>
    <row r="160" spans="1:11" outlineLevel="1">
      <c r="A160" s="280" t="s">
        <v>2603</v>
      </c>
      <c r="B160" s="280" t="s">
        <v>3347</v>
      </c>
      <c r="C160" s="280" t="s">
        <v>3346</v>
      </c>
      <c r="D160" s="281" t="s">
        <v>3345</v>
      </c>
      <c r="E160" s="280" t="s">
        <v>3293</v>
      </c>
      <c r="F160" s="280" t="s">
        <v>3293</v>
      </c>
      <c r="G160" s="278" t="s">
        <v>3291</v>
      </c>
      <c r="H160" s="278" t="s">
        <v>3290</v>
      </c>
      <c r="I160" s="278" t="s">
        <v>3289</v>
      </c>
      <c r="J160" s="279">
        <v>36720</v>
      </c>
      <c r="K160" s="278" t="s">
        <v>3321</v>
      </c>
    </row>
    <row r="161" spans="1:11" outlineLevel="1">
      <c r="A161" s="280" t="s">
        <v>2604</v>
      </c>
      <c r="B161" s="280" t="s">
        <v>3344</v>
      </c>
      <c r="C161" s="280" t="s">
        <v>3343</v>
      </c>
      <c r="D161" s="281" t="s">
        <v>3342</v>
      </c>
      <c r="E161" s="280" t="s">
        <v>3293</v>
      </c>
      <c r="F161" s="280" t="s">
        <v>3341</v>
      </c>
      <c r="G161" s="278" t="s">
        <v>3291</v>
      </c>
      <c r="H161" s="278" t="s">
        <v>3290</v>
      </c>
      <c r="I161" s="278" t="s">
        <v>3289</v>
      </c>
      <c r="J161" s="279">
        <v>36692</v>
      </c>
      <c r="K161" s="278" t="s">
        <v>3321</v>
      </c>
    </row>
    <row r="162" spans="1:11" outlineLevel="1">
      <c r="A162" s="280" t="s">
        <v>2611</v>
      </c>
      <c r="B162" s="280" t="s">
        <v>3340</v>
      </c>
      <c r="C162" s="280" t="s">
        <v>3339</v>
      </c>
      <c r="D162" s="281" t="s">
        <v>3338</v>
      </c>
      <c r="E162" s="280" t="s">
        <v>3293</v>
      </c>
      <c r="F162" s="280" t="s">
        <v>3293</v>
      </c>
      <c r="G162" s="278" t="s">
        <v>3293</v>
      </c>
      <c r="H162" s="278" t="s">
        <v>3293</v>
      </c>
      <c r="I162" s="278" t="s">
        <v>3293</v>
      </c>
      <c r="J162" s="279">
        <v>36552</v>
      </c>
      <c r="K162" s="278" t="s">
        <v>3288</v>
      </c>
    </row>
    <row r="163" spans="1:11" outlineLevel="1">
      <c r="A163" s="280" t="s">
        <v>2630</v>
      </c>
      <c r="B163" s="280" t="s">
        <v>3337</v>
      </c>
      <c r="C163" s="280" t="s">
        <v>3336</v>
      </c>
      <c r="D163" s="281" t="s">
        <v>3293</v>
      </c>
      <c r="E163" s="280" t="s">
        <v>3293</v>
      </c>
      <c r="F163" s="280" t="s">
        <v>3335</v>
      </c>
      <c r="G163" s="278" t="s">
        <v>3291</v>
      </c>
      <c r="H163" s="278" t="s">
        <v>3293</v>
      </c>
      <c r="I163" s="278" t="s">
        <v>3293</v>
      </c>
      <c r="J163" s="279">
        <v>18264</v>
      </c>
      <c r="K163" s="278" t="s">
        <v>3321</v>
      </c>
    </row>
    <row r="164" spans="1:11" outlineLevel="1">
      <c r="A164" s="280" t="s">
        <v>2619</v>
      </c>
      <c r="B164" s="280" t="s">
        <v>3334</v>
      </c>
      <c r="C164" s="280" t="s">
        <v>3333</v>
      </c>
      <c r="D164" s="281" t="s">
        <v>3293</v>
      </c>
      <c r="E164" s="280" t="s">
        <v>3293</v>
      </c>
      <c r="F164" s="280" t="s">
        <v>3332</v>
      </c>
      <c r="G164" s="278" t="s">
        <v>3291</v>
      </c>
      <c r="H164" s="278" t="s">
        <v>3293</v>
      </c>
      <c r="I164" s="278" t="s">
        <v>3293</v>
      </c>
      <c r="J164" s="279">
        <v>18264</v>
      </c>
      <c r="K164" s="278" t="s">
        <v>3321</v>
      </c>
    </row>
    <row r="165" spans="1:11" outlineLevel="1">
      <c r="A165" s="280" t="s">
        <v>3330</v>
      </c>
      <c r="B165" s="280" t="s">
        <v>3331</v>
      </c>
      <c r="C165" s="280" t="s">
        <v>3329</v>
      </c>
      <c r="D165" s="281" t="s">
        <v>3328</v>
      </c>
      <c r="E165" s="280" t="s">
        <v>3293</v>
      </c>
      <c r="F165" s="280" t="s">
        <v>3327</v>
      </c>
      <c r="G165" s="278" t="s">
        <v>3291</v>
      </c>
      <c r="H165" s="278" t="s">
        <v>3290</v>
      </c>
      <c r="I165" s="278" t="s">
        <v>3289</v>
      </c>
      <c r="J165" s="279">
        <v>36525</v>
      </c>
      <c r="K165" s="278" t="s">
        <v>3321</v>
      </c>
    </row>
    <row r="166" spans="1:11" outlineLevel="1">
      <c r="A166" s="280" t="s">
        <v>3325</v>
      </c>
      <c r="B166" s="280" t="s">
        <v>3326</v>
      </c>
      <c r="C166" s="280" t="s">
        <v>3324</v>
      </c>
      <c r="D166" s="281" t="s">
        <v>3323</v>
      </c>
      <c r="E166" s="280" t="s">
        <v>3293</v>
      </c>
      <c r="F166" s="280" t="s">
        <v>3322</v>
      </c>
      <c r="G166" s="278" t="s">
        <v>3291</v>
      </c>
      <c r="H166" s="278" t="s">
        <v>3290</v>
      </c>
      <c r="I166" s="278" t="s">
        <v>3289</v>
      </c>
      <c r="J166" s="279">
        <v>36566</v>
      </c>
      <c r="K166" s="278" t="s">
        <v>3321</v>
      </c>
    </row>
    <row r="167" spans="1:11">
      <c r="A167" s="282"/>
      <c r="B167" s="282" t="s">
        <v>3320</v>
      </c>
      <c r="C167" s="282"/>
      <c r="D167" s="282"/>
      <c r="E167" s="282"/>
      <c r="F167" s="282"/>
      <c r="G167" s="282"/>
      <c r="H167" s="282"/>
      <c r="I167" s="282"/>
      <c r="J167" s="282"/>
      <c r="K167" s="282"/>
    </row>
    <row r="168" spans="1:11" outlineLevel="1">
      <c r="A168" s="280" t="s">
        <v>656</v>
      </c>
      <c r="B168" s="280" t="s">
        <v>3284</v>
      </c>
      <c r="C168" s="280" t="s">
        <v>3319</v>
      </c>
      <c r="D168" s="281" t="s">
        <v>3318</v>
      </c>
      <c r="E168" s="280" t="s">
        <v>3293</v>
      </c>
      <c r="F168" s="280" t="s">
        <v>3317</v>
      </c>
      <c r="G168" s="278" t="s">
        <v>3291</v>
      </c>
      <c r="H168" s="278" t="s">
        <v>3290</v>
      </c>
      <c r="I168" s="278" t="s">
        <v>3289</v>
      </c>
      <c r="J168" s="279">
        <v>35919</v>
      </c>
      <c r="K168" s="278" t="s">
        <v>3288</v>
      </c>
    </row>
    <row r="169" spans="1:11" outlineLevel="1">
      <c r="A169" s="280" t="s">
        <v>602</v>
      </c>
      <c r="B169" s="280" t="s">
        <v>3258</v>
      </c>
      <c r="C169" s="280" t="s">
        <v>3316</v>
      </c>
      <c r="D169" s="281" t="s">
        <v>3315</v>
      </c>
      <c r="E169" s="280" t="s">
        <v>3293</v>
      </c>
      <c r="F169" s="280" t="s">
        <v>3314</v>
      </c>
      <c r="G169" s="278" t="s">
        <v>3291</v>
      </c>
      <c r="H169" s="278" t="s">
        <v>3290</v>
      </c>
      <c r="I169" s="278" t="s">
        <v>3289</v>
      </c>
      <c r="J169" s="279">
        <v>35707</v>
      </c>
      <c r="K169" s="278" t="s">
        <v>3288</v>
      </c>
    </row>
    <row r="170" spans="1:11" outlineLevel="1">
      <c r="A170" s="280" t="s">
        <v>587</v>
      </c>
      <c r="B170" s="280" t="s">
        <v>3313</v>
      </c>
      <c r="C170" s="280" t="s">
        <v>3312</v>
      </c>
      <c r="D170" s="281" t="s">
        <v>3311</v>
      </c>
      <c r="E170" s="280" t="s">
        <v>3293</v>
      </c>
      <c r="F170" s="280" t="s">
        <v>3310</v>
      </c>
      <c r="G170" s="278" t="s">
        <v>3291</v>
      </c>
      <c r="H170" s="278" t="s">
        <v>3290</v>
      </c>
      <c r="I170" s="278" t="s">
        <v>3289</v>
      </c>
      <c r="J170" s="279">
        <v>36058</v>
      </c>
      <c r="K170" s="278" t="s">
        <v>3288</v>
      </c>
    </row>
    <row r="171" spans="1:11" outlineLevel="1">
      <c r="A171" s="280" t="s">
        <v>622</v>
      </c>
      <c r="B171" s="280" t="s">
        <v>3309</v>
      </c>
      <c r="C171" s="280" t="s">
        <v>3308</v>
      </c>
      <c r="D171" s="281" t="s">
        <v>3307</v>
      </c>
      <c r="E171" s="280" t="s">
        <v>3293</v>
      </c>
      <c r="F171" s="280" t="s">
        <v>3306</v>
      </c>
      <c r="G171" s="278" t="s">
        <v>3291</v>
      </c>
      <c r="H171" s="278" t="s">
        <v>3290</v>
      </c>
      <c r="I171" s="278" t="s">
        <v>3289</v>
      </c>
      <c r="J171" s="279">
        <v>35784</v>
      </c>
      <c r="K171" s="278" t="s">
        <v>3288</v>
      </c>
    </row>
    <row r="172" spans="1:11" outlineLevel="1">
      <c r="A172" s="280" t="s">
        <v>2532</v>
      </c>
      <c r="B172" s="280" t="s">
        <v>3305</v>
      </c>
      <c r="C172" s="280" t="s">
        <v>3305</v>
      </c>
      <c r="D172" s="281" t="s">
        <v>3293</v>
      </c>
      <c r="E172" s="280" t="s">
        <v>3293</v>
      </c>
      <c r="F172" s="280" t="s">
        <v>3293</v>
      </c>
      <c r="G172" s="278" t="s">
        <v>3293</v>
      </c>
      <c r="H172" s="278" t="s">
        <v>3293</v>
      </c>
      <c r="I172" s="278" t="s">
        <v>3293</v>
      </c>
      <c r="J172" s="279" t="s">
        <v>3293</v>
      </c>
      <c r="K172" s="278" t="s">
        <v>3288</v>
      </c>
    </row>
    <row r="173" spans="1:11" outlineLevel="1">
      <c r="A173" s="280" t="s">
        <v>646</v>
      </c>
      <c r="B173" s="280" t="s">
        <v>3271</v>
      </c>
      <c r="C173" s="280" t="s">
        <v>3304</v>
      </c>
      <c r="D173" s="281" t="s">
        <v>3303</v>
      </c>
      <c r="E173" s="280" t="s">
        <v>3293</v>
      </c>
      <c r="F173" s="280" t="s">
        <v>3302</v>
      </c>
      <c r="G173" s="278" t="s">
        <v>3291</v>
      </c>
      <c r="H173" s="278" t="s">
        <v>3290</v>
      </c>
      <c r="I173" s="278" t="s">
        <v>3289</v>
      </c>
      <c r="J173" s="279">
        <v>33766</v>
      </c>
      <c r="K173" s="278" t="s">
        <v>3288</v>
      </c>
    </row>
    <row r="174" spans="1:11" outlineLevel="1">
      <c r="A174" s="280" t="s">
        <v>680</v>
      </c>
      <c r="B174" s="280" t="s">
        <v>3301</v>
      </c>
      <c r="C174" s="280" t="s">
        <v>3301</v>
      </c>
      <c r="D174" s="281" t="s">
        <v>3300</v>
      </c>
      <c r="E174" s="280" t="s">
        <v>3293</v>
      </c>
      <c r="F174" s="280" t="s">
        <v>3299</v>
      </c>
      <c r="G174" s="278" t="s">
        <v>3291</v>
      </c>
      <c r="H174" s="278" t="s">
        <v>3290</v>
      </c>
      <c r="I174" s="278" t="s">
        <v>3289</v>
      </c>
      <c r="J174" s="279">
        <v>37188</v>
      </c>
      <c r="K174" s="278" t="s">
        <v>3288</v>
      </c>
    </row>
    <row r="175" spans="1:11" outlineLevel="1">
      <c r="A175" s="280" t="s">
        <v>631</v>
      </c>
      <c r="B175" s="280" t="s">
        <v>3276</v>
      </c>
      <c r="C175" s="280" t="s">
        <v>3276</v>
      </c>
      <c r="D175" s="281" t="s">
        <v>3298</v>
      </c>
      <c r="E175" s="280" t="s">
        <v>3293</v>
      </c>
      <c r="F175" s="280" t="s">
        <v>3297</v>
      </c>
      <c r="G175" s="278" t="s">
        <v>3291</v>
      </c>
      <c r="H175" s="278" t="s">
        <v>3290</v>
      </c>
      <c r="I175" s="278" t="s">
        <v>3289</v>
      </c>
      <c r="J175" s="279">
        <v>36111</v>
      </c>
      <c r="K175" s="278" t="s">
        <v>3288</v>
      </c>
    </row>
    <row r="176" spans="1:11" outlineLevel="1">
      <c r="A176" s="280" t="s">
        <v>568</v>
      </c>
      <c r="B176" s="280" t="s">
        <v>3296</v>
      </c>
      <c r="C176" s="280" t="s">
        <v>3295</v>
      </c>
      <c r="D176" s="281" t="s">
        <v>3294</v>
      </c>
      <c r="E176" s="280" t="s">
        <v>3293</v>
      </c>
      <c r="F176" s="280" t="s">
        <v>3292</v>
      </c>
      <c r="G176" s="278" t="s">
        <v>3291</v>
      </c>
      <c r="H176" s="278" t="s">
        <v>3290</v>
      </c>
      <c r="I176" s="278" t="s">
        <v>3289</v>
      </c>
      <c r="J176" s="279">
        <v>32833</v>
      </c>
      <c r="K176" s="278" t="s">
        <v>3288</v>
      </c>
    </row>
    <row r="177" spans="2:11" s="280" customFormat="1">
      <c r="B177" s="282">
        <f>SUBTOTAL(3,B3:B23,B25:B27,B29:B43,B45:B62,B64:B72,B74:B107,B109:B166,B168:B176)</f>
        <v>167</v>
      </c>
      <c r="D177" s="281"/>
      <c r="G177" s="278"/>
      <c r="H177" s="278"/>
      <c r="I177" s="278"/>
      <c r="J177" s="279"/>
      <c r="K177" s="278"/>
    </row>
  </sheetData>
  <autoFilter ref="A1:K176" xr:uid="{AB5D54C7-BF04-470E-B822-C76D080517F5}"/>
  <pageMargins left="0.7" right="0.7" top="0.75" bottom="0.75" header="0.3" footer="0.3"/>
  <pageSetup fitToWidth="0" fitToHeight="0" errors="blank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EE94C-1E45-4C58-81FF-3C046981D65D}">
  <sheetPr filterMode="1">
    <pageSetUpPr fitToPage="1"/>
  </sheetPr>
  <dimension ref="A2:J372"/>
  <sheetViews>
    <sheetView topLeftCell="A8" zoomScale="85" zoomScaleNormal="85" workbookViewId="0">
      <pane ySplit="2" topLeftCell="A200" activePane="bottomLeft" state="frozen"/>
      <selection activeCell="A8" sqref="A8"/>
      <selection pane="bottomLeft" activeCell="D205" sqref="D205"/>
    </sheetView>
  </sheetViews>
  <sheetFormatPr defaultColWidth="8.625" defaultRowHeight="15.75"/>
  <cols>
    <col min="1" max="1" width="5.75" style="5" customWidth="1"/>
    <col min="2" max="2" width="15.875" style="5" customWidth="1"/>
    <col min="3" max="3" width="28.5" style="5" customWidth="1"/>
    <col min="4" max="4" width="32.375" style="8" customWidth="1"/>
    <col min="5" max="6" width="8.75" style="7" customWidth="1"/>
    <col min="7" max="7" width="18.625" style="5" customWidth="1"/>
    <col min="8" max="8" width="12.75" style="5" customWidth="1"/>
    <col min="9" max="9" width="26.75" style="5" customWidth="1"/>
    <col min="10" max="10" width="15.75" style="6" customWidth="1"/>
    <col min="11" max="16384" width="8.625" style="5"/>
  </cols>
  <sheetData>
    <row r="2" spans="1:10" ht="19.899999999999999" customHeight="1">
      <c r="A2" s="411" t="s">
        <v>4</v>
      </c>
      <c r="B2" s="411"/>
      <c r="C2" s="411"/>
      <c r="D2" s="411"/>
      <c r="E2" s="411"/>
      <c r="F2" s="411"/>
      <c r="G2" s="411"/>
      <c r="H2" s="411"/>
      <c r="I2" s="411"/>
      <c r="J2" s="411"/>
    </row>
    <row r="3" spans="1:10" ht="19.899999999999999" customHeight="1">
      <c r="A3" s="60" t="s">
        <v>5</v>
      </c>
      <c r="B3" s="60"/>
      <c r="C3" s="60" t="s">
        <v>382</v>
      </c>
      <c r="D3" s="62"/>
      <c r="E3" s="61"/>
      <c r="F3" s="61"/>
      <c r="G3" s="60"/>
      <c r="H3" s="60"/>
      <c r="I3" s="60"/>
      <c r="J3" s="59"/>
    </row>
    <row r="4" spans="1:10" ht="19.899999999999999" customHeight="1">
      <c r="A4" s="60" t="s">
        <v>6</v>
      </c>
      <c r="B4" s="60"/>
      <c r="C4" s="60" t="s">
        <v>381</v>
      </c>
      <c r="D4" s="62"/>
      <c r="E4" s="61"/>
      <c r="F4" s="61"/>
      <c r="G4" s="60"/>
      <c r="H4" s="60"/>
      <c r="I4" s="60"/>
      <c r="J4" s="59"/>
    </row>
    <row r="5" spans="1:10" ht="19.899999999999999" customHeight="1">
      <c r="A5" s="60" t="s">
        <v>9</v>
      </c>
      <c r="B5" s="60"/>
      <c r="C5" s="60" t="s">
        <v>10</v>
      </c>
      <c r="D5" s="62"/>
      <c r="E5" s="61"/>
      <c r="F5" s="61"/>
      <c r="G5" s="60"/>
      <c r="H5" s="60"/>
      <c r="I5" s="60"/>
      <c r="J5" s="59"/>
    </row>
    <row r="6" spans="1:10" ht="19.899999999999999" customHeight="1">
      <c r="A6" s="63" t="s">
        <v>11</v>
      </c>
      <c r="B6" s="60"/>
      <c r="C6" s="60" t="s">
        <v>380</v>
      </c>
      <c r="D6" s="401" t="s">
        <v>379</v>
      </c>
      <c r="E6" s="401"/>
      <c r="H6" s="60"/>
      <c r="I6" s="60"/>
      <c r="J6" s="59"/>
    </row>
    <row r="7" spans="1:10" ht="19.899999999999999" customHeight="1">
      <c r="A7" s="63" t="s">
        <v>11</v>
      </c>
      <c r="B7" s="60"/>
      <c r="C7" s="60" t="s">
        <v>378</v>
      </c>
      <c r="D7" s="401" t="s">
        <v>377</v>
      </c>
      <c r="E7" s="401"/>
      <c r="H7" s="60"/>
      <c r="I7" s="60"/>
      <c r="J7" s="59"/>
    </row>
    <row r="8" spans="1:10" ht="19.899999999999999" customHeight="1">
      <c r="A8" s="60" t="s">
        <v>8</v>
      </c>
      <c r="B8" s="60"/>
      <c r="C8" s="60"/>
      <c r="D8" s="62"/>
      <c r="E8" s="61"/>
      <c r="F8" s="61"/>
      <c r="G8" s="60"/>
      <c r="H8" s="60"/>
      <c r="I8" s="60"/>
      <c r="J8" s="59"/>
    </row>
    <row r="9" spans="1:10" ht="63">
      <c r="A9" s="58" t="s">
        <v>0</v>
      </c>
      <c r="B9" s="58" t="s">
        <v>3</v>
      </c>
      <c r="C9" s="58" t="s">
        <v>1</v>
      </c>
      <c r="D9" s="57" t="s">
        <v>376</v>
      </c>
      <c r="E9" s="57" t="s">
        <v>14</v>
      </c>
      <c r="F9" s="57" t="s">
        <v>12</v>
      </c>
      <c r="G9" s="58" t="s">
        <v>7</v>
      </c>
      <c r="H9" s="58" t="s">
        <v>13</v>
      </c>
      <c r="I9" s="57" t="s">
        <v>375</v>
      </c>
      <c r="J9" s="56" t="s">
        <v>2</v>
      </c>
    </row>
    <row r="10" spans="1:10" ht="30" hidden="1" customHeight="1">
      <c r="A10" s="15">
        <v>1</v>
      </c>
      <c r="B10" s="18" t="s">
        <v>374</v>
      </c>
      <c r="C10" s="21" t="s">
        <v>373</v>
      </c>
      <c r="D10" s="18" t="s">
        <v>365</v>
      </c>
      <c r="E10" s="13" t="s">
        <v>18</v>
      </c>
      <c r="F10" s="13">
        <v>1</v>
      </c>
      <c r="G10" s="19"/>
      <c r="H10" s="11" t="s">
        <v>17</v>
      </c>
      <c r="I10" s="18" t="s">
        <v>34</v>
      </c>
      <c r="J10" s="55"/>
    </row>
    <row r="11" spans="1:10" ht="30" hidden="1" customHeight="1">
      <c r="A11" s="15">
        <f t="shared" ref="A11:A74" si="0">A10+1</f>
        <v>2</v>
      </c>
      <c r="B11" s="18" t="s">
        <v>372</v>
      </c>
      <c r="C11" s="18" t="s">
        <v>371</v>
      </c>
      <c r="D11" s="21" t="s">
        <v>368</v>
      </c>
      <c r="E11" s="13" t="s">
        <v>18</v>
      </c>
      <c r="F11" s="13">
        <v>1</v>
      </c>
      <c r="G11" s="19"/>
      <c r="H11" s="11" t="s">
        <v>17</v>
      </c>
      <c r="I11" s="18" t="s">
        <v>34</v>
      </c>
      <c r="J11" s="55" t="s">
        <v>80</v>
      </c>
    </row>
    <row r="12" spans="1:10" ht="30" hidden="1" customHeight="1">
      <c r="A12" s="15">
        <f t="shared" si="0"/>
        <v>3</v>
      </c>
      <c r="B12" s="18" t="s">
        <v>370</v>
      </c>
      <c r="C12" s="18" t="s">
        <v>369</v>
      </c>
      <c r="D12" s="21" t="s">
        <v>368</v>
      </c>
      <c r="E12" s="13" t="s">
        <v>18</v>
      </c>
      <c r="F12" s="13">
        <v>1</v>
      </c>
      <c r="G12" s="19"/>
      <c r="H12" s="11" t="s">
        <v>17</v>
      </c>
      <c r="I12" s="18" t="s">
        <v>34</v>
      </c>
      <c r="J12" s="55" t="s">
        <v>88</v>
      </c>
    </row>
    <row r="13" spans="1:10" ht="30" hidden="1" customHeight="1">
      <c r="A13" s="15">
        <f t="shared" si="0"/>
        <v>4</v>
      </c>
      <c r="B13" s="18" t="s">
        <v>367</v>
      </c>
      <c r="C13" s="21" t="s">
        <v>366</v>
      </c>
      <c r="D13" s="18" t="s">
        <v>365</v>
      </c>
      <c r="E13" s="13" t="s">
        <v>18</v>
      </c>
      <c r="F13" s="13">
        <v>1</v>
      </c>
      <c r="G13" s="19"/>
      <c r="H13" s="11" t="s">
        <v>17</v>
      </c>
      <c r="I13" s="18" t="s">
        <v>34</v>
      </c>
      <c r="J13" s="55"/>
    </row>
    <row r="14" spans="1:10" ht="30" hidden="1" customHeight="1">
      <c r="A14" s="15">
        <f t="shared" si="0"/>
        <v>5</v>
      </c>
      <c r="B14" s="18" t="s">
        <v>364</v>
      </c>
      <c r="C14" s="18" t="s">
        <v>363</v>
      </c>
      <c r="D14" s="18" t="s">
        <v>363</v>
      </c>
      <c r="E14" s="13" t="s">
        <v>18</v>
      </c>
      <c r="F14" s="13">
        <v>1</v>
      </c>
      <c r="G14" s="19"/>
      <c r="H14" s="11" t="s">
        <v>17</v>
      </c>
      <c r="I14" s="18" t="s">
        <v>34</v>
      </c>
      <c r="J14" s="55"/>
    </row>
    <row r="15" spans="1:10" s="47" customFormat="1" ht="30" hidden="1" customHeight="1">
      <c r="A15" s="51">
        <f t="shared" si="0"/>
        <v>6</v>
      </c>
      <c r="B15" s="53" t="s">
        <v>362</v>
      </c>
      <c r="C15" s="53" t="s">
        <v>361</v>
      </c>
      <c r="D15" s="53" t="s">
        <v>361</v>
      </c>
      <c r="E15" s="51" t="s">
        <v>18</v>
      </c>
      <c r="F15" s="51">
        <v>1</v>
      </c>
      <c r="G15" s="50"/>
      <c r="H15" s="50" t="s">
        <v>17</v>
      </c>
      <c r="I15" s="53" t="s">
        <v>34</v>
      </c>
      <c r="J15" s="48"/>
    </row>
    <row r="16" spans="1:10" s="47" customFormat="1" ht="30" hidden="1" customHeight="1">
      <c r="A16" s="51">
        <f t="shared" si="0"/>
        <v>7</v>
      </c>
      <c r="B16" s="53" t="s">
        <v>360</v>
      </c>
      <c r="C16" s="53" t="s">
        <v>359</v>
      </c>
      <c r="D16" s="53" t="s">
        <v>359</v>
      </c>
      <c r="E16" s="51" t="s">
        <v>18</v>
      </c>
      <c r="F16" s="51">
        <v>1</v>
      </c>
      <c r="G16" s="50"/>
      <c r="H16" s="50" t="s">
        <v>17</v>
      </c>
      <c r="I16" s="53" t="s">
        <v>34</v>
      </c>
      <c r="J16" s="48"/>
    </row>
    <row r="17" spans="1:10" s="47" customFormat="1" ht="30" hidden="1" customHeight="1">
      <c r="A17" s="51">
        <f t="shared" si="0"/>
        <v>8</v>
      </c>
      <c r="B17" s="53" t="s">
        <v>358</v>
      </c>
      <c r="C17" s="53" t="s">
        <v>357</v>
      </c>
      <c r="D17" s="53" t="s">
        <v>357</v>
      </c>
      <c r="E17" s="51" t="s">
        <v>18</v>
      </c>
      <c r="F17" s="51">
        <v>1</v>
      </c>
      <c r="G17" s="50"/>
      <c r="H17" s="50" t="s">
        <v>17</v>
      </c>
      <c r="I17" s="53" t="s">
        <v>34</v>
      </c>
      <c r="J17" s="48"/>
    </row>
    <row r="18" spans="1:10" s="47" customFormat="1" ht="30" hidden="1" customHeight="1">
      <c r="A18" s="51">
        <f t="shared" si="0"/>
        <v>9</v>
      </c>
      <c r="B18" s="53" t="s">
        <v>356</v>
      </c>
      <c r="C18" s="53" t="s">
        <v>355</v>
      </c>
      <c r="D18" s="53" t="s">
        <v>355</v>
      </c>
      <c r="E18" s="51" t="s">
        <v>18</v>
      </c>
      <c r="F18" s="51">
        <v>1</v>
      </c>
      <c r="G18" s="50"/>
      <c r="H18" s="50" t="s">
        <v>17</v>
      </c>
      <c r="I18" s="53" t="s">
        <v>34</v>
      </c>
      <c r="J18" s="48"/>
    </row>
    <row r="19" spans="1:10" s="37" customFormat="1" ht="30" hidden="1" customHeight="1">
      <c r="A19" s="26">
        <f t="shared" si="0"/>
        <v>10</v>
      </c>
      <c r="B19" s="40" t="s">
        <v>354</v>
      </c>
      <c r="C19" s="40" t="s">
        <v>352</v>
      </c>
      <c r="D19" s="40" t="s">
        <v>351</v>
      </c>
      <c r="E19" s="26" t="s">
        <v>18</v>
      </c>
      <c r="F19" s="26">
        <v>1</v>
      </c>
      <c r="G19" s="25"/>
      <c r="H19" s="25" t="s">
        <v>17</v>
      </c>
      <c r="I19" s="40" t="s">
        <v>348</v>
      </c>
      <c r="J19" s="45" t="s">
        <v>201</v>
      </c>
    </row>
    <row r="20" spans="1:10" s="37" customFormat="1" ht="30" hidden="1" customHeight="1">
      <c r="A20" s="26">
        <f t="shared" si="0"/>
        <v>11</v>
      </c>
      <c r="B20" s="40" t="s">
        <v>353</v>
      </c>
      <c r="C20" s="40" t="s">
        <v>352</v>
      </c>
      <c r="D20" s="40" t="s">
        <v>351</v>
      </c>
      <c r="E20" s="26" t="s">
        <v>18</v>
      </c>
      <c r="F20" s="26">
        <v>1</v>
      </c>
      <c r="G20" s="25"/>
      <c r="H20" s="25" t="s">
        <v>17</v>
      </c>
      <c r="I20" s="40" t="s">
        <v>348</v>
      </c>
      <c r="J20" s="45" t="s">
        <v>201</v>
      </c>
    </row>
    <row r="21" spans="1:10" ht="30" hidden="1" customHeight="1">
      <c r="A21" s="15">
        <f t="shared" si="0"/>
        <v>12</v>
      </c>
      <c r="B21" s="18" t="s">
        <v>350</v>
      </c>
      <c r="C21" s="18" t="s">
        <v>349</v>
      </c>
      <c r="D21" s="18" t="s">
        <v>349</v>
      </c>
      <c r="E21" s="13" t="s">
        <v>18</v>
      </c>
      <c r="F21" s="13">
        <v>1</v>
      </c>
      <c r="G21" s="19"/>
      <c r="H21" s="11" t="s">
        <v>17</v>
      </c>
      <c r="I21" s="18" t="s">
        <v>348</v>
      </c>
      <c r="J21" s="55"/>
    </row>
    <row r="22" spans="1:10" ht="30" hidden="1" customHeight="1">
      <c r="A22" s="15">
        <f t="shared" si="0"/>
        <v>13</v>
      </c>
      <c r="B22" s="18" t="s">
        <v>347</v>
      </c>
      <c r="C22" s="18" t="s">
        <v>346</v>
      </c>
      <c r="D22" s="18" t="s">
        <v>346</v>
      </c>
      <c r="E22" s="13" t="s">
        <v>18</v>
      </c>
      <c r="F22" s="13">
        <v>1</v>
      </c>
      <c r="G22" s="19"/>
      <c r="H22" s="11" t="s">
        <v>17</v>
      </c>
      <c r="I22" s="18" t="s">
        <v>34</v>
      </c>
      <c r="J22" s="55"/>
    </row>
    <row r="23" spans="1:10" ht="30" hidden="1" customHeight="1">
      <c r="A23" s="15">
        <f t="shared" si="0"/>
        <v>14</v>
      </c>
      <c r="B23" s="18" t="s">
        <v>345</v>
      </c>
      <c r="C23" s="18" t="s">
        <v>344</v>
      </c>
      <c r="D23" s="18" t="s">
        <v>344</v>
      </c>
      <c r="E23" s="13" t="s">
        <v>18</v>
      </c>
      <c r="F23" s="13">
        <v>1</v>
      </c>
      <c r="G23" s="19"/>
      <c r="H23" s="11" t="s">
        <v>17</v>
      </c>
      <c r="I23" s="18" t="s">
        <v>34</v>
      </c>
      <c r="J23" s="55"/>
    </row>
    <row r="24" spans="1:10" s="41" customFormat="1" ht="30" hidden="1" customHeight="1">
      <c r="A24" s="15">
        <f t="shared" si="0"/>
        <v>15</v>
      </c>
      <c r="B24" s="18" t="s">
        <v>343</v>
      </c>
      <c r="C24" s="18" t="s">
        <v>340</v>
      </c>
      <c r="D24" s="18" t="s">
        <v>340</v>
      </c>
      <c r="E24" s="13" t="s">
        <v>18</v>
      </c>
      <c r="F24" s="13">
        <v>1</v>
      </c>
      <c r="G24" s="19"/>
      <c r="H24" s="11" t="s">
        <v>17</v>
      </c>
      <c r="I24" s="18" t="s">
        <v>34</v>
      </c>
      <c r="J24" s="42" t="s">
        <v>339</v>
      </c>
    </row>
    <row r="25" spans="1:10" s="41" customFormat="1" ht="30" hidden="1" customHeight="1">
      <c r="A25" s="15">
        <f t="shared" si="0"/>
        <v>16</v>
      </c>
      <c r="B25" s="18" t="s">
        <v>342</v>
      </c>
      <c r="C25" s="18" t="s">
        <v>340</v>
      </c>
      <c r="D25" s="18" t="s">
        <v>340</v>
      </c>
      <c r="E25" s="13" t="s">
        <v>18</v>
      </c>
      <c r="F25" s="13">
        <v>1</v>
      </c>
      <c r="G25" s="19"/>
      <c r="H25" s="11" t="s">
        <v>17</v>
      </c>
      <c r="I25" s="18" t="s">
        <v>34</v>
      </c>
      <c r="J25" s="42" t="s">
        <v>339</v>
      </c>
    </row>
    <row r="26" spans="1:10" s="41" customFormat="1" ht="30" hidden="1" customHeight="1">
      <c r="A26" s="15">
        <f t="shared" si="0"/>
        <v>17</v>
      </c>
      <c r="B26" s="18" t="s">
        <v>341</v>
      </c>
      <c r="C26" s="18" t="s">
        <v>340</v>
      </c>
      <c r="D26" s="18" t="s">
        <v>340</v>
      </c>
      <c r="E26" s="13" t="s">
        <v>18</v>
      </c>
      <c r="F26" s="13">
        <v>1</v>
      </c>
      <c r="G26" s="19"/>
      <c r="H26" s="11" t="s">
        <v>17</v>
      </c>
      <c r="I26" s="18" t="s">
        <v>34</v>
      </c>
      <c r="J26" s="42" t="s">
        <v>339</v>
      </c>
    </row>
    <row r="27" spans="1:10" s="41" customFormat="1" ht="30" hidden="1" customHeight="1">
      <c r="A27" s="15">
        <f t="shared" si="0"/>
        <v>18</v>
      </c>
      <c r="B27" s="18" t="s">
        <v>338</v>
      </c>
      <c r="C27" s="18" t="s">
        <v>337</v>
      </c>
      <c r="D27" s="18" t="s">
        <v>337</v>
      </c>
      <c r="E27" s="13" t="s">
        <v>18</v>
      </c>
      <c r="F27" s="13">
        <v>1</v>
      </c>
      <c r="G27" s="19"/>
      <c r="H27" s="11" t="s">
        <v>17</v>
      </c>
      <c r="I27" s="18" t="s">
        <v>34</v>
      </c>
      <c r="J27" s="42"/>
    </row>
    <row r="28" spans="1:10" s="41" customFormat="1" ht="30" hidden="1" customHeight="1">
      <c r="A28" s="15">
        <f t="shared" si="0"/>
        <v>19</v>
      </c>
      <c r="B28" s="18" t="s">
        <v>336</v>
      </c>
      <c r="C28" s="18" t="s">
        <v>335</v>
      </c>
      <c r="D28" s="18" t="s">
        <v>335</v>
      </c>
      <c r="E28" s="13" t="s">
        <v>18</v>
      </c>
      <c r="F28" s="13">
        <v>1</v>
      </c>
      <c r="G28" s="19"/>
      <c r="H28" s="11" t="s">
        <v>17</v>
      </c>
      <c r="I28" s="18" t="s">
        <v>34</v>
      </c>
      <c r="J28" s="42"/>
    </row>
    <row r="29" spans="1:10" s="41" customFormat="1" ht="30" hidden="1" customHeight="1">
      <c r="A29" s="15">
        <f t="shared" si="0"/>
        <v>20</v>
      </c>
      <c r="B29" s="18" t="s">
        <v>334</v>
      </c>
      <c r="C29" s="18" t="s">
        <v>333</v>
      </c>
      <c r="D29" s="18" t="s">
        <v>333</v>
      </c>
      <c r="E29" s="13" t="s">
        <v>18</v>
      </c>
      <c r="F29" s="13">
        <v>1</v>
      </c>
      <c r="G29" s="19"/>
      <c r="H29" s="11" t="s">
        <v>17</v>
      </c>
      <c r="I29" s="18" t="s">
        <v>34</v>
      </c>
      <c r="J29" s="42"/>
    </row>
    <row r="30" spans="1:10" s="47" customFormat="1" ht="30" hidden="1" customHeight="1">
      <c r="A30" s="51">
        <f t="shared" si="0"/>
        <v>21</v>
      </c>
      <c r="B30" s="53" t="s">
        <v>332</v>
      </c>
      <c r="C30" s="53" t="s">
        <v>331</v>
      </c>
      <c r="D30" s="53" t="s">
        <v>331</v>
      </c>
      <c r="E30" s="51" t="s">
        <v>18</v>
      </c>
      <c r="F30" s="51">
        <v>1</v>
      </c>
      <c r="G30" s="50"/>
      <c r="H30" s="50" t="s">
        <v>17</v>
      </c>
      <c r="I30" s="53" t="s">
        <v>34</v>
      </c>
      <c r="J30" s="48"/>
    </row>
    <row r="31" spans="1:10" s="47" customFormat="1" ht="30" hidden="1" customHeight="1">
      <c r="A31" s="51">
        <f t="shared" si="0"/>
        <v>22</v>
      </c>
      <c r="B31" s="53" t="s">
        <v>330</v>
      </c>
      <c r="C31" s="53" t="s">
        <v>329</v>
      </c>
      <c r="D31" s="53" t="s">
        <v>329</v>
      </c>
      <c r="E31" s="51" t="s">
        <v>18</v>
      </c>
      <c r="F31" s="51">
        <v>1</v>
      </c>
      <c r="G31" s="50"/>
      <c r="H31" s="50" t="s">
        <v>17</v>
      </c>
      <c r="I31" s="53" t="s">
        <v>34</v>
      </c>
      <c r="J31" s="48"/>
    </row>
    <row r="32" spans="1:10" s="47" customFormat="1" ht="30" hidden="1" customHeight="1">
      <c r="A32" s="51">
        <f t="shared" si="0"/>
        <v>23</v>
      </c>
      <c r="B32" s="53" t="s">
        <v>328</v>
      </c>
      <c r="C32" s="53" t="s">
        <v>327</v>
      </c>
      <c r="D32" s="53" t="s">
        <v>327</v>
      </c>
      <c r="E32" s="51" t="s">
        <v>18</v>
      </c>
      <c r="F32" s="51">
        <v>1</v>
      </c>
      <c r="G32" s="50"/>
      <c r="H32" s="50" t="s">
        <v>17</v>
      </c>
      <c r="I32" s="53" t="s">
        <v>34</v>
      </c>
      <c r="J32" s="48"/>
    </row>
    <row r="33" spans="1:10" s="47" customFormat="1" ht="30" hidden="1" customHeight="1">
      <c r="A33" s="51">
        <f t="shared" si="0"/>
        <v>24</v>
      </c>
      <c r="B33" s="53" t="s">
        <v>326</v>
      </c>
      <c r="C33" s="53" t="s">
        <v>325</v>
      </c>
      <c r="D33" s="53" t="s">
        <v>325</v>
      </c>
      <c r="E33" s="51" t="s">
        <v>18</v>
      </c>
      <c r="F33" s="51">
        <v>1</v>
      </c>
      <c r="G33" s="50"/>
      <c r="H33" s="50" t="s">
        <v>17</v>
      </c>
      <c r="I33" s="53" t="s">
        <v>34</v>
      </c>
      <c r="J33" s="48"/>
    </row>
    <row r="34" spans="1:10" s="47" customFormat="1" ht="30" hidden="1" customHeight="1">
      <c r="A34" s="51">
        <f t="shared" si="0"/>
        <v>25</v>
      </c>
      <c r="B34" s="53" t="s">
        <v>324</v>
      </c>
      <c r="C34" s="53" t="s">
        <v>323</v>
      </c>
      <c r="D34" s="53" t="s">
        <v>323</v>
      </c>
      <c r="E34" s="51" t="s">
        <v>18</v>
      </c>
      <c r="F34" s="51">
        <v>1</v>
      </c>
      <c r="G34" s="50"/>
      <c r="H34" s="50" t="s">
        <v>17</v>
      </c>
      <c r="I34" s="53" t="s">
        <v>34</v>
      </c>
      <c r="J34" s="54"/>
    </row>
    <row r="35" spans="1:10" s="47" customFormat="1" ht="30" hidden="1" customHeight="1">
      <c r="A35" s="51">
        <f t="shared" si="0"/>
        <v>26</v>
      </c>
      <c r="B35" s="53" t="s">
        <v>322</v>
      </c>
      <c r="C35" s="53" t="s">
        <v>321</v>
      </c>
      <c r="D35" s="53" t="s">
        <v>321</v>
      </c>
      <c r="E35" s="51" t="s">
        <v>18</v>
      </c>
      <c r="F35" s="51">
        <v>1</v>
      </c>
      <c r="G35" s="50"/>
      <c r="H35" s="50" t="s">
        <v>17</v>
      </c>
      <c r="I35" s="53" t="s">
        <v>34</v>
      </c>
      <c r="J35" s="48"/>
    </row>
    <row r="36" spans="1:10" s="47" customFormat="1" ht="30" hidden="1" customHeight="1">
      <c r="A36" s="51">
        <f t="shared" si="0"/>
        <v>27</v>
      </c>
      <c r="B36" s="53" t="s">
        <v>320</v>
      </c>
      <c r="C36" s="53" t="s">
        <v>319</v>
      </c>
      <c r="D36" s="53" t="s">
        <v>319</v>
      </c>
      <c r="E36" s="51" t="s">
        <v>18</v>
      </c>
      <c r="F36" s="51">
        <v>1</v>
      </c>
      <c r="G36" s="50"/>
      <c r="H36" s="50" t="s">
        <v>17</v>
      </c>
      <c r="I36" s="53" t="s">
        <v>34</v>
      </c>
      <c r="J36" s="48"/>
    </row>
    <row r="37" spans="1:10" s="47" customFormat="1" ht="30" hidden="1" customHeight="1">
      <c r="A37" s="51">
        <f t="shared" si="0"/>
        <v>28</v>
      </c>
      <c r="B37" s="53" t="s">
        <v>318</v>
      </c>
      <c r="C37" s="53" t="s">
        <v>317</v>
      </c>
      <c r="D37" s="53" t="s">
        <v>317</v>
      </c>
      <c r="E37" s="51" t="s">
        <v>18</v>
      </c>
      <c r="F37" s="51">
        <v>1</v>
      </c>
      <c r="G37" s="50"/>
      <c r="H37" s="50" t="s">
        <v>17</v>
      </c>
      <c r="I37" s="53" t="s">
        <v>34</v>
      </c>
      <c r="J37" s="48"/>
    </row>
    <row r="38" spans="1:10" s="41" customFormat="1" ht="30" hidden="1" customHeight="1">
      <c r="A38" s="15">
        <f t="shared" si="0"/>
        <v>29</v>
      </c>
      <c r="B38" s="18" t="s">
        <v>316</v>
      </c>
      <c r="C38" s="18" t="s">
        <v>315</v>
      </c>
      <c r="D38" s="18" t="s">
        <v>315</v>
      </c>
      <c r="E38" s="13" t="s">
        <v>18</v>
      </c>
      <c r="F38" s="13">
        <v>1</v>
      </c>
      <c r="G38" s="19"/>
      <c r="H38" s="11" t="s">
        <v>17</v>
      </c>
      <c r="I38" s="18" t="s">
        <v>34</v>
      </c>
      <c r="J38" s="42"/>
    </row>
    <row r="39" spans="1:10" s="41" customFormat="1" ht="30" hidden="1" customHeight="1">
      <c r="A39" s="15">
        <f t="shared" si="0"/>
        <v>30</v>
      </c>
      <c r="B39" s="18" t="s">
        <v>314</v>
      </c>
      <c r="C39" s="18" t="s">
        <v>313</v>
      </c>
      <c r="D39" s="18" t="s">
        <v>313</v>
      </c>
      <c r="E39" s="13" t="s">
        <v>18</v>
      </c>
      <c r="F39" s="13">
        <v>1</v>
      </c>
      <c r="G39" s="19"/>
      <c r="H39" s="11" t="s">
        <v>17</v>
      </c>
      <c r="I39" s="18" t="s">
        <v>34</v>
      </c>
      <c r="J39" s="42"/>
    </row>
    <row r="40" spans="1:10" s="47" customFormat="1" ht="30" hidden="1" customHeight="1">
      <c r="A40" s="51">
        <f t="shared" si="0"/>
        <v>31</v>
      </c>
      <c r="B40" s="53" t="s">
        <v>312</v>
      </c>
      <c r="C40" s="53" t="s">
        <v>311</v>
      </c>
      <c r="D40" s="53" t="s">
        <v>311</v>
      </c>
      <c r="E40" s="51" t="s">
        <v>18</v>
      </c>
      <c r="F40" s="51">
        <v>1</v>
      </c>
      <c r="G40" s="50"/>
      <c r="H40" s="50" t="s">
        <v>17</v>
      </c>
      <c r="I40" s="53" t="s">
        <v>34</v>
      </c>
      <c r="J40" s="48"/>
    </row>
    <row r="41" spans="1:10" s="47" customFormat="1" ht="30" hidden="1" customHeight="1">
      <c r="A41" s="51">
        <f t="shared" si="0"/>
        <v>32</v>
      </c>
      <c r="B41" s="53" t="s">
        <v>310</v>
      </c>
      <c r="C41" s="53" t="s">
        <v>309</v>
      </c>
      <c r="D41" s="53" t="s">
        <v>309</v>
      </c>
      <c r="E41" s="51" t="s">
        <v>18</v>
      </c>
      <c r="F41" s="51">
        <v>1</v>
      </c>
      <c r="G41" s="50"/>
      <c r="H41" s="50" t="s">
        <v>17</v>
      </c>
      <c r="I41" s="53" t="s">
        <v>34</v>
      </c>
      <c r="J41" s="48"/>
    </row>
    <row r="42" spans="1:10" s="47" customFormat="1" ht="30" hidden="1" customHeight="1">
      <c r="A42" s="51">
        <f t="shared" si="0"/>
        <v>33</v>
      </c>
      <c r="B42" s="53" t="s">
        <v>308</v>
      </c>
      <c r="C42" s="53" t="s">
        <v>307</v>
      </c>
      <c r="D42" s="53" t="s">
        <v>307</v>
      </c>
      <c r="E42" s="51" t="s">
        <v>18</v>
      </c>
      <c r="F42" s="51">
        <v>1</v>
      </c>
      <c r="G42" s="50"/>
      <c r="H42" s="50" t="s">
        <v>17</v>
      </c>
      <c r="I42" s="53" t="s">
        <v>34</v>
      </c>
      <c r="J42" s="48"/>
    </row>
    <row r="43" spans="1:10" s="37" customFormat="1" ht="30" hidden="1" customHeight="1">
      <c r="A43" s="26">
        <f t="shared" si="0"/>
        <v>34</v>
      </c>
      <c r="B43" s="40" t="s">
        <v>306</v>
      </c>
      <c r="C43" s="40" t="s">
        <v>303</v>
      </c>
      <c r="D43" s="40" t="s">
        <v>303</v>
      </c>
      <c r="E43" s="26" t="s">
        <v>18</v>
      </c>
      <c r="F43" s="26">
        <v>1</v>
      </c>
      <c r="G43" s="25"/>
      <c r="H43" s="25" t="s">
        <v>17</v>
      </c>
      <c r="I43" s="40" t="s">
        <v>34</v>
      </c>
      <c r="J43" s="45" t="s">
        <v>201</v>
      </c>
    </row>
    <row r="44" spans="1:10" s="37" customFormat="1" ht="30" hidden="1" customHeight="1">
      <c r="A44" s="26">
        <f t="shared" si="0"/>
        <v>35</v>
      </c>
      <c r="B44" s="40" t="s">
        <v>305</v>
      </c>
      <c r="C44" s="40" t="s">
        <v>303</v>
      </c>
      <c r="D44" s="40" t="s">
        <v>303</v>
      </c>
      <c r="E44" s="26" t="s">
        <v>18</v>
      </c>
      <c r="F44" s="26">
        <v>1</v>
      </c>
      <c r="G44" s="25"/>
      <c r="H44" s="25" t="s">
        <v>17</v>
      </c>
      <c r="I44" s="40" t="s">
        <v>34</v>
      </c>
      <c r="J44" s="45" t="s">
        <v>201</v>
      </c>
    </row>
    <row r="45" spans="1:10" s="37" customFormat="1" ht="30" hidden="1" customHeight="1">
      <c r="A45" s="26">
        <f t="shared" si="0"/>
        <v>36</v>
      </c>
      <c r="B45" s="40" t="s">
        <v>304</v>
      </c>
      <c r="C45" s="40" t="s">
        <v>303</v>
      </c>
      <c r="D45" s="40" t="s">
        <v>303</v>
      </c>
      <c r="E45" s="26" t="s">
        <v>18</v>
      </c>
      <c r="F45" s="26">
        <v>1</v>
      </c>
      <c r="G45" s="25"/>
      <c r="H45" s="25" t="s">
        <v>17</v>
      </c>
      <c r="I45" s="40" t="s">
        <v>34</v>
      </c>
      <c r="J45" s="45" t="s">
        <v>201</v>
      </c>
    </row>
    <row r="46" spans="1:10" s="37" customFormat="1" ht="30" hidden="1" customHeight="1">
      <c r="A46" s="26">
        <f t="shared" si="0"/>
        <v>37</v>
      </c>
      <c r="B46" s="40" t="s">
        <v>302</v>
      </c>
      <c r="C46" s="40" t="s">
        <v>301</v>
      </c>
      <c r="D46" s="40" t="s">
        <v>301</v>
      </c>
      <c r="E46" s="26" t="s">
        <v>18</v>
      </c>
      <c r="F46" s="26">
        <v>1</v>
      </c>
      <c r="G46" s="25"/>
      <c r="H46" s="25" t="s">
        <v>17</v>
      </c>
      <c r="I46" s="40" t="s">
        <v>34</v>
      </c>
      <c r="J46" s="45" t="s">
        <v>300</v>
      </c>
    </row>
    <row r="47" spans="1:10" s="41" customFormat="1" ht="30" hidden="1" customHeight="1">
      <c r="A47" s="15">
        <f t="shared" si="0"/>
        <v>38</v>
      </c>
      <c r="B47" s="18" t="s">
        <v>299</v>
      </c>
      <c r="C47" s="18" t="s">
        <v>298</v>
      </c>
      <c r="D47" s="21" t="s">
        <v>298</v>
      </c>
      <c r="E47" s="13" t="s">
        <v>18</v>
      </c>
      <c r="F47" s="13">
        <v>1</v>
      </c>
      <c r="G47" s="19"/>
      <c r="H47" s="11" t="s">
        <v>17</v>
      </c>
      <c r="I47" s="18" t="s">
        <v>34</v>
      </c>
      <c r="J47" s="42"/>
    </row>
    <row r="48" spans="1:10" s="41" customFormat="1" ht="30" hidden="1" customHeight="1">
      <c r="A48" s="15">
        <f t="shared" si="0"/>
        <v>39</v>
      </c>
      <c r="B48" s="18" t="s">
        <v>297</v>
      </c>
      <c r="C48" s="18" t="s">
        <v>296</v>
      </c>
      <c r="D48" s="18" t="s">
        <v>296</v>
      </c>
      <c r="E48" s="13" t="s">
        <v>18</v>
      </c>
      <c r="F48" s="13">
        <v>1</v>
      </c>
      <c r="G48" s="19"/>
      <c r="H48" s="11" t="s">
        <v>17</v>
      </c>
      <c r="I48" s="18" t="s">
        <v>34</v>
      </c>
      <c r="J48" s="42"/>
    </row>
    <row r="49" spans="1:10" s="41" customFormat="1" ht="30" hidden="1" customHeight="1">
      <c r="A49" s="15">
        <f t="shared" si="0"/>
        <v>40</v>
      </c>
      <c r="B49" s="16" t="s">
        <v>295</v>
      </c>
      <c r="C49" s="16" t="s">
        <v>294</v>
      </c>
      <c r="D49" s="16" t="s">
        <v>294</v>
      </c>
      <c r="E49" s="13" t="s">
        <v>18</v>
      </c>
      <c r="F49" s="13">
        <v>1</v>
      </c>
      <c r="G49" s="19"/>
      <c r="H49" s="11" t="s">
        <v>17</v>
      </c>
      <c r="I49" s="18" t="s">
        <v>34</v>
      </c>
      <c r="J49" s="42"/>
    </row>
    <row r="50" spans="1:10" s="41" customFormat="1" ht="30" hidden="1" customHeight="1">
      <c r="A50" s="15">
        <f t="shared" si="0"/>
        <v>41</v>
      </c>
      <c r="B50" s="16" t="s">
        <v>293</v>
      </c>
      <c r="C50" s="20" t="s">
        <v>292</v>
      </c>
      <c r="D50" s="20" t="s">
        <v>292</v>
      </c>
      <c r="E50" s="13" t="s">
        <v>18</v>
      </c>
      <c r="F50" s="13">
        <v>1</v>
      </c>
      <c r="G50" s="19"/>
      <c r="H50" s="11" t="s">
        <v>17</v>
      </c>
      <c r="I50" s="18" t="s">
        <v>34</v>
      </c>
      <c r="J50" s="42"/>
    </row>
    <row r="51" spans="1:10" s="37" customFormat="1" ht="30" hidden="1" customHeight="1">
      <c r="A51" s="26">
        <f t="shared" si="0"/>
        <v>42</v>
      </c>
      <c r="B51" s="24" t="s">
        <v>291</v>
      </c>
      <c r="C51" s="39" t="s">
        <v>290</v>
      </c>
      <c r="D51" s="39" t="s">
        <v>290</v>
      </c>
      <c r="E51" s="26" t="s">
        <v>18</v>
      </c>
      <c r="F51" s="26">
        <v>1</v>
      </c>
      <c r="G51" s="25"/>
      <c r="H51" s="25" t="s">
        <v>17</v>
      </c>
      <c r="I51" s="24" t="s">
        <v>269</v>
      </c>
      <c r="J51" s="45"/>
    </row>
    <row r="52" spans="1:10" s="41" customFormat="1" ht="30" hidden="1" customHeight="1">
      <c r="A52" s="15">
        <f t="shared" si="0"/>
        <v>43</v>
      </c>
      <c r="B52" s="16" t="s">
        <v>289</v>
      </c>
      <c r="C52" s="20" t="s">
        <v>288</v>
      </c>
      <c r="D52" s="20" t="s">
        <v>288</v>
      </c>
      <c r="E52" s="13" t="s">
        <v>18</v>
      </c>
      <c r="F52" s="13">
        <v>1</v>
      </c>
      <c r="G52" s="19"/>
      <c r="H52" s="11" t="s">
        <v>17</v>
      </c>
      <c r="I52" s="16" t="s">
        <v>88</v>
      </c>
      <c r="J52" s="42"/>
    </row>
    <row r="53" spans="1:10" s="41" customFormat="1" ht="30" hidden="1" customHeight="1">
      <c r="A53" s="15">
        <f t="shared" si="0"/>
        <v>44</v>
      </c>
      <c r="B53" s="16" t="s">
        <v>287</v>
      </c>
      <c r="C53" s="20" t="s">
        <v>286</v>
      </c>
      <c r="D53" s="20" t="s">
        <v>286</v>
      </c>
      <c r="E53" s="13" t="s">
        <v>18</v>
      </c>
      <c r="F53" s="13">
        <v>1</v>
      </c>
      <c r="G53" s="19"/>
      <c r="H53" s="11" t="s">
        <v>17</v>
      </c>
      <c r="I53" s="16" t="s">
        <v>80</v>
      </c>
      <c r="J53" s="42"/>
    </row>
    <row r="54" spans="1:10" s="41" customFormat="1" ht="30" hidden="1" customHeight="1">
      <c r="A54" s="15">
        <f t="shared" si="0"/>
        <v>45</v>
      </c>
      <c r="B54" s="16" t="s">
        <v>285</v>
      </c>
      <c r="C54" s="20" t="s">
        <v>284</v>
      </c>
      <c r="D54" s="20" t="s">
        <v>284</v>
      </c>
      <c r="E54" s="13" t="s">
        <v>18</v>
      </c>
      <c r="F54" s="13">
        <v>1</v>
      </c>
      <c r="G54" s="19"/>
      <c r="H54" s="11" t="s">
        <v>17</v>
      </c>
      <c r="I54" s="16" t="s">
        <v>272</v>
      </c>
      <c r="J54" s="42"/>
    </row>
    <row r="55" spans="1:10" s="41" customFormat="1" ht="30" hidden="1" customHeight="1">
      <c r="A55" s="15">
        <f t="shared" si="0"/>
        <v>46</v>
      </c>
      <c r="B55" s="16" t="s">
        <v>283</v>
      </c>
      <c r="C55" s="20" t="s">
        <v>282</v>
      </c>
      <c r="D55" s="20" t="s">
        <v>282</v>
      </c>
      <c r="E55" s="13" t="s">
        <v>18</v>
      </c>
      <c r="F55" s="13">
        <v>1</v>
      </c>
      <c r="G55" s="19"/>
      <c r="H55" s="11" t="s">
        <v>17</v>
      </c>
      <c r="I55" s="16" t="s">
        <v>272</v>
      </c>
      <c r="J55" s="44"/>
    </row>
    <row r="56" spans="1:10" s="41" customFormat="1" ht="30" hidden="1" customHeight="1">
      <c r="A56" s="15">
        <f t="shared" si="0"/>
        <v>47</v>
      </c>
      <c r="B56" s="16" t="s">
        <v>281</v>
      </c>
      <c r="C56" s="20" t="s">
        <v>278</v>
      </c>
      <c r="D56" s="20" t="s">
        <v>278</v>
      </c>
      <c r="E56" s="13" t="s">
        <v>18</v>
      </c>
      <c r="F56" s="13">
        <v>1</v>
      </c>
      <c r="G56" s="19"/>
      <c r="H56" s="11" t="s">
        <v>17</v>
      </c>
      <c r="I56" s="16" t="s">
        <v>272</v>
      </c>
      <c r="J56" s="42"/>
    </row>
    <row r="57" spans="1:10" s="41" customFormat="1" ht="30" hidden="1" customHeight="1">
      <c r="A57" s="15">
        <f t="shared" si="0"/>
        <v>48</v>
      </c>
      <c r="B57" s="16" t="s">
        <v>280</v>
      </c>
      <c r="C57" s="20" t="s">
        <v>278</v>
      </c>
      <c r="D57" s="20" t="s">
        <v>278</v>
      </c>
      <c r="E57" s="13" t="s">
        <v>18</v>
      </c>
      <c r="F57" s="13">
        <v>1</v>
      </c>
      <c r="G57" s="19"/>
      <c r="H57" s="11" t="s">
        <v>17</v>
      </c>
      <c r="I57" s="16" t="s">
        <v>272</v>
      </c>
      <c r="J57" s="42"/>
    </row>
    <row r="58" spans="1:10" s="41" customFormat="1" ht="30" hidden="1" customHeight="1">
      <c r="A58" s="15">
        <f t="shared" si="0"/>
        <v>49</v>
      </c>
      <c r="B58" s="16" t="s">
        <v>279</v>
      </c>
      <c r="C58" s="20" t="s">
        <v>278</v>
      </c>
      <c r="D58" s="20" t="s">
        <v>278</v>
      </c>
      <c r="E58" s="13" t="s">
        <v>18</v>
      </c>
      <c r="F58" s="13">
        <v>1</v>
      </c>
      <c r="G58" s="19"/>
      <c r="H58" s="11" t="s">
        <v>17</v>
      </c>
      <c r="I58" s="16" t="s">
        <v>272</v>
      </c>
      <c r="J58" s="42"/>
    </row>
    <row r="59" spans="1:10" s="41" customFormat="1" ht="30" hidden="1" customHeight="1">
      <c r="A59" s="15">
        <f t="shared" si="0"/>
        <v>50</v>
      </c>
      <c r="B59" s="16" t="s">
        <v>277</v>
      </c>
      <c r="C59" s="20" t="s">
        <v>276</v>
      </c>
      <c r="D59" s="20" t="s">
        <v>276</v>
      </c>
      <c r="E59" s="13" t="s">
        <v>18</v>
      </c>
      <c r="F59" s="13">
        <v>1</v>
      </c>
      <c r="G59" s="19"/>
      <c r="H59" s="11" t="s">
        <v>17</v>
      </c>
      <c r="I59" s="16" t="s">
        <v>272</v>
      </c>
      <c r="J59" s="42"/>
    </row>
    <row r="60" spans="1:10" s="41" customFormat="1" ht="30" hidden="1" customHeight="1">
      <c r="A60" s="15">
        <f t="shared" si="0"/>
        <v>51</v>
      </c>
      <c r="B60" s="16" t="s">
        <v>275</v>
      </c>
      <c r="C60" s="20" t="s">
        <v>273</v>
      </c>
      <c r="D60" s="20" t="s">
        <v>273</v>
      </c>
      <c r="E60" s="13" t="s">
        <v>18</v>
      </c>
      <c r="F60" s="13">
        <v>1</v>
      </c>
      <c r="G60" s="19"/>
      <c r="H60" s="11" t="s">
        <v>17</v>
      </c>
      <c r="I60" s="16" t="s">
        <v>272</v>
      </c>
      <c r="J60" s="42"/>
    </row>
    <row r="61" spans="1:10" s="41" customFormat="1" ht="30" hidden="1" customHeight="1">
      <c r="A61" s="15">
        <f t="shared" si="0"/>
        <v>52</v>
      </c>
      <c r="B61" s="16" t="s">
        <v>274</v>
      </c>
      <c r="C61" s="20" t="s">
        <v>273</v>
      </c>
      <c r="D61" s="20" t="s">
        <v>273</v>
      </c>
      <c r="E61" s="13" t="s">
        <v>18</v>
      </c>
      <c r="F61" s="13">
        <v>1</v>
      </c>
      <c r="G61" s="19"/>
      <c r="H61" s="11" t="s">
        <v>17</v>
      </c>
      <c r="I61" s="16" t="s">
        <v>272</v>
      </c>
      <c r="J61" s="42"/>
    </row>
    <row r="62" spans="1:10" s="47" customFormat="1" ht="30" hidden="1" customHeight="1">
      <c r="A62" s="51">
        <f t="shared" si="0"/>
        <v>53</v>
      </c>
      <c r="B62" s="49" t="s">
        <v>271</v>
      </c>
      <c r="C62" s="52" t="s">
        <v>270</v>
      </c>
      <c r="D62" s="52" t="s">
        <v>270</v>
      </c>
      <c r="E62" s="51" t="s">
        <v>18</v>
      </c>
      <c r="F62" s="51">
        <v>1</v>
      </c>
      <c r="G62" s="50"/>
      <c r="H62" s="50" t="s">
        <v>17</v>
      </c>
      <c r="I62" s="49" t="s">
        <v>269</v>
      </c>
      <c r="J62" s="48"/>
    </row>
    <row r="63" spans="1:10" s="41" customFormat="1" ht="30" hidden="1" customHeight="1">
      <c r="A63" s="15">
        <f t="shared" si="0"/>
        <v>54</v>
      </c>
      <c r="B63" s="18" t="s">
        <v>268</v>
      </c>
      <c r="C63" s="18" t="s">
        <v>267</v>
      </c>
      <c r="D63" s="46"/>
      <c r="E63" s="13" t="s">
        <v>18</v>
      </c>
      <c r="F63" s="13">
        <v>1</v>
      </c>
      <c r="G63" s="19"/>
      <c r="H63" s="11" t="s">
        <v>17</v>
      </c>
      <c r="I63" s="16" t="s">
        <v>34</v>
      </c>
      <c r="J63" s="42"/>
    </row>
    <row r="64" spans="1:10" s="41" customFormat="1" ht="30" hidden="1" customHeight="1">
      <c r="A64" s="15">
        <f t="shared" si="0"/>
        <v>55</v>
      </c>
      <c r="B64" s="21" t="s">
        <v>266</v>
      </c>
      <c r="C64" s="21" t="s">
        <v>265</v>
      </c>
      <c r="D64" s="18" t="s">
        <v>253</v>
      </c>
      <c r="E64" s="13" t="s">
        <v>18</v>
      </c>
      <c r="F64" s="13">
        <v>1</v>
      </c>
      <c r="G64" s="19"/>
      <c r="H64" s="11" t="s">
        <v>17</v>
      </c>
      <c r="I64" s="18" t="s">
        <v>114</v>
      </c>
      <c r="J64" s="42"/>
    </row>
    <row r="65" spans="1:10" s="41" customFormat="1" ht="30" hidden="1" customHeight="1">
      <c r="A65" s="15">
        <f t="shared" si="0"/>
        <v>56</v>
      </c>
      <c r="B65" s="21" t="s">
        <v>264</v>
      </c>
      <c r="C65" s="21" t="s">
        <v>261</v>
      </c>
      <c r="D65" s="18" t="s">
        <v>253</v>
      </c>
      <c r="E65" s="13" t="s">
        <v>18</v>
      </c>
      <c r="F65" s="13">
        <v>1</v>
      </c>
      <c r="G65" s="19"/>
      <c r="H65" s="11" t="s">
        <v>17</v>
      </c>
      <c r="I65" s="18" t="s">
        <v>114</v>
      </c>
      <c r="J65" s="42"/>
    </row>
    <row r="66" spans="1:10" s="41" customFormat="1" ht="30" hidden="1" customHeight="1">
      <c r="A66" s="15">
        <f t="shared" si="0"/>
        <v>57</v>
      </c>
      <c r="B66" s="21" t="s">
        <v>263</v>
      </c>
      <c r="C66" s="21" t="s">
        <v>261</v>
      </c>
      <c r="D66" s="18" t="s">
        <v>253</v>
      </c>
      <c r="E66" s="13" t="s">
        <v>18</v>
      </c>
      <c r="F66" s="13">
        <v>1</v>
      </c>
      <c r="G66" s="19"/>
      <c r="H66" s="11" t="s">
        <v>17</v>
      </c>
      <c r="I66" s="18" t="s">
        <v>114</v>
      </c>
      <c r="J66" s="42"/>
    </row>
    <row r="67" spans="1:10" s="41" customFormat="1" ht="30" hidden="1" customHeight="1">
      <c r="A67" s="15">
        <f t="shared" si="0"/>
        <v>58</v>
      </c>
      <c r="B67" s="21" t="s">
        <v>262</v>
      </c>
      <c r="C67" s="21" t="s">
        <v>261</v>
      </c>
      <c r="D67" s="18" t="s">
        <v>253</v>
      </c>
      <c r="E67" s="13" t="s">
        <v>18</v>
      </c>
      <c r="F67" s="13">
        <v>1</v>
      </c>
      <c r="G67" s="19"/>
      <c r="H67" s="11" t="s">
        <v>17</v>
      </c>
      <c r="I67" s="18" t="s">
        <v>114</v>
      </c>
      <c r="J67" s="42"/>
    </row>
    <row r="68" spans="1:10" s="41" customFormat="1" ht="30" hidden="1" customHeight="1">
      <c r="A68" s="15">
        <f t="shared" si="0"/>
        <v>59</v>
      </c>
      <c r="B68" s="21" t="s">
        <v>260</v>
      </c>
      <c r="C68" s="21" t="s">
        <v>259</v>
      </c>
      <c r="D68" s="18" t="s">
        <v>253</v>
      </c>
      <c r="E68" s="13" t="s">
        <v>18</v>
      </c>
      <c r="F68" s="13">
        <v>1</v>
      </c>
      <c r="G68" s="19"/>
      <c r="H68" s="11" t="s">
        <v>17</v>
      </c>
      <c r="I68" s="18" t="s">
        <v>114</v>
      </c>
      <c r="J68" s="42"/>
    </row>
    <row r="69" spans="1:10" s="41" customFormat="1" ht="30" hidden="1" customHeight="1">
      <c r="A69" s="15">
        <f t="shared" si="0"/>
        <v>60</v>
      </c>
      <c r="B69" s="21" t="s">
        <v>258</v>
      </c>
      <c r="C69" s="21" t="s">
        <v>257</v>
      </c>
      <c r="D69" s="18" t="s">
        <v>253</v>
      </c>
      <c r="E69" s="13" t="s">
        <v>18</v>
      </c>
      <c r="F69" s="13">
        <v>1</v>
      </c>
      <c r="G69" s="19"/>
      <c r="H69" s="11" t="s">
        <v>17</v>
      </c>
      <c r="I69" s="18" t="s">
        <v>114</v>
      </c>
      <c r="J69" s="42"/>
    </row>
    <row r="70" spans="1:10" s="41" customFormat="1" ht="30" hidden="1" customHeight="1">
      <c r="A70" s="15">
        <f t="shared" si="0"/>
        <v>61</v>
      </c>
      <c r="B70" s="21" t="s">
        <v>256</v>
      </c>
      <c r="C70" s="21" t="s">
        <v>254</v>
      </c>
      <c r="D70" s="18" t="s">
        <v>253</v>
      </c>
      <c r="E70" s="13" t="s">
        <v>18</v>
      </c>
      <c r="F70" s="13">
        <v>1</v>
      </c>
      <c r="G70" s="19"/>
      <c r="H70" s="11" t="s">
        <v>17</v>
      </c>
      <c r="I70" s="18" t="s">
        <v>114</v>
      </c>
      <c r="J70" s="42"/>
    </row>
    <row r="71" spans="1:10" s="41" customFormat="1" ht="30" hidden="1" customHeight="1">
      <c r="A71" s="15">
        <f t="shared" si="0"/>
        <v>62</v>
      </c>
      <c r="B71" s="21" t="s">
        <v>255</v>
      </c>
      <c r="C71" s="21" t="s">
        <v>254</v>
      </c>
      <c r="D71" s="18" t="s">
        <v>253</v>
      </c>
      <c r="E71" s="13" t="s">
        <v>18</v>
      </c>
      <c r="F71" s="13">
        <v>1</v>
      </c>
      <c r="G71" s="19"/>
      <c r="H71" s="11" t="s">
        <v>17</v>
      </c>
      <c r="I71" s="18" t="s">
        <v>114</v>
      </c>
      <c r="J71" s="42"/>
    </row>
    <row r="72" spans="1:10" s="37" customFormat="1" ht="30" hidden="1" customHeight="1">
      <c r="A72" s="26">
        <f t="shared" si="0"/>
        <v>63</v>
      </c>
      <c r="B72" s="39" t="s">
        <v>252</v>
      </c>
      <c r="C72" s="39" t="s">
        <v>251</v>
      </c>
      <c r="D72" s="24" t="s">
        <v>251</v>
      </c>
      <c r="E72" s="26" t="s">
        <v>18</v>
      </c>
      <c r="F72" s="26">
        <v>1</v>
      </c>
      <c r="G72" s="25"/>
      <c r="H72" s="25" t="s">
        <v>17</v>
      </c>
      <c r="I72" s="24" t="s">
        <v>114</v>
      </c>
      <c r="J72" s="45" t="s">
        <v>250</v>
      </c>
    </row>
    <row r="73" spans="1:10" s="41" customFormat="1" ht="30" hidden="1" customHeight="1">
      <c r="A73" s="15">
        <f t="shared" si="0"/>
        <v>64</v>
      </c>
      <c r="B73" s="20" t="s">
        <v>249</v>
      </c>
      <c r="C73" s="20" t="s">
        <v>248</v>
      </c>
      <c r="D73" s="16" t="s">
        <v>248</v>
      </c>
      <c r="E73" s="13" t="s">
        <v>18</v>
      </c>
      <c r="F73" s="13">
        <v>1</v>
      </c>
      <c r="G73" s="19"/>
      <c r="H73" s="11" t="s">
        <v>17</v>
      </c>
      <c r="I73" s="16" t="s">
        <v>114</v>
      </c>
      <c r="J73" s="42"/>
    </row>
    <row r="74" spans="1:10" s="41" customFormat="1" ht="30" hidden="1" customHeight="1">
      <c r="A74" s="15">
        <f t="shared" si="0"/>
        <v>65</v>
      </c>
      <c r="B74" s="20" t="s">
        <v>247</v>
      </c>
      <c r="C74" s="20" t="s">
        <v>246</v>
      </c>
      <c r="D74" s="16" t="s">
        <v>246</v>
      </c>
      <c r="E74" s="13" t="s">
        <v>18</v>
      </c>
      <c r="F74" s="13">
        <v>1</v>
      </c>
      <c r="G74" s="19"/>
      <c r="H74" s="11" t="s">
        <v>17</v>
      </c>
      <c r="I74" s="16" t="s">
        <v>114</v>
      </c>
      <c r="J74" s="42" t="s">
        <v>80</v>
      </c>
    </row>
    <row r="75" spans="1:10" s="41" customFormat="1" ht="30" hidden="1" customHeight="1">
      <c r="A75" s="15">
        <f t="shared" ref="A75:A106" si="1">A74+1</f>
        <v>66</v>
      </c>
      <c r="B75" s="20" t="s">
        <v>245</v>
      </c>
      <c r="C75" s="20" t="s">
        <v>244</v>
      </c>
      <c r="D75" s="20" t="s">
        <v>244</v>
      </c>
      <c r="E75" s="13" t="s">
        <v>18</v>
      </c>
      <c r="F75" s="13">
        <v>1</v>
      </c>
      <c r="G75" s="19"/>
      <c r="H75" s="11" t="s">
        <v>17</v>
      </c>
      <c r="I75" s="16" t="s">
        <v>114</v>
      </c>
      <c r="J75" s="42" t="s">
        <v>80</v>
      </c>
    </row>
    <row r="76" spans="1:10" s="41" customFormat="1" ht="30" hidden="1" customHeight="1">
      <c r="A76" s="15">
        <f t="shared" si="1"/>
        <v>67</v>
      </c>
      <c r="B76" s="20" t="s">
        <v>243</v>
      </c>
      <c r="C76" s="20" t="s">
        <v>242</v>
      </c>
      <c r="D76" s="20" t="s">
        <v>242</v>
      </c>
      <c r="E76" s="13" t="s">
        <v>18</v>
      </c>
      <c r="F76" s="13">
        <v>1</v>
      </c>
      <c r="G76" s="19"/>
      <c r="H76" s="11" t="s">
        <v>17</v>
      </c>
      <c r="I76" s="16" t="s">
        <v>114</v>
      </c>
      <c r="J76" s="44"/>
    </row>
    <row r="77" spans="1:10" s="41" customFormat="1" ht="30" hidden="1" customHeight="1">
      <c r="A77" s="15">
        <f t="shared" si="1"/>
        <v>68</v>
      </c>
      <c r="B77" s="20" t="s">
        <v>241</v>
      </c>
      <c r="C77" s="20" t="s">
        <v>240</v>
      </c>
      <c r="D77" s="20" t="s">
        <v>240</v>
      </c>
      <c r="E77" s="13" t="s">
        <v>18</v>
      </c>
      <c r="F77" s="13">
        <v>1</v>
      </c>
      <c r="G77" s="19"/>
      <c r="H77" s="11" t="s">
        <v>17</v>
      </c>
      <c r="I77" s="16" t="s">
        <v>114</v>
      </c>
      <c r="J77" s="42" t="s">
        <v>80</v>
      </c>
    </row>
    <row r="78" spans="1:10" s="41" customFormat="1" ht="30" hidden="1" customHeight="1">
      <c r="A78" s="15">
        <f t="shared" si="1"/>
        <v>69</v>
      </c>
      <c r="B78" s="20" t="s">
        <v>239</v>
      </c>
      <c r="C78" s="20" t="s">
        <v>238</v>
      </c>
      <c r="D78" s="20" t="s">
        <v>238</v>
      </c>
      <c r="E78" s="13" t="s">
        <v>18</v>
      </c>
      <c r="F78" s="13">
        <v>1</v>
      </c>
      <c r="G78" s="19"/>
      <c r="H78" s="11" t="s">
        <v>17</v>
      </c>
      <c r="I78" s="16" t="s">
        <v>114</v>
      </c>
      <c r="J78" s="42" t="s">
        <v>80</v>
      </c>
    </row>
    <row r="79" spans="1:10" s="41" customFormat="1" ht="30" hidden="1" customHeight="1">
      <c r="A79" s="15">
        <f t="shared" si="1"/>
        <v>70</v>
      </c>
      <c r="B79" s="20" t="s">
        <v>237</v>
      </c>
      <c r="C79" s="20" t="s">
        <v>236</v>
      </c>
      <c r="D79" s="20" t="s">
        <v>236</v>
      </c>
      <c r="E79" s="13" t="s">
        <v>18</v>
      </c>
      <c r="F79" s="13">
        <v>1</v>
      </c>
      <c r="G79" s="19"/>
      <c r="H79" s="11" t="s">
        <v>17</v>
      </c>
      <c r="I79" s="16" t="s">
        <v>114</v>
      </c>
      <c r="J79" s="42" t="s">
        <v>233</v>
      </c>
    </row>
    <row r="80" spans="1:10" s="41" customFormat="1" ht="30" hidden="1" customHeight="1">
      <c r="A80" s="15">
        <f t="shared" si="1"/>
        <v>71</v>
      </c>
      <c r="B80" s="20" t="s">
        <v>235</v>
      </c>
      <c r="C80" s="20" t="s">
        <v>234</v>
      </c>
      <c r="D80" s="20" t="s">
        <v>234</v>
      </c>
      <c r="E80" s="13" t="s">
        <v>18</v>
      </c>
      <c r="F80" s="13">
        <v>1</v>
      </c>
      <c r="G80" s="19"/>
      <c r="H80" s="11" t="s">
        <v>17</v>
      </c>
      <c r="I80" s="16" t="s">
        <v>114</v>
      </c>
      <c r="J80" s="42" t="s">
        <v>233</v>
      </c>
    </row>
    <row r="81" spans="1:10" s="41" customFormat="1" ht="30" hidden="1" customHeight="1">
      <c r="A81" s="15">
        <f t="shared" si="1"/>
        <v>72</v>
      </c>
      <c r="B81" s="20" t="s">
        <v>232</v>
      </c>
      <c r="C81" s="20" t="s">
        <v>231</v>
      </c>
      <c r="D81" s="20" t="s">
        <v>231</v>
      </c>
      <c r="E81" s="13" t="s">
        <v>18</v>
      </c>
      <c r="F81" s="13">
        <v>1</v>
      </c>
      <c r="G81" s="19"/>
      <c r="H81" s="11" t="s">
        <v>17</v>
      </c>
      <c r="I81" s="16" t="s">
        <v>114</v>
      </c>
      <c r="J81" s="42" t="s">
        <v>230</v>
      </c>
    </row>
    <row r="82" spans="1:10" s="37" customFormat="1" ht="30" hidden="1" customHeight="1">
      <c r="A82" s="26">
        <f t="shared" si="1"/>
        <v>73</v>
      </c>
      <c r="B82" s="40" t="s">
        <v>229</v>
      </c>
      <c r="C82" s="40" t="s">
        <v>227</v>
      </c>
      <c r="D82" s="40" t="s">
        <v>227</v>
      </c>
      <c r="E82" s="26" t="s">
        <v>18</v>
      </c>
      <c r="F82" s="26">
        <v>1</v>
      </c>
      <c r="G82" s="25"/>
      <c r="H82" s="25" t="s">
        <v>17</v>
      </c>
      <c r="I82" s="24" t="s">
        <v>222</v>
      </c>
      <c r="J82" s="45" t="s">
        <v>201</v>
      </c>
    </row>
    <row r="83" spans="1:10" s="37" customFormat="1" ht="30" hidden="1" customHeight="1">
      <c r="A83" s="26">
        <f t="shared" si="1"/>
        <v>74</v>
      </c>
      <c r="B83" s="40" t="s">
        <v>228</v>
      </c>
      <c r="C83" s="40" t="s">
        <v>227</v>
      </c>
      <c r="D83" s="40" t="s">
        <v>227</v>
      </c>
      <c r="E83" s="26" t="s">
        <v>18</v>
      </c>
      <c r="F83" s="26">
        <v>1</v>
      </c>
      <c r="G83" s="25"/>
      <c r="H83" s="25" t="s">
        <v>17</v>
      </c>
      <c r="I83" s="24" t="s">
        <v>222</v>
      </c>
      <c r="J83" s="45" t="s">
        <v>201</v>
      </c>
    </row>
    <row r="84" spans="1:10" s="41" customFormat="1" ht="30" hidden="1" customHeight="1">
      <c r="A84" s="15">
        <f t="shared" si="1"/>
        <v>75</v>
      </c>
      <c r="B84" s="18" t="s">
        <v>226</v>
      </c>
      <c r="C84" s="18" t="s">
        <v>46</v>
      </c>
      <c r="D84" s="18" t="s">
        <v>46</v>
      </c>
      <c r="E84" s="13" t="s">
        <v>169</v>
      </c>
      <c r="F84" s="13">
        <v>1</v>
      </c>
      <c r="G84" s="19"/>
      <c r="H84" s="11" t="s">
        <v>17</v>
      </c>
      <c r="I84" s="18" t="s">
        <v>34</v>
      </c>
      <c r="J84" s="42"/>
    </row>
    <row r="85" spans="1:10" s="41" customFormat="1" ht="30" hidden="1" customHeight="1">
      <c r="A85" s="15">
        <f t="shared" si="1"/>
        <v>76</v>
      </c>
      <c r="B85" s="18" t="s">
        <v>225</v>
      </c>
      <c r="C85" s="18" t="s">
        <v>46</v>
      </c>
      <c r="D85" s="18" t="s">
        <v>46</v>
      </c>
      <c r="E85" s="13" t="s">
        <v>169</v>
      </c>
      <c r="F85" s="13">
        <v>1</v>
      </c>
      <c r="G85" s="19"/>
      <c r="H85" s="11" t="s">
        <v>17</v>
      </c>
      <c r="I85" s="18" t="s">
        <v>34</v>
      </c>
      <c r="J85" s="42"/>
    </row>
    <row r="86" spans="1:10" s="41" customFormat="1" ht="30" hidden="1" customHeight="1">
      <c r="A86" s="15">
        <f t="shared" si="1"/>
        <v>77</v>
      </c>
      <c r="B86" s="16" t="s">
        <v>224</v>
      </c>
      <c r="C86" s="20" t="s">
        <v>46</v>
      </c>
      <c r="D86" s="20" t="s">
        <v>46</v>
      </c>
      <c r="E86" s="13" t="s">
        <v>169</v>
      </c>
      <c r="F86" s="13">
        <v>1</v>
      </c>
      <c r="G86" s="19"/>
      <c r="H86" s="11" t="s">
        <v>17</v>
      </c>
      <c r="I86" s="16" t="s">
        <v>222</v>
      </c>
      <c r="J86" s="44"/>
    </row>
    <row r="87" spans="1:10" s="41" customFormat="1" ht="30" hidden="1" customHeight="1">
      <c r="A87" s="15">
        <f t="shared" si="1"/>
        <v>78</v>
      </c>
      <c r="B87" s="16" t="s">
        <v>223</v>
      </c>
      <c r="C87" s="20" t="s">
        <v>46</v>
      </c>
      <c r="D87" s="20" t="s">
        <v>46</v>
      </c>
      <c r="E87" s="13" t="s">
        <v>169</v>
      </c>
      <c r="F87" s="13">
        <v>1</v>
      </c>
      <c r="G87" s="19"/>
      <c r="H87" s="11" t="s">
        <v>17</v>
      </c>
      <c r="I87" s="16" t="s">
        <v>222</v>
      </c>
      <c r="J87" s="42"/>
    </row>
    <row r="88" spans="1:10" s="41" customFormat="1" ht="30" hidden="1" customHeight="1">
      <c r="A88" s="15">
        <f t="shared" si="1"/>
        <v>79</v>
      </c>
      <c r="B88" s="16" t="s">
        <v>221</v>
      </c>
      <c r="C88" s="20" t="s">
        <v>218</v>
      </c>
      <c r="D88" s="20" t="s">
        <v>218</v>
      </c>
      <c r="E88" s="13" t="s">
        <v>18</v>
      </c>
      <c r="F88" s="13">
        <v>1</v>
      </c>
      <c r="G88" s="19"/>
      <c r="H88" s="11" t="s">
        <v>17</v>
      </c>
      <c r="I88" s="16" t="s">
        <v>220</v>
      </c>
      <c r="J88" s="42"/>
    </row>
    <row r="89" spans="1:10" s="41" customFormat="1" ht="30" hidden="1" customHeight="1">
      <c r="A89" s="15">
        <f t="shared" si="1"/>
        <v>80</v>
      </c>
      <c r="B89" s="16" t="s">
        <v>219</v>
      </c>
      <c r="C89" s="20" t="s">
        <v>218</v>
      </c>
      <c r="D89" s="20" t="s">
        <v>218</v>
      </c>
      <c r="E89" s="13" t="s">
        <v>18</v>
      </c>
      <c r="F89" s="13">
        <v>1</v>
      </c>
      <c r="G89" s="43"/>
      <c r="H89" s="11" t="s">
        <v>17</v>
      </c>
      <c r="I89" s="16" t="s">
        <v>217</v>
      </c>
      <c r="J89" s="42"/>
    </row>
    <row r="90" spans="1:10" s="41" customFormat="1" ht="30" hidden="1" customHeight="1">
      <c r="A90" s="15">
        <f t="shared" si="1"/>
        <v>81</v>
      </c>
      <c r="B90" s="18" t="s">
        <v>216</v>
      </c>
      <c r="C90" s="18" t="s">
        <v>215</v>
      </c>
      <c r="D90" s="21" t="s">
        <v>214</v>
      </c>
      <c r="E90" s="13" t="s">
        <v>18</v>
      </c>
      <c r="F90" s="13">
        <v>1</v>
      </c>
      <c r="G90" s="19"/>
      <c r="H90" s="11" t="s">
        <v>17</v>
      </c>
      <c r="I90" s="18" t="s">
        <v>213</v>
      </c>
      <c r="J90" s="42"/>
    </row>
    <row r="91" spans="1:10" s="41" customFormat="1" ht="30" hidden="1" customHeight="1">
      <c r="A91" s="15">
        <f t="shared" si="1"/>
        <v>82</v>
      </c>
      <c r="B91" s="16" t="s">
        <v>212</v>
      </c>
      <c r="C91" s="16" t="s">
        <v>154</v>
      </c>
      <c r="D91" s="16" t="s">
        <v>154</v>
      </c>
      <c r="E91" s="13" t="s">
        <v>18</v>
      </c>
      <c r="F91" s="13">
        <v>1</v>
      </c>
      <c r="G91" s="19"/>
      <c r="H91" s="11" t="s">
        <v>17</v>
      </c>
      <c r="I91" s="18" t="s">
        <v>34</v>
      </c>
      <c r="J91" s="42"/>
    </row>
    <row r="92" spans="1:10" s="41" customFormat="1" ht="30" hidden="1" customHeight="1">
      <c r="A92" s="15">
        <f t="shared" si="1"/>
        <v>83</v>
      </c>
      <c r="B92" s="16" t="s">
        <v>211</v>
      </c>
      <c r="C92" s="16" t="s">
        <v>154</v>
      </c>
      <c r="D92" s="16" t="s">
        <v>154</v>
      </c>
      <c r="E92" s="13" t="s">
        <v>18</v>
      </c>
      <c r="F92" s="13">
        <v>1</v>
      </c>
      <c r="G92" s="19"/>
      <c r="H92" s="11" t="s">
        <v>17</v>
      </c>
      <c r="I92" s="18" t="s">
        <v>34</v>
      </c>
      <c r="J92" s="42"/>
    </row>
    <row r="93" spans="1:10" s="41" customFormat="1" ht="30" hidden="1" customHeight="1">
      <c r="A93" s="15">
        <f t="shared" si="1"/>
        <v>84</v>
      </c>
      <c r="B93" s="16" t="s">
        <v>210</v>
      </c>
      <c r="C93" s="16" t="s">
        <v>154</v>
      </c>
      <c r="D93" s="16" t="s">
        <v>154</v>
      </c>
      <c r="E93" s="13" t="s">
        <v>18</v>
      </c>
      <c r="F93" s="13">
        <v>1</v>
      </c>
      <c r="G93" s="19"/>
      <c r="H93" s="11" t="s">
        <v>17</v>
      </c>
      <c r="I93" s="18" t="s">
        <v>34</v>
      </c>
      <c r="J93" s="42"/>
    </row>
    <row r="94" spans="1:10" s="37" customFormat="1" ht="30" hidden="1" customHeight="1">
      <c r="A94" s="26">
        <f t="shared" si="1"/>
        <v>85</v>
      </c>
      <c r="B94" s="24" t="s">
        <v>209</v>
      </c>
      <c r="C94" s="39" t="s">
        <v>208</v>
      </c>
      <c r="D94" s="39" t="s">
        <v>208</v>
      </c>
      <c r="E94" s="26" t="s">
        <v>181</v>
      </c>
      <c r="F94" s="26">
        <v>3</v>
      </c>
      <c r="G94" s="22"/>
      <c r="H94" s="25" t="s">
        <v>17</v>
      </c>
      <c r="I94" s="40" t="s">
        <v>34</v>
      </c>
      <c r="J94" s="38" t="s">
        <v>201</v>
      </c>
    </row>
    <row r="95" spans="1:10" ht="30" hidden="1" customHeight="1">
      <c r="A95" s="15">
        <f t="shared" si="1"/>
        <v>86</v>
      </c>
      <c r="B95" s="16" t="s">
        <v>207</v>
      </c>
      <c r="C95" s="20" t="s">
        <v>205</v>
      </c>
      <c r="D95" s="20" t="s">
        <v>205</v>
      </c>
      <c r="E95" s="13" t="s">
        <v>18</v>
      </c>
      <c r="F95" s="13">
        <v>1</v>
      </c>
      <c r="G95" s="36"/>
      <c r="H95" s="11" t="s">
        <v>17</v>
      </c>
      <c r="I95" s="16" t="s">
        <v>117</v>
      </c>
      <c r="J95" s="35"/>
    </row>
    <row r="96" spans="1:10" ht="30" hidden="1" customHeight="1">
      <c r="A96" s="15">
        <f t="shared" si="1"/>
        <v>87</v>
      </c>
      <c r="B96" s="16" t="s">
        <v>206</v>
      </c>
      <c r="C96" s="20" t="s">
        <v>205</v>
      </c>
      <c r="D96" s="20" t="s">
        <v>205</v>
      </c>
      <c r="E96" s="13" t="s">
        <v>18</v>
      </c>
      <c r="F96" s="13">
        <v>1</v>
      </c>
      <c r="G96" s="36"/>
      <c r="H96" s="11" t="s">
        <v>17</v>
      </c>
      <c r="I96" s="16" t="s">
        <v>117</v>
      </c>
      <c r="J96" s="35"/>
    </row>
    <row r="97" spans="1:10" ht="30" hidden="1" customHeight="1">
      <c r="A97" s="15">
        <f t="shared" si="1"/>
        <v>88</v>
      </c>
      <c r="B97" s="16" t="s">
        <v>204</v>
      </c>
      <c r="C97" s="20" t="s">
        <v>93</v>
      </c>
      <c r="D97" s="20" t="s">
        <v>93</v>
      </c>
      <c r="E97" s="13" t="s">
        <v>18</v>
      </c>
      <c r="F97" s="13">
        <v>1</v>
      </c>
      <c r="G97" s="36"/>
      <c r="H97" s="11" t="s">
        <v>17</v>
      </c>
      <c r="I97" s="18" t="s">
        <v>34</v>
      </c>
      <c r="J97" s="35"/>
    </row>
    <row r="98" spans="1:10" s="37" customFormat="1" ht="30" hidden="1" customHeight="1">
      <c r="A98" s="26">
        <f t="shared" si="1"/>
        <v>89</v>
      </c>
      <c r="B98" s="24" t="s">
        <v>203</v>
      </c>
      <c r="C98" s="39" t="s">
        <v>202</v>
      </c>
      <c r="D98" s="39" t="s">
        <v>202</v>
      </c>
      <c r="E98" s="26" t="s">
        <v>18</v>
      </c>
      <c r="F98" s="26">
        <v>5</v>
      </c>
      <c r="G98" s="22"/>
      <c r="H98" s="25" t="s">
        <v>17</v>
      </c>
      <c r="I98" s="24" t="s">
        <v>117</v>
      </c>
      <c r="J98" s="38" t="s">
        <v>201</v>
      </c>
    </row>
    <row r="99" spans="1:10" ht="30" hidden="1" customHeight="1">
      <c r="A99" s="15">
        <f t="shared" si="1"/>
        <v>90</v>
      </c>
      <c r="B99" s="16" t="s">
        <v>200</v>
      </c>
      <c r="C99" s="20" t="s">
        <v>199</v>
      </c>
      <c r="D99" s="20" t="s">
        <v>199</v>
      </c>
      <c r="E99" s="13" t="s">
        <v>18</v>
      </c>
      <c r="F99" s="13">
        <v>1</v>
      </c>
      <c r="G99" s="36"/>
      <c r="H99" s="11" t="s">
        <v>17</v>
      </c>
      <c r="I99" s="18" t="s">
        <v>34</v>
      </c>
      <c r="J99" s="35"/>
    </row>
    <row r="100" spans="1:10" ht="30" hidden="1" customHeight="1">
      <c r="A100" s="15">
        <f t="shared" si="1"/>
        <v>91</v>
      </c>
      <c r="B100" s="16" t="s">
        <v>198</v>
      </c>
      <c r="C100" s="20" t="s">
        <v>197</v>
      </c>
      <c r="D100" s="20" t="s">
        <v>197</v>
      </c>
      <c r="E100" s="13" t="s">
        <v>18</v>
      </c>
      <c r="F100" s="13">
        <v>1</v>
      </c>
      <c r="G100" s="36"/>
      <c r="H100" s="11" t="s">
        <v>17</v>
      </c>
      <c r="I100" s="18" t="s">
        <v>34</v>
      </c>
      <c r="J100" s="35"/>
    </row>
    <row r="101" spans="1:10" ht="30" hidden="1" customHeight="1">
      <c r="A101" s="15">
        <f t="shared" si="1"/>
        <v>92</v>
      </c>
      <c r="B101" s="16" t="s">
        <v>196</v>
      </c>
      <c r="C101" s="20" t="s">
        <v>195</v>
      </c>
      <c r="D101" s="20" t="s">
        <v>195</v>
      </c>
      <c r="E101" s="13" t="s">
        <v>18</v>
      </c>
      <c r="F101" s="13">
        <v>1</v>
      </c>
      <c r="G101" s="36"/>
      <c r="H101" s="11" t="s">
        <v>17</v>
      </c>
      <c r="I101" s="18" t="s">
        <v>34</v>
      </c>
      <c r="J101" s="35"/>
    </row>
    <row r="102" spans="1:10" ht="30" hidden="1" customHeight="1">
      <c r="A102" s="15">
        <f t="shared" si="1"/>
        <v>93</v>
      </c>
      <c r="B102" s="16" t="s">
        <v>194</v>
      </c>
      <c r="C102" s="20" t="s">
        <v>192</v>
      </c>
      <c r="D102" s="20" t="s">
        <v>192</v>
      </c>
      <c r="E102" s="13" t="s">
        <v>18</v>
      </c>
      <c r="F102" s="13">
        <v>1</v>
      </c>
      <c r="G102" s="36"/>
      <c r="H102" s="11" t="s">
        <v>17</v>
      </c>
      <c r="I102" s="18" t="s">
        <v>34</v>
      </c>
      <c r="J102" s="35"/>
    </row>
    <row r="103" spans="1:10" ht="30" hidden="1" customHeight="1">
      <c r="A103" s="15">
        <f t="shared" si="1"/>
        <v>94</v>
      </c>
      <c r="B103" s="34" t="s">
        <v>193</v>
      </c>
      <c r="C103" s="20" t="s">
        <v>192</v>
      </c>
      <c r="D103" s="20" t="s">
        <v>192</v>
      </c>
      <c r="E103" s="13" t="s">
        <v>18</v>
      </c>
      <c r="F103" s="13">
        <v>1</v>
      </c>
      <c r="G103" s="32"/>
      <c r="H103" s="11" t="s">
        <v>17</v>
      </c>
      <c r="I103" s="18" t="s">
        <v>34</v>
      </c>
      <c r="J103" s="30" t="s">
        <v>191</v>
      </c>
    </row>
    <row r="104" spans="1:10" ht="30" hidden="1" customHeight="1">
      <c r="A104" s="15">
        <f t="shared" si="1"/>
        <v>95</v>
      </c>
      <c r="B104" s="34" t="s">
        <v>190</v>
      </c>
      <c r="C104" s="33" t="s">
        <v>187</v>
      </c>
      <c r="D104" s="33" t="s">
        <v>186</v>
      </c>
      <c r="E104" s="13" t="s">
        <v>76</v>
      </c>
      <c r="F104" s="13">
        <v>1</v>
      </c>
      <c r="G104" s="32"/>
      <c r="H104" s="31" t="s">
        <v>17</v>
      </c>
      <c r="I104" s="18" t="s">
        <v>34</v>
      </c>
      <c r="J104" s="30"/>
    </row>
    <row r="105" spans="1:10" ht="30" hidden="1" customHeight="1">
      <c r="A105" s="15">
        <f t="shared" si="1"/>
        <v>96</v>
      </c>
      <c r="B105" s="34" t="s">
        <v>189</v>
      </c>
      <c r="C105" s="33" t="s">
        <v>187</v>
      </c>
      <c r="D105" s="33" t="s">
        <v>186</v>
      </c>
      <c r="E105" s="13" t="s">
        <v>76</v>
      </c>
      <c r="F105" s="13">
        <v>1</v>
      </c>
      <c r="G105" s="32"/>
      <c r="H105" s="11" t="s">
        <v>17</v>
      </c>
      <c r="I105" s="18" t="s">
        <v>34</v>
      </c>
      <c r="J105" s="30"/>
    </row>
    <row r="106" spans="1:10" ht="30" hidden="1" customHeight="1">
      <c r="A106" s="15">
        <f t="shared" si="1"/>
        <v>97</v>
      </c>
      <c r="B106" s="34" t="s">
        <v>188</v>
      </c>
      <c r="C106" s="33" t="s">
        <v>187</v>
      </c>
      <c r="D106" s="33" t="s">
        <v>186</v>
      </c>
      <c r="E106" s="13" t="s">
        <v>76</v>
      </c>
      <c r="F106" s="13">
        <v>1</v>
      </c>
      <c r="G106" s="32"/>
      <c r="H106" s="31" t="s">
        <v>17</v>
      </c>
      <c r="I106" s="18" t="s">
        <v>34</v>
      </c>
      <c r="J106" s="30"/>
    </row>
    <row r="107" spans="1:10" s="9" customFormat="1" ht="30" hidden="1" customHeight="1">
      <c r="A107" s="17">
        <f>A104+1</f>
        <v>96</v>
      </c>
      <c r="B107" s="16" t="s">
        <v>185</v>
      </c>
      <c r="C107" s="20" t="s">
        <v>184</v>
      </c>
      <c r="D107" s="20" t="s">
        <v>184</v>
      </c>
      <c r="E107" s="13" t="s">
        <v>18</v>
      </c>
      <c r="F107" s="13">
        <v>2</v>
      </c>
      <c r="H107" s="11" t="s">
        <v>17</v>
      </c>
      <c r="I107" s="18" t="s">
        <v>34</v>
      </c>
      <c r="J107" s="10"/>
    </row>
    <row r="108" spans="1:10" s="9" customFormat="1" ht="30" hidden="1" customHeight="1">
      <c r="A108" s="17">
        <f t="shared" ref="A108:A143" si="2">A107+1</f>
        <v>97</v>
      </c>
      <c r="B108" s="16" t="s">
        <v>183</v>
      </c>
      <c r="C108" s="20" t="s">
        <v>182</v>
      </c>
      <c r="D108" s="20" t="s">
        <v>182</v>
      </c>
      <c r="E108" s="13" t="s">
        <v>181</v>
      </c>
      <c r="F108" s="13">
        <v>1</v>
      </c>
      <c r="H108" s="11" t="s">
        <v>17</v>
      </c>
      <c r="I108" s="18" t="s">
        <v>34</v>
      </c>
      <c r="J108" s="10" t="s">
        <v>176</v>
      </c>
    </row>
    <row r="109" spans="1:10" s="9" customFormat="1" ht="30" hidden="1" customHeight="1">
      <c r="A109" s="17">
        <f t="shared" si="2"/>
        <v>98</v>
      </c>
      <c r="B109" s="16" t="s">
        <v>180</v>
      </c>
      <c r="C109" s="16" t="s">
        <v>179</v>
      </c>
      <c r="D109" s="16" t="s">
        <v>179</v>
      </c>
      <c r="E109" s="13" t="s">
        <v>18</v>
      </c>
      <c r="F109" s="13">
        <v>1</v>
      </c>
      <c r="H109" s="11" t="s">
        <v>17</v>
      </c>
      <c r="I109" s="18" t="s">
        <v>34</v>
      </c>
      <c r="J109" s="10" t="s">
        <v>176</v>
      </c>
    </row>
    <row r="110" spans="1:10" s="9" customFormat="1" ht="30" hidden="1" customHeight="1">
      <c r="A110" s="17">
        <f t="shared" si="2"/>
        <v>99</v>
      </c>
      <c r="B110" s="29" t="s">
        <v>178</v>
      </c>
      <c r="C110" s="29" t="s">
        <v>177</v>
      </c>
      <c r="D110" s="29"/>
      <c r="E110" s="13" t="s">
        <v>18</v>
      </c>
      <c r="F110" s="13">
        <v>1</v>
      </c>
      <c r="H110" s="11" t="s">
        <v>17</v>
      </c>
      <c r="I110" s="18" t="s">
        <v>34</v>
      </c>
      <c r="J110" s="10" t="s">
        <v>176</v>
      </c>
    </row>
    <row r="111" spans="1:10" s="9" customFormat="1" ht="30" hidden="1" customHeight="1">
      <c r="A111" s="17">
        <f t="shared" si="2"/>
        <v>100</v>
      </c>
      <c r="B111" s="18" t="s">
        <v>175</v>
      </c>
      <c r="C111" s="18" t="s">
        <v>174</v>
      </c>
      <c r="D111" s="18" t="s">
        <v>174</v>
      </c>
      <c r="E111" s="13" t="s">
        <v>18</v>
      </c>
      <c r="F111" s="13">
        <v>1</v>
      </c>
      <c r="H111" s="11" t="s">
        <v>17</v>
      </c>
      <c r="I111" s="18" t="s">
        <v>34</v>
      </c>
      <c r="J111" s="10"/>
    </row>
    <row r="112" spans="1:10" s="22" customFormat="1" ht="30" hidden="1" customHeight="1">
      <c r="A112" s="28">
        <f t="shared" si="2"/>
        <v>101</v>
      </c>
      <c r="B112" s="24" t="s">
        <v>173</v>
      </c>
      <c r="C112" s="27" t="s">
        <v>172</v>
      </c>
      <c r="D112" s="27" t="s">
        <v>172</v>
      </c>
      <c r="E112" s="26" t="s">
        <v>169</v>
      </c>
      <c r="F112" s="26">
        <v>1</v>
      </c>
      <c r="H112" s="25" t="s">
        <v>17</v>
      </c>
      <c r="I112" s="24" t="s">
        <v>106</v>
      </c>
      <c r="J112" s="23"/>
    </row>
    <row r="113" spans="1:10" s="22" customFormat="1" ht="30" hidden="1" customHeight="1">
      <c r="A113" s="28">
        <f t="shared" si="2"/>
        <v>102</v>
      </c>
      <c r="B113" s="24" t="s">
        <v>171</v>
      </c>
      <c r="C113" s="27" t="s">
        <v>170</v>
      </c>
      <c r="D113" s="27" t="s">
        <v>170</v>
      </c>
      <c r="E113" s="26" t="s">
        <v>169</v>
      </c>
      <c r="F113" s="26">
        <v>1</v>
      </c>
      <c r="H113" s="25" t="s">
        <v>17</v>
      </c>
      <c r="I113" s="24" t="s">
        <v>106</v>
      </c>
      <c r="J113" s="23"/>
    </row>
    <row r="114" spans="1:10" s="9" customFormat="1" ht="40.5" hidden="1" customHeight="1">
      <c r="A114" s="17">
        <f t="shared" si="2"/>
        <v>103</v>
      </c>
      <c r="B114" s="16" t="s">
        <v>168</v>
      </c>
      <c r="C114" s="21" t="s">
        <v>167</v>
      </c>
      <c r="D114" s="21" t="s">
        <v>167</v>
      </c>
      <c r="E114" s="13" t="s">
        <v>18</v>
      </c>
      <c r="F114" s="13">
        <v>1</v>
      </c>
      <c r="H114" s="11" t="s">
        <v>17</v>
      </c>
      <c r="I114" s="18" t="s">
        <v>34</v>
      </c>
      <c r="J114" s="10"/>
    </row>
    <row r="115" spans="1:10" s="9" customFormat="1" ht="30" hidden="1" customHeight="1">
      <c r="A115" s="17">
        <f t="shared" si="2"/>
        <v>104</v>
      </c>
      <c r="B115" s="16" t="s">
        <v>166</v>
      </c>
      <c r="C115" s="21" t="s">
        <v>165</v>
      </c>
      <c r="D115" s="21" t="s">
        <v>164</v>
      </c>
      <c r="E115" s="13" t="s">
        <v>18</v>
      </c>
      <c r="F115" s="13">
        <v>1</v>
      </c>
      <c r="H115" s="11" t="s">
        <v>17</v>
      </c>
      <c r="I115" s="18" t="s">
        <v>34</v>
      </c>
      <c r="J115" s="10"/>
    </row>
    <row r="116" spans="1:10" s="9" customFormat="1" ht="45.6" hidden="1" customHeight="1">
      <c r="A116" s="17">
        <f t="shared" si="2"/>
        <v>105</v>
      </c>
      <c r="B116" s="16" t="s">
        <v>163</v>
      </c>
      <c r="C116" s="21" t="s">
        <v>162</v>
      </c>
      <c r="D116" s="21" t="s">
        <v>162</v>
      </c>
      <c r="E116" s="13" t="s">
        <v>18</v>
      </c>
      <c r="F116" s="13">
        <v>1</v>
      </c>
      <c r="H116" s="11" t="s">
        <v>17</v>
      </c>
      <c r="I116" s="18" t="s">
        <v>34</v>
      </c>
      <c r="J116" s="10"/>
    </row>
    <row r="117" spans="1:10" s="9" customFormat="1" ht="30" hidden="1" customHeight="1">
      <c r="A117" s="17">
        <f t="shared" si="2"/>
        <v>106</v>
      </c>
      <c r="B117" s="16" t="s">
        <v>161</v>
      </c>
      <c r="C117" s="21" t="s">
        <v>160</v>
      </c>
      <c r="D117" s="21" t="s">
        <v>160</v>
      </c>
      <c r="E117" s="13" t="s">
        <v>18</v>
      </c>
      <c r="F117" s="13">
        <v>1</v>
      </c>
      <c r="H117" s="11" t="s">
        <v>17</v>
      </c>
      <c r="I117" s="18" t="s">
        <v>34</v>
      </c>
      <c r="J117" s="10"/>
    </row>
    <row r="118" spans="1:10" s="9" customFormat="1" ht="30" hidden="1" customHeight="1">
      <c r="A118" s="17">
        <f t="shared" si="2"/>
        <v>107</v>
      </c>
      <c r="B118" s="16" t="s">
        <v>159</v>
      </c>
      <c r="C118" s="21" t="s">
        <v>158</v>
      </c>
      <c r="D118" s="21" t="s">
        <v>158</v>
      </c>
      <c r="E118" s="13" t="s">
        <v>18</v>
      </c>
      <c r="F118" s="13">
        <v>1</v>
      </c>
      <c r="H118" s="11" t="s">
        <v>17</v>
      </c>
      <c r="I118" s="18" t="s">
        <v>34</v>
      </c>
      <c r="J118" s="10"/>
    </row>
    <row r="119" spans="1:10" s="9" customFormat="1" ht="30" hidden="1" customHeight="1">
      <c r="A119" s="17">
        <f t="shared" si="2"/>
        <v>108</v>
      </c>
      <c r="B119" s="16" t="s">
        <v>157</v>
      </c>
      <c r="C119" s="16" t="s">
        <v>156</v>
      </c>
      <c r="D119" s="16" t="s">
        <v>156</v>
      </c>
      <c r="E119" s="13" t="s">
        <v>18</v>
      </c>
      <c r="F119" s="13">
        <v>1</v>
      </c>
      <c r="H119" s="11" t="s">
        <v>17</v>
      </c>
      <c r="I119" s="18" t="s">
        <v>34</v>
      </c>
      <c r="J119" s="10"/>
    </row>
    <row r="120" spans="1:10" s="9" customFormat="1" ht="30" hidden="1" customHeight="1">
      <c r="A120" s="17">
        <f t="shared" si="2"/>
        <v>109</v>
      </c>
      <c r="B120" s="16" t="s">
        <v>155</v>
      </c>
      <c r="C120" s="16" t="s">
        <v>154</v>
      </c>
      <c r="D120" s="16" t="s">
        <v>154</v>
      </c>
      <c r="E120" s="13" t="s">
        <v>18</v>
      </c>
      <c r="F120" s="13">
        <v>1</v>
      </c>
      <c r="H120" s="11" t="s">
        <v>17</v>
      </c>
      <c r="I120" s="18" t="s">
        <v>34</v>
      </c>
      <c r="J120" s="10"/>
    </row>
    <row r="121" spans="1:10" s="9" customFormat="1" ht="30" hidden="1" customHeight="1">
      <c r="A121" s="17">
        <f t="shared" si="2"/>
        <v>110</v>
      </c>
      <c r="B121" s="16" t="s">
        <v>153</v>
      </c>
      <c r="C121" s="20" t="s">
        <v>152</v>
      </c>
      <c r="D121" s="16"/>
      <c r="E121" s="13" t="s">
        <v>18</v>
      </c>
      <c r="F121" s="13">
        <v>1</v>
      </c>
      <c r="H121" s="11" t="s">
        <v>17</v>
      </c>
      <c r="I121" s="9" t="s">
        <v>151</v>
      </c>
      <c r="J121" s="10"/>
    </row>
    <row r="122" spans="1:10" s="9" customFormat="1" ht="30" hidden="1" customHeight="1">
      <c r="A122" s="17">
        <f t="shared" si="2"/>
        <v>111</v>
      </c>
      <c r="B122" s="16" t="s">
        <v>150</v>
      </c>
      <c r="C122" s="19" t="s">
        <v>147</v>
      </c>
      <c r="D122" s="16"/>
      <c r="E122" s="13" t="s">
        <v>18</v>
      </c>
      <c r="F122" s="12">
        <v>1</v>
      </c>
      <c r="H122" s="11" t="s">
        <v>17</v>
      </c>
      <c r="I122" s="16" t="s">
        <v>106</v>
      </c>
      <c r="J122" s="10"/>
    </row>
    <row r="123" spans="1:10" s="9" customFormat="1" ht="30" hidden="1" customHeight="1">
      <c r="A123" s="17">
        <f t="shared" si="2"/>
        <v>112</v>
      </c>
      <c r="B123" s="16" t="s">
        <v>149</v>
      </c>
      <c r="C123" s="19" t="s">
        <v>147</v>
      </c>
      <c r="D123" s="16"/>
      <c r="E123" s="13" t="s">
        <v>18</v>
      </c>
      <c r="F123" s="12">
        <v>1</v>
      </c>
      <c r="H123" s="11" t="s">
        <v>17</v>
      </c>
      <c r="I123" s="16" t="s">
        <v>114</v>
      </c>
      <c r="J123" s="10"/>
    </row>
    <row r="124" spans="1:10" s="9" customFormat="1" ht="30" hidden="1" customHeight="1">
      <c r="A124" s="17">
        <f t="shared" si="2"/>
        <v>113</v>
      </c>
      <c r="B124" s="16" t="s">
        <v>148</v>
      </c>
      <c r="C124" s="19" t="s">
        <v>147</v>
      </c>
      <c r="D124" s="16"/>
      <c r="E124" s="13" t="s">
        <v>18</v>
      </c>
      <c r="F124" s="12">
        <v>1</v>
      </c>
      <c r="H124" s="11" t="s">
        <v>17</v>
      </c>
      <c r="I124" s="16" t="s">
        <v>119</v>
      </c>
      <c r="J124" s="10"/>
    </row>
    <row r="125" spans="1:10" s="9" customFormat="1" ht="30" hidden="1" customHeight="1">
      <c r="A125" s="17">
        <f t="shared" si="2"/>
        <v>114</v>
      </c>
      <c r="B125" s="16" t="s">
        <v>146</v>
      </c>
      <c r="C125" s="19" t="s">
        <v>143</v>
      </c>
      <c r="D125" s="16"/>
      <c r="E125" s="13" t="s">
        <v>18</v>
      </c>
      <c r="F125" s="12">
        <v>1</v>
      </c>
      <c r="H125" s="11" t="s">
        <v>17</v>
      </c>
      <c r="I125" s="16" t="s">
        <v>106</v>
      </c>
      <c r="J125" s="10"/>
    </row>
    <row r="126" spans="1:10" s="9" customFormat="1" ht="30" hidden="1" customHeight="1">
      <c r="A126" s="17">
        <f t="shared" si="2"/>
        <v>115</v>
      </c>
      <c r="B126" s="16" t="s">
        <v>145</v>
      </c>
      <c r="C126" s="19" t="s">
        <v>143</v>
      </c>
      <c r="D126" s="16"/>
      <c r="E126" s="13" t="s">
        <v>18</v>
      </c>
      <c r="F126" s="12">
        <v>1</v>
      </c>
      <c r="H126" s="11" t="s">
        <v>17</v>
      </c>
      <c r="I126" s="16" t="s">
        <v>114</v>
      </c>
      <c r="J126" s="10"/>
    </row>
    <row r="127" spans="1:10" s="9" customFormat="1" ht="30" hidden="1" customHeight="1">
      <c r="A127" s="17">
        <f t="shared" si="2"/>
        <v>116</v>
      </c>
      <c r="B127" s="16" t="s">
        <v>144</v>
      </c>
      <c r="C127" s="19" t="s">
        <v>143</v>
      </c>
      <c r="D127" s="16"/>
      <c r="E127" s="13" t="s">
        <v>18</v>
      </c>
      <c r="F127" s="12">
        <v>1</v>
      </c>
      <c r="H127" s="11" t="s">
        <v>17</v>
      </c>
      <c r="I127" s="16" t="s">
        <v>119</v>
      </c>
      <c r="J127" s="10"/>
    </row>
    <row r="128" spans="1:10" s="9" customFormat="1" ht="30" hidden="1" customHeight="1">
      <c r="A128" s="17">
        <f t="shared" si="2"/>
        <v>117</v>
      </c>
      <c r="B128" s="16" t="s">
        <v>142</v>
      </c>
      <c r="C128" s="16" t="s">
        <v>139</v>
      </c>
      <c r="D128" s="16" t="s">
        <v>141</v>
      </c>
      <c r="E128" s="13" t="s">
        <v>18</v>
      </c>
      <c r="F128" s="12">
        <v>1</v>
      </c>
      <c r="H128" s="11" t="s">
        <v>17</v>
      </c>
      <c r="I128" s="18" t="s">
        <v>34</v>
      </c>
      <c r="J128" s="10"/>
    </row>
    <row r="129" spans="1:10" s="9" customFormat="1" ht="30" hidden="1" customHeight="1">
      <c r="A129" s="17">
        <f t="shared" si="2"/>
        <v>118</v>
      </c>
      <c r="B129" s="16" t="s">
        <v>140</v>
      </c>
      <c r="C129" s="16" t="s">
        <v>139</v>
      </c>
      <c r="D129" s="16" t="s">
        <v>138</v>
      </c>
      <c r="E129" s="13" t="s">
        <v>18</v>
      </c>
      <c r="F129" s="12">
        <v>1</v>
      </c>
      <c r="H129" s="11" t="s">
        <v>17</v>
      </c>
      <c r="I129" s="18" t="s">
        <v>34</v>
      </c>
      <c r="J129" s="10"/>
    </row>
    <row r="130" spans="1:10" s="9" customFormat="1" ht="30" hidden="1" customHeight="1">
      <c r="A130" s="17">
        <f t="shared" si="2"/>
        <v>119</v>
      </c>
      <c r="B130" s="16" t="s">
        <v>690</v>
      </c>
      <c r="C130" s="16" t="s">
        <v>32</v>
      </c>
      <c r="D130" s="16"/>
      <c r="E130" s="13" t="s">
        <v>18</v>
      </c>
      <c r="F130" s="12">
        <v>1</v>
      </c>
      <c r="H130" s="11" t="s">
        <v>17</v>
      </c>
      <c r="I130" s="16" t="s">
        <v>117</v>
      </c>
      <c r="J130" s="10"/>
    </row>
    <row r="131" spans="1:10" s="9" customFormat="1" ht="30" hidden="1" customHeight="1">
      <c r="A131" s="17">
        <f t="shared" si="2"/>
        <v>120</v>
      </c>
      <c r="B131" s="16" t="s">
        <v>137</v>
      </c>
      <c r="C131" s="16" t="s">
        <v>32</v>
      </c>
      <c r="D131" s="16"/>
      <c r="E131" s="13" t="s">
        <v>18</v>
      </c>
      <c r="F131" s="12">
        <v>1</v>
      </c>
      <c r="H131" s="11" t="s">
        <v>17</v>
      </c>
      <c r="I131" s="16" t="s">
        <v>106</v>
      </c>
      <c r="J131" s="10"/>
    </row>
    <row r="132" spans="1:10" s="9" customFormat="1" ht="30" hidden="1" customHeight="1">
      <c r="A132" s="17">
        <f t="shared" si="2"/>
        <v>121</v>
      </c>
      <c r="B132" s="16" t="s">
        <v>136</v>
      </c>
      <c r="C132" s="16" t="s">
        <v>32</v>
      </c>
      <c r="D132" s="16"/>
      <c r="E132" s="13" t="s">
        <v>18</v>
      </c>
      <c r="F132" s="12">
        <v>1</v>
      </c>
      <c r="H132" s="11" t="s">
        <v>17</v>
      </c>
      <c r="I132" s="16" t="s">
        <v>114</v>
      </c>
      <c r="J132" s="10" t="s">
        <v>135</v>
      </c>
    </row>
    <row r="133" spans="1:10" s="9" customFormat="1" ht="30" hidden="1" customHeight="1">
      <c r="A133" s="17">
        <f t="shared" si="2"/>
        <v>122</v>
      </c>
      <c r="B133" s="16" t="s">
        <v>134</v>
      </c>
      <c r="C133" s="16" t="s">
        <v>32</v>
      </c>
      <c r="D133" s="16"/>
      <c r="E133" s="13" t="s">
        <v>18</v>
      </c>
      <c r="F133" s="12">
        <v>1</v>
      </c>
      <c r="H133" s="11" t="s">
        <v>17</v>
      </c>
      <c r="I133" s="16" t="s">
        <v>119</v>
      </c>
      <c r="J133" s="10"/>
    </row>
    <row r="134" spans="1:10" s="9" customFormat="1" ht="30" hidden="1" customHeight="1">
      <c r="A134" s="17">
        <f t="shared" si="2"/>
        <v>123</v>
      </c>
      <c r="B134" s="16" t="s">
        <v>133</v>
      </c>
      <c r="C134" s="16" t="s">
        <v>132</v>
      </c>
      <c r="D134" s="16" t="s">
        <v>131</v>
      </c>
      <c r="E134" s="13" t="s">
        <v>18</v>
      </c>
      <c r="F134" s="12">
        <v>1</v>
      </c>
      <c r="H134" s="11" t="s">
        <v>17</v>
      </c>
      <c r="I134" s="16" t="s">
        <v>114</v>
      </c>
      <c r="J134" s="10"/>
    </row>
    <row r="135" spans="1:10" s="9" customFormat="1" ht="30" hidden="1" customHeight="1">
      <c r="A135" s="17">
        <f t="shared" si="2"/>
        <v>124</v>
      </c>
      <c r="B135" s="16" t="s">
        <v>130</v>
      </c>
      <c r="C135" s="16" t="s">
        <v>129</v>
      </c>
      <c r="D135" s="16" t="s">
        <v>128</v>
      </c>
      <c r="E135" s="13" t="s">
        <v>18</v>
      </c>
      <c r="F135" s="12">
        <v>1</v>
      </c>
      <c r="H135" s="11" t="s">
        <v>17</v>
      </c>
      <c r="I135" s="16" t="s">
        <v>106</v>
      </c>
      <c r="J135" s="10"/>
    </row>
    <row r="136" spans="1:10" s="9" customFormat="1" ht="30" hidden="1" customHeight="1">
      <c r="A136" s="17">
        <f t="shared" si="2"/>
        <v>125</v>
      </c>
      <c r="B136" s="16" t="s">
        <v>127</v>
      </c>
      <c r="C136" s="16" t="s">
        <v>126</v>
      </c>
      <c r="D136" s="16" t="s">
        <v>125</v>
      </c>
      <c r="E136" s="13" t="s">
        <v>18</v>
      </c>
      <c r="F136" s="12">
        <v>1</v>
      </c>
      <c r="H136" s="11" t="s">
        <v>17</v>
      </c>
      <c r="I136" s="16" t="s">
        <v>119</v>
      </c>
      <c r="J136" s="10"/>
    </row>
    <row r="137" spans="1:10" s="9" customFormat="1" ht="30" hidden="1" customHeight="1">
      <c r="A137" s="17">
        <f t="shared" si="2"/>
        <v>126</v>
      </c>
      <c r="B137" s="16" t="s">
        <v>124</v>
      </c>
      <c r="C137" s="16" t="s">
        <v>120</v>
      </c>
      <c r="D137" s="16"/>
      <c r="E137" s="13" t="s">
        <v>18</v>
      </c>
      <c r="F137" s="12">
        <v>1</v>
      </c>
      <c r="H137" s="11" t="s">
        <v>17</v>
      </c>
      <c r="I137" s="16" t="s">
        <v>117</v>
      </c>
      <c r="J137" s="10"/>
    </row>
    <row r="138" spans="1:10" s="9" customFormat="1" ht="30" hidden="1" customHeight="1">
      <c r="A138" s="17">
        <f t="shared" si="2"/>
        <v>127</v>
      </c>
      <c r="B138" s="16" t="s">
        <v>123</v>
      </c>
      <c r="C138" s="16" t="s">
        <v>120</v>
      </c>
      <c r="D138" s="16"/>
      <c r="E138" s="13" t="s">
        <v>18</v>
      </c>
      <c r="F138" s="12">
        <v>1</v>
      </c>
      <c r="H138" s="11" t="s">
        <v>17</v>
      </c>
      <c r="I138" s="16" t="s">
        <v>114</v>
      </c>
      <c r="J138" s="10"/>
    </row>
    <row r="139" spans="1:10" s="9" customFormat="1" ht="30" hidden="1" customHeight="1">
      <c r="A139" s="17">
        <f t="shared" si="2"/>
        <v>128</v>
      </c>
      <c r="B139" s="16" t="s">
        <v>122</v>
      </c>
      <c r="C139" s="16" t="s">
        <v>120</v>
      </c>
      <c r="D139" s="16"/>
      <c r="E139" s="13" t="s">
        <v>18</v>
      </c>
      <c r="F139" s="12">
        <v>1</v>
      </c>
      <c r="H139" s="11" t="s">
        <v>17</v>
      </c>
      <c r="I139" s="16" t="s">
        <v>106</v>
      </c>
      <c r="J139" s="10"/>
    </row>
    <row r="140" spans="1:10" s="9" customFormat="1" ht="30" hidden="1" customHeight="1">
      <c r="A140" s="17">
        <f t="shared" si="2"/>
        <v>129</v>
      </c>
      <c r="B140" s="16" t="s">
        <v>121</v>
      </c>
      <c r="C140" s="16" t="s">
        <v>120</v>
      </c>
      <c r="D140" s="16"/>
      <c r="E140" s="13" t="s">
        <v>18</v>
      </c>
      <c r="F140" s="12">
        <v>1</v>
      </c>
      <c r="H140" s="11" t="s">
        <v>17</v>
      </c>
      <c r="I140" s="16" t="s">
        <v>119</v>
      </c>
      <c r="J140" s="10"/>
    </row>
    <row r="141" spans="1:10" s="9" customFormat="1" ht="30" hidden="1" customHeight="1">
      <c r="A141" s="17">
        <f t="shared" si="2"/>
        <v>130</v>
      </c>
      <c r="B141" s="16" t="s">
        <v>118</v>
      </c>
      <c r="C141" s="16" t="s">
        <v>115</v>
      </c>
      <c r="D141" s="16"/>
      <c r="E141" s="13" t="s">
        <v>18</v>
      </c>
      <c r="F141" s="12">
        <v>1</v>
      </c>
      <c r="H141" s="11" t="s">
        <v>17</v>
      </c>
      <c r="I141" s="16" t="s">
        <v>117</v>
      </c>
      <c r="J141" s="10"/>
    </row>
    <row r="142" spans="1:10" s="9" customFormat="1" ht="30" hidden="1" customHeight="1">
      <c r="A142" s="17">
        <f t="shared" si="2"/>
        <v>131</v>
      </c>
      <c r="B142" s="16" t="s">
        <v>116</v>
      </c>
      <c r="C142" s="16" t="s">
        <v>115</v>
      </c>
      <c r="D142" s="16"/>
      <c r="E142" s="13" t="s">
        <v>18</v>
      </c>
      <c r="F142" s="12">
        <v>1</v>
      </c>
      <c r="H142" s="11" t="s">
        <v>17</v>
      </c>
      <c r="I142" s="16" t="s">
        <v>114</v>
      </c>
      <c r="J142" s="10"/>
    </row>
    <row r="143" spans="1:10" s="9" customFormat="1" ht="30" hidden="1" customHeight="1">
      <c r="A143" s="17">
        <f t="shared" si="2"/>
        <v>132</v>
      </c>
      <c r="B143" s="16" t="s">
        <v>113</v>
      </c>
      <c r="C143" s="16" t="s">
        <v>112</v>
      </c>
      <c r="D143" s="16"/>
      <c r="E143" s="13" t="s">
        <v>18</v>
      </c>
      <c r="F143" s="12">
        <v>1</v>
      </c>
      <c r="H143" s="11" t="s">
        <v>17</v>
      </c>
      <c r="I143" s="16" t="s">
        <v>106</v>
      </c>
      <c r="J143" s="10"/>
    </row>
    <row r="144" spans="1:10" s="9" customFormat="1" ht="30" hidden="1" customHeight="1">
      <c r="A144" s="17"/>
      <c r="B144" s="16" t="s">
        <v>111</v>
      </c>
      <c r="C144" s="16" t="s">
        <v>110</v>
      </c>
      <c r="D144" s="16"/>
      <c r="E144" s="13" t="s">
        <v>18</v>
      </c>
      <c r="F144" s="12">
        <v>1</v>
      </c>
      <c r="H144" s="11" t="s">
        <v>17</v>
      </c>
      <c r="I144" s="16" t="s">
        <v>106</v>
      </c>
      <c r="J144" s="10"/>
    </row>
    <row r="145" spans="1:10" s="9" customFormat="1" ht="30" hidden="1" customHeight="1">
      <c r="A145" s="17">
        <f>A143+1</f>
        <v>133</v>
      </c>
      <c r="B145" s="16" t="s">
        <v>109</v>
      </c>
      <c r="C145" s="16" t="s">
        <v>108</v>
      </c>
      <c r="D145" s="16" t="s">
        <v>107</v>
      </c>
      <c r="E145" s="13" t="s">
        <v>18</v>
      </c>
      <c r="F145" s="12">
        <v>1</v>
      </c>
      <c r="H145" s="11" t="s">
        <v>17</v>
      </c>
      <c r="I145" s="16" t="s">
        <v>106</v>
      </c>
      <c r="J145" s="10"/>
    </row>
    <row r="146" spans="1:10" s="9" customFormat="1" ht="30" hidden="1" customHeight="1">
      <c r="A146" s="17">
        <f t="shared" ref="A146:A205" si="3">A145+1</f>
        <v>134</v>
      </c>
      <c r="B146" s="16" t="s">
        <v>105</v>
      </c>
      <c r="C146" s="16" t="s">
        <v>104</v>
      </c>
      <c r="D146" s="16"/>
      <c r="E146" s="13" t="s">
        <v>76</v>
      </c>
      <c r="F146" s="12">
        <v>1</v>
      </c>
      <c r="H146" s="11" t="s">
        <v>17</v>
      </c>
      <c r="I146" s="10" t="s">
        <v>103</v>
      </c>
      <c r="J146" s="10" t="s">
        <v>103</v>
      </c>
    </row>
    <row r="147" spans="1:10" s="9" customFormat="1" ht="30" hidden="1" customHeight="1">
      <c r="A147" s="17">
        <f t="shared" si="3"/>
        <v>135</v>
      </c>
      <c r="B147" s="16" t="s">
        <v>102</v>
      </c>
      <c r="C147" s="16" t="s">
        <v>101</v>
      </c>
      <c r="D147" s="16"/>
      <c r="E147" s="13" t="s">
        <v>76</v>
      </c>
      <c r="F147" s="12">
        <v>1</v>
      </c>
      <c r="H147" s="11"/>
      <c r="I147" s="10" t="s">
        <v>100</v>
      </c>
      <c r="J147" s="10" t="s">
        <v>100</v>
      </c>
    </row>
    <row r="148" spans="1:10" s="9" customFormat="1" ht="30" hidden="1" customHeight="1">
      <c r="A148" s="17">
        <f t="shared" si="3"/>
        <v>136</v>
      </c>
      <c r="B148" s="16" t="s">
        <v>99</v>
      </c>
      <c r="C148" s="16" t="s">
        <v>98</v>
      </c>
      <c r="D148" s="16"/>
      <c r="E148" s="13" t="s">
        <v>76</v>
      </c>
      <c r="F148" s="12">
        <v>1</v>
      </c>
      <c r="H148" s="11" t="s">
        <v>17</v>
      </c>
      <c r="I148" s="10" t="s">
        <v>97</v>
      </c>
      <c r="J148" s="10" t="s">
        <v>97</v>
      </c>
    </row>
    <row r="149" spans="1:10" s="9" customFormat="1" ht="30" hidden="1" customHeight="1">
      <c r="A149" s="17">
        <f t="shared" si="3"/>
        <v>137</v>
      </c>
      <c r="B149" s="16" t="s">
        <v>96</v>
      </c>
      <c r="C149" s="16" t="s">
        <v>91</v>
      </c>
      <c r="D149" s="16" t="s">
        <v>90</v>
      </c>
      <c r="E149" s="13" t="s">
        <v>89</v>
      </c>
      <c r="F149" s="12">
        <v>1</v>
      </c>
      <c r="H149" s="11" t="s">
        <v>17</v>
      </c>
      <c r="I149" s="10" t="s">
        <v>80</v>
      </c>
      <c r="J149" s="10" t="s">
        <v>80</v>
      </c>
    </row>
    <row r="150" spans="1:10" s="9" customFormat="1" ht="30" hidden="1" customHeight="1">
      <c r="A150" s="17">
        <f t="shared" si="3"/>
        <v>138</v>
      </c>
      <c r="B150" s="16" t="s">
        <v>95</v>
      </c>
      <c r="C150" s="16" t="s">
        <v>91</v>
      </c>
      <c r="D150" s="16" t="s">
        <v>90</v>
      </c>
      <c r="E150" s="13" t="s">
        <v>89</v>
      </c>
      <c r="F150" s="12">
        <v>1</v>
      </c>
      <c r="H150" s="11" t="s">
        <v>17</v>
      </c>
      <c r="I150" s="10" t="s">
        <v>80</v>
      </c>
      <c r="J150" s="10" t="s">
        <v>80</v>
      </c>
    </row>
    <row r="151" spans="1:10" s="9" customFormat="1" ht="30" hidden="1" customHeight="1">
      <c r="A151" s="17">
        <f t="shared" si="3"/>
        <v>139</v>
      </c>
      <c r="B151" s="16" t="s">
        <v>94</v>
      </c>
      <c r="C151" s="16" t="s">
        <v>91</v>
      </c>
      <c r="D151" s="16" t="s">
        <v>90</v>
      </c>
      <c r="E151" s="13" t="s">
        <v>89</v>
      </c>
      <c r="F151" s="12">
        <v>1</v>
      </c>
      <c r="H151" s="11" t="s">
        <v>17</v>
      </c>
      <c r="I151" s="10" t="s">
        <v>93</v>
      </c>
      <c r="J151" s="10" t="s">
        <v>93</v>
      </c>
    </row>
    <row r="152" spans="1:10" s="9" customFormat="1" ht="30" hidden="1" customHeight="1">
      <c r="A152" s="17">
        <f t="shared" si="3"/>
        <v>140</v>
      </c>
      <c r="B152" s="16" t="s">
        <v>92</v>
      </c>
      <c r="C152" s="16" t="s">
        <v>91</v>
      </c>
      <c r="D152" s="16" t="s">
        <v>90</v>
      </c>
      <c r="E152" s="13" t="s">
        <v>89</v>
      </c>
      <c r="F152" s="12">
        <v>1</v>
      </c>
      <c r="H152" s="11" t="s">
        <v>17</v>
      </c>
      <c r="I152" s="10" t="s">
        <v>88</v>
      </c>
      <c r="J152" s="10" t="s">
        <v>88</v>
      </c>
    </row>
    <row r="153" spans="1:10" s="9" customFormat="1" ht="30" hidden="1" customHeight="1">
      <c r="A153" s="17">
        <f t="shared" si="3"/>
        <v>141</v>
      </c>
      <c r="B153" s="16" t="s">
        <v>87</v>
      </c>
      <c r="C153" s="16" t="s">
        <v>86</v>
      </c>
      <c r="D153" s="16" t="s">
        <v>85</v>
      </c>
      <c r="E153" s="13" t="s">
        <v>18</v>
      </c>
      <c r="F153" s="12">
        <v>1</v>
      </c>
      <c r="H153" s="11" t="s">
        <v>17</v>
      </c>
      <c r="I153" s="10"/>
      <c r="J153" s="10"/>
    </row>
    <row r="154" spans="1:10" s="9" customFormat="1" ht="30" hidden="1" customHeight="1">
      <c r="A154" s="17">
        <f t="shared" si="3"/>
        <v>142</v>
      </c>
      <c r="B154" s="16" t="s">
        <v>84</v>
      </c>
      <c r="C154" s="16" t="s">
        <v>83</v>
      </c>
      <c r="D154" s="16"/>
      <c r="E154" s="13" t="s">
        <v>18</v>
      </c>
      <c r="F154" s="12">
        <v>1</v>
      </c>
      <c r="H154" s="11" t="s">
        <v>17</v>
      </c>
      <c r="I154" s="10"/>
      <c r="J154" s="10"/>
    </row>
    <row r="155" spans="1:10" s="9" customFormat="1" ht="30" hidden="1" customHeight="1">
      <c r="A155" s="17">
        <f t="shared" si="3"/>
        <v>143</v>
      </c>
      <c r="B155" s="16" t="s">
        <v>82</v>
      </c>
      <c r="C155" s="16" t="s">
        <v>81</v>
      </c>
      <c r="D155" s="16"/>
      <c r="E155" s="13" t="s">
        <v>18</v>
      </c>
      <c r="F155" s="12">
        <v>1</v>
      </c>
      <c r="H155" s="11" t="s">
        <v>17</v>
      </c>
      <c r="I155" s="10" t="s">
        <v>80</v>
      </c>
      <c r="J155" s="10" t="s">
        <v>80</v>
      </c>
    </row>
    <row r="156" spans="1:10" s="9" customFormat="1" ht="30" hidden="1" customHeight="1">
      <c r="A156" s="17">
        <f t="shared" si="3"/>
        <v>144</v>
      </c>
      <c r="B156" s="16" t="s">
        <v>79</v>
      </c>
      <c r="C156" s="16" t="s">
        <v>77</v>
      </c>
      <c r="D156" s="16"/>
      <c r="E156" s="13" t="s">
        <v>76</v>
      </c>
      <c r="F156" s="12">
        <v>1</v>
      </c>
      <c r="H156" s="11" t="s">
        <v>17</v>
      </c>
      <c r="I156" s="10" t="s">
        <v>75</v>
      </c>
      <c r="J156" s="10" t="s">
        <v>75</v>
      </c>
    </row>
    <row r="157" spans="1:10" s="9" customFormat="1" ht="30" hidden="1" customHeight="1">
      <c r="A157" s="17">
        <f t="shared" si="3"/>
        <v>145</v>
      </c>
      <c r="B157" s="16" t="s">
        <v>78</v>
      </c>
      <c r="C157" s="16" t="s">
        <v>77</v>
      </c>
      <c r="D157" s="16"/>
      <c r="E157" s="13" t="s">
        <v>76</v>
      </c>
      <c r="F157" s="12">
        <v>1</v>
      </c>
      <c r="H157" s="11" t="s">
        <v>17</v>
      </c>
      <c r="I157" s="10" t="s">
        <v>75</v>
      </c>
      <c r="J157" s="10" t="s">
        <v>75</v>
      </c>
    </row>
    <row r="158" spans="1:10" s="9" customFormat="1" ht="30" hidden="1" customHeight="1">
      <c r="A158" s="17">
        <f t="shared" si="3"/>
        <v>146</v>
      </c>
      <c r="B158" s="16" t="s">
        <v>74</v>
      </c>
      <c r="C158" s="16" t="s">
        <v>28</v>
      </c>
      <c r="D158" s="16"/>
      <c r="E158" s="13" t="s">
        <v>18</v>
      </c>
      <c r="F158" s="12">
        <v>1</v>
      </c>
      <c r="H158" s="11" t="s">
        <v>17</v>
      </c>
      <c r="I158" s="16" t="s">
        <v>34</v>
      </c>
      <c r="J158" s="10"/>
    </row>
    <row r="159" spans="1:10" s="9" customFormat="1" ht="30" hidden="1" customHeight="1">
      <c r="A159" s="17">
        <f t="shared" si="3"/>
        <v>147</v>
      </c>
      <c r="B159" s="16" t="s">
        <v>73</v>
      </c>
      <c r="C159" s="16" t="s">
        <v>72</v>
      </c>
      <c r="D159" s="16"/>
      <c r="E159" s="13" t="s">
        <v>18</v>
      </c>
      <c r="F159" s="12">
        <v>1</v>
      </c>
      <c r="H159" s="11" t="s">
        <v>17</v>
      </c>
      <c r="I159" s="16" t="s">
        <v>34</v>
      </c>
      <c r="J159" s="10"/>
    </row>
    <row r="160" spans="1:10" s="9" customFormat="1" ht="30" hidden="1" customHeight="1">
      <c r="A160" s="17">
        <f t="shared" si="3"/>
        <v>148</v>
      </c>
      <c r="B160" s="16" t="s">
        <v>71</v>
      </c>
      <c r="C160" s="16" t="s">
        <v>70</v>
      </c>
      <c r="D160" s="16"/>
      <c r="E160" s="13" t="s">
        <v>18</v>
      </c>
      <c r="F160" s="12">
        <v>1</v>
      </c>
      <c r="H160" s="11" t="s">
        <v>17</v>
      </c>
      <c r="I160" s="16" t="s">
        <v>34</v>
      </c>
      <c r="J160" s="10"/>
    </row>
    <row r="161" spans="1:10" s="9" customFormat="1" ht="30" hidden="1" customHeight="1">
      <c r="A161" s="17">
        <f t="shared" si="3"/>
        <v>149</v>
      </c>
      <c r="B161" s="16" t="s">
        <v>69</v>
      </c>
      <c r="C161" s="16" t="s">
        <v>68</v>
      </c>
      <c r="D161" s="16"/>
      <c r="E161" s="13" t="s">
        <v>18</v>
      </c>
      <c r="F161" s="12">
        <v>1</v>
      </c>
      <c r="H161" s="11" t="s">
        <v>17</v>
      </c>
      <c r="I161" s="16" t="s">
        <v>34</v>
      </c>
      <c r="J161" s="10"/>
    </row>
    <row r="162" spans="1:10" s="9" customFormat="1" ht="30" hidden="1" customHeight="1">
      <c r="A162" s="17">
        <f t="shared" si="3"/>
        <v>150</v>
      </c>
      <c r="B162" s="16" t="s">
        <v>67</v>
      </c>
      <c r="C162" s="16" t="s">
        <v>66</v>
      </c>
      <c r="D162" s="16" t="s">
        <v>65</v>
      </c>
      <c r="E162" s="13" t="s">
        <v>18</v>
      </c>
      <c r="F162" s="12">
        <v>1</v>
      </c>
      <c r="H162" s="11" t="s">
        <v>17</v>
      </c>
      <c r="I162" s="16" t="s">
        <v>34</v>
      </c>
      <c r="J162" s="10"/>
    </row>
    <row r="163" spans="1:10" s="9" customFormat="1" ht="30" hidden="1" customHeight="1">
      <c r="A163" s="17">
        <f t="shared" si="3"/>
        <v>151</v>
      </c>
      <c r="B163" s="16" t="s">
        <v>64</v>
      </c>
      <c r="C163" s="16" t="s">
        <v>61</v>
      </c>
      <c r="D163" s="16" t="s">
        <v>63</v>
      </c>
      <c r="E163" s="13" t="s">
        <v>18</v>
      </c>
      <c r="F163" s="12">
        <v>1</v>
      </c>
      <c r="H163" s="11" t="s">
        <v>17</v>
      </c>
      <c r="I163" s="16" t="s">
        <v>34</v>
      </c>
      <c r="J163" s="10"/>
    </row>
    <row r="164" spans="1:10" s="9" customFormat="1" ht="30" hidden="1" customHeight="1">
      <c r="A164" s="17">
        <f t="shared" si="3"/>
        <v>152</v>
      </c>
      <c r="B164" s="16" t="s">
        <v>62</v>
      </c>
      <c r="C164" s="16" t="s">
        <v>61</v>
      </c>
      <c r="D164" s="16" t="s">
        <v>60</v>
      </c>
      <c r="E164" s="13" t="s">
        <v>18</v>
      </c>
      <c r="F164" s="12">
        <v>1</v>
      </c>
      <c r="H164" s="11" t="s">
        <v>17</v>
      </c>
      <c r="I164" s="16" t="s">
        <v>34</v>
      </c>
      <c r="J164" s="10"/>
    </row>
    <row r="165" spans="1:10" s="9" customFormat="1" ht="30" hidden="1" customHeight="1">
      <c r="A165" s="17">
        <f t="shared" si="3"/>
        <v>153</v>
      </c>
      <c r="B165" s="16" t="s">
        <v>59</v>
      </c>
      <c r="C165" s="16" t="s">
        <v>58</v>
      </c>
      <c r="D165" s="16" t="s">
        <v>57</v>
      </c>
      <c r="E165" s="13" t="s">
        <v>18</v>
      </c>
      <c r="F165" s="12">
        <v>1</v>
      </c>
      <c r="H165" s="11" t="s">
        <v>17</v>
      </c>
      <c r="I165" s="16" t="s">
        <v>34</v>
      </c>
      <c r="J165" s="10"/>
    </row>
    <row r="166" spans="1:10" s="9" customFormat="1" ht="30" hidden="1" customHeight="1">
      <c r="A166" s="17">
        <f t="shared" si="3"/>
        <v>154</v>
      </c>
      <c r="B166" s="16" t="s">
        <v>56</v>
      </c>
      <c r="C166" s="16" t="s">
        <v>55</v>
      </c>
      <c r="D166" s="16"/>
      <c r="E166" s="13" t="s">
        <v>18</v>
      </c>
      <c r="F166" s="12">
        <v>1</v>
      </c>
      <c r="H166" s="11" t="s">
        <v>17</v>
      </c>
      <c r="I166" s="16" t="s">
        <v>34</v>
      </c>
      <c r="J166" s="10"/>
    </row>
    <row r="167" spans="1:10" s="9" customFormat="1" ht="30" hidden="1" customHeight="1">
      <c r="A167" s="17">
        <f t="shared" si="3"/>
        <v>155</v>
      </c>
      <c r="B167" s="16" t="s">
        <v>54</v>
      </c>
      <c r="C167" s="16" t="s">
        <v>53</v>
      </c>
      <c r="D167" s="16"/>
      <c r="E167" s="13" t="s">
        <v>18</v>
      </c>
      <c r="F167" s="12">
        <v>1</v>
      </c>
      <c r="H167" s="11" t="s">
        <v>17</v>
      </c>
      <c r="I167" s="16" t="s">
        <v>34</v>
      </c>
      <c r="J167" s="10"/>
    </row>
    <row r="168" spans="1:10" s="9" customFormat="1" ht="30" hidden="1" customHeight="1">
      <c r="A168" s="17">
        <f t="shared" si="3"/>
        <v>156</v>
      </c>
      <c r="B168" s="16" t="s">
        <v>52</v>
      </c>
      <c r="C168" s="16" t="s">
        <v>51</v>
      </c>
      <c r="D168" s="16"/>
      <c r="E168" s="13" t="s">
        <v>18</v>
      </c>
      <c r="F168" s="12">
        <v>1</v>
      </c>
      <c r="H168" s="11" t="s">
        <v>17</v>
      </c>
      <c r="I168" s="16" t="s">
        <v>34</v>
      </c>
      <c r="J168" s="10"/>
    </row>
    <row r="169" spans="1:10" s="9" customFormat="1" ht="30" hidden="1" customHeight="1">
      <c r="A169" s="17">
        <f t="shared" si="3"/>
        <v>157</v>
      </c>
      <c r="B169" s="16" t="s">
        <v>50</v>
      </c>
      <c r="C169" s="16" t="s">
        <v>49</v>
      </c>
      <c r="D169" s="16" t="s">
        <v>48</v>
      </c>
      <c r="E169" s="13" t="s">
        <v>18</v>
      </c>
      <c r="F169" s="12">
        <v>1</v>
      </c>
      <c r="H169" s="11" t="s">
        <v>17</v>
      </c>
      <c r="I169" s="16" t="s">
        <v>34</v>
      </c>
      <c r="J169" s="10"/>
    </row>
    <row r="170" spans="1:10" s="9" customFormat="1" ht="30" hidden="1" customHeight="1">
      <c r="A170" s="17">
        <f t="shared" si="3"/>
        <v>158</v>
      </c>
      <c r="B170" s="16" t="s">
        <v>47</v>
      </c>
      <c r="C170" s="16" t="s">
        <v>46</v>
      </c>
      <c r="D170" s="16" t="s">
        <v>45</v>
      </c>
      <c r="E170" s="13" t="s">
        <v>18</v>
      </c>
      <c r="F170" s="12">
        <v>12</v>
      </c>
      <c r="H170" s="11" t="s">
        <v>17</v>
      </c>
      <c r="I170" s="16" t="s">
        <v>34</v>
      </c>
      <c r="J170" s="10" t="s">
        <v>44</v>
      </c>
    </row>
    <row r="171" spans="1:10" s="9" customFormat="1" ht="30" hidden="1" customHeight="1">
      <c r="A171" s="17">
        <f t="shared" si="3"/>
        <v>159</v>
      </c>
      <c r="B171" s="16" t="s">
        <v>43</v>
      </c>
      <c r="C171" s="16" t="s">
        <v>42</v>
      </c>
      <c r="E171" s="13" t="s">
        <v>18</v>
      </c>
      <c r="F171" s="12">
        <v>1</v>
      </c>
      <c r="H171" s="11" t="s">
        <v>17</v>
      </c>
      <c r="I171" s="16" t="s">
        <v>34</v>
      </c>
      <c r="J171" s="16" t="s">
        <v>37</v>
      </c>
    </row>
    <row r="172" spans="1:10" s="9" customFormat="1" ht="30" hidden="1" customHeight="1">
      <c r="A172" s="17">
        <f t="shared" si="3"/>
        <v>160</v>
      </c>
      <c r="B172" s="16" t="s">
        <v>41</v>
      </c>
      <c r="C172" s="16" t="s">
        <v>40</v>
      </c>
      <c r="E172" s="13" t="s">
        <v>18</v>
      </c>
      <c r="F172" s="12">
        <v>1</v>
      </c>
      <c r="H172" s="11" t="s">
        <v>17</v>
      </c>
      <c r="I172" s="16" t="s">
        <v>34</v>
      </c>
      <c r="J172" s="16" t="s">
        <v>39</v>
      </c>
    </row>
    <row r="173" spans="1:10" s="9" customFormat="1" ht="30" hidden="1" customHeight="1">
      <c r="A173" s="17">
        <f t="shared" si="3"/>
        <v>161</v>
      </c>
      <c r="B173" s="16" t="s">
        <v>38</v>
      </c>
      <c r="C173" s="16" t="s">
        <v>35</v>
      </c>
      <c r="E173" s="13" t="s">
        <v>18</v>
      </c>
      <c r="F173" s="12">
        <v>18</v>
      </c>
      <c r="H173" s="11" t="s">
        <v>17</v>
      </c>
      <c r="I173" s="16" t="s">
        <v>34</v>
      </c>
      <c r="J173" s="16" t="s">
        <v>37</v>
      </c>
    </row>
    <row r="174" spans="1:10" s="9" customFormat="1" ht="30" hidden="1" customHeight="1">
      <c r="A174" s="17">
        <f t="shared" si="3"/>
        <v>162</v>
      </c>
      <c r="B174" s="16" t="s">
        <v>36</v>
      </c>
      <c r="C174" s="16" t="s">
        <v>35</v>
      </c>
      <c r="E174" s="13" t="s">
        <v>18</v>
      </c>
      <c r="F174" s="12">
        <v>5</v>
      </c>
      <c r="H174" s="11" t="s">
        <v>17</v>
      </c>
      <c r="I174" s="16" t="s">
        <v>34</v>
      </c>
      <c r="J174" s="16" t="s">
        <v>33</v>
      </c>
    </row>
    <row r="175" spans="1:10" s="9" customFormat="1" ht="30" hidden="1" customHeight="1">
      <c r="A175" s="17">
        <f t="shared" si="3"/>
        <v>163</v>
      </c>
      <c r="B175" s="16" t="s">
        <v>691</v>
      </c>
      <c r="C175" s="16" t="s">
        <v>32</v>
      </c>
      <c r="E175" s="13" t="s">
        <v>18</v>
      </c>
      <c r="F175" s="12">
        <v>3</v>
      </c>
      <c r="H175" s="11" t="s">
        <v>17</v>
      </c>
      <c r="J175" s="16" t="s">
        <v>25</v>
      </c>
    </row>
    <row r="176" spans="1:10" s="9" customFormat="1" ht="30" hidden="1" customHeight="1">
      <c r="A176" s="17">
        <f t="shared" si="3"/>
        <v>164</v>
      </c>
      <c r="B176" s="16" t="s">
        <v>31</v>
      </c>
      <c r="C176" s="16" t="s">
        <v>30</v>
      </c>
      <c r="E176" s="13" t="s">
        <v>18</v>
      </c>
      <c r="F176" s="12">
        <v>1</v>
      </c>
      <c r="H176" s="11" t="s">
        <v>17</v>
      </c>
      <c r="J176" s="16" t="s">
        <v>25</v>
      </c>
    </row>
    <row r="177" spans="1:10" s="9" customFormat="1" ht="30" hidden="1" customHeight="1">
      <c r="A177" s="17">
        <f t="shared" si="3"/>
        <v>165</v>
      </c>
      <c r="B177" s="16" t="s">
        <v>29</v>
      </c>
      <c r="C177" s="16" t="s">
        <v>28</v>
      </c>
      <c r="D177" s="16"/>
      <c r="E177" s="13" t="s">
        <v>18</v>
      </c>
      <c r="F177" s="12">
        <v>1</v>
      </c>
      <c r="H177" s="11" t="s">
        <v>17</v>
      </c>
      <c r="J177" s="16" t="s">
        <v>25</v>
      </c>
    </row>
    <row r="178" spans="1:10" s="9" customFormat="1" ht="30" hidden="1" customHeight="1">
      <c r="A178" s="17">
        <f t="shared" si="3"/>
        <v>166</v>
      </c>
      <c r="B178" s="16" t="s">
        <v>27</v>
      </c>
      <c r="C178" s="16" t="s">
        <v>26</v>
      </c>
      <c r="D178" s="16"/>
      <c r="E178" s="13" t="s">
        <v>18</v>
      </c>
      <c r="F178" s="12">
        <v>1</v>
      </c>
      <c r="H178" s="11" t="s">
        <v>17</v>
      </c>
      <c r="J178" s="16" t="s">
        <v>25</v>
      </c>
    </row>
    <row r="179" spans="1:10" s="9" customFormat="1" ht="30" hidden="1" customHeight="1">
      <c r="A179" s="17">
        <f t="shared" si="3"/>
        <v>167</v>
      </c>
      <c r="B179" s="16" t="s">
        <v>24</v>
      </c>
      <c r="C179" s="16" t="s">
        <v>23</v>
      </c>
      <c r="E179" s="13" t="s">
        <v>18</v>
      </c>
      <c r="F179" s="12">
        <v>1</v>
      </c>
      <c r="H179" s="11" t="s">
        <v>17</v>
      </c>
      <c r="J179" s="16" t="s">
        <v>22</v>
      </c>
    </row>
    <row r="180" spans="1:10" s="9" customFormat="1" ht="30" hidden="1" customHeight="1">
      <c r="A180" s="17">
        <f t="shared" si="3"/>
        <v>168</v>
      </c>
      <c r="B180" s="112" t="s">
        <v>687</v>
      </c>
      <c r="C180" s="29" t="s">
        <v>685</v>
      </c>
      <c r="D180" s="113"/>
      <c r="E180" s="13" t="s">
        <v>18</v>
      </c>
      <c r="F180" s="12">
        <v>1</v>
      </c>
      <c r="G180" s="114"/>
      <c r="H180" s="11" t="s">
        <v>17</v>
      </c>
      <c r="J180" s="16" t="s">
        <v>686</v>
      </c>
    </row>
    <row r="181" spans="1:10" s="9" customFormat="1" ht="30" hidden="1" customHeight="1">
      <c r="A181" s="17">
        <f t="shared" si="3"/>
        <v>169</v>
      </c>
      <c r="B181" s="112" t="s">
        <v>699</v>
      </c>
      <c r="C181" s="29" t="s">
        <v>698</v>
      </c>
      <c r="D181" s="113"/>
      <c r="E181" s="13" t="s">
        <v>18</v>
      </c>
      <c r="F181" s="12">
        <v>1</v>
      </c>
      <c r="G181" s="114"/>
      <c r="H181" s="11" t="s">
        <v>17</v>
      </c>
      <c r="J181" s="16" t="s">
        <v>686</v>
      </c>
    </row>
    <row r="182" spans="1:10" s="9" customFormat="1" ht="30" hidden="1" customHeight="1">
      <c r="A182" s="17">
        <f t="shared" si="3"/>
        <v>170</v>
      </c>
      <c r="B182" s="112" t="s">
        <v>700</v>
      </c>
      <c r="C182" s="29" t="s">
        <v>698</v>
      </c>
      <c r="D182" s="113"/>
      <c r="E182" s="13" t="s">
        <v>18</v>
      </c>
      <c r="F182" s="12">
        <v>1</v>
      </c>
      <c r="G182" s="114"/>
      <c r="H182" s="11" t="s">
        <v>17</v>
      </c>
      <c r="J182" s="16" t="s">
        <v>686</v>
      </c>
    </row>
    <row r="183" spans="1:10" s="9" customFormat="1" ht="30" hidden="1" customHeight="1">
      <c r="A183" s="17">
        <f t="shared" si="3"/>
        <v>171</v>
      </c>
      <c r="B183" s="112" t="s">
        <v>701</v>
      </c>
      <c r="C183" s="29" t="s">
        <v>698</v>
      </c>
      <c r="D183" s="113"/>
      <c r="E183" s="13" t="s">
        <v>18</v>
      </c>
      <c r="F183" s="12">
        <v>1</v>
      </c>
      <c r="G183" s="114"/>
      <c r="H183" s="11" t="s">
        <v>17</v>
      </c>
      <c r="J183" s="16" t="s">
        <v>106</v>
      </c>
    </row>
    <row r="184" spans="1:10" s="9" customFormat="1" ht="30" hidden="1" customHeight="1">
      <c r="A184" s="17">
        <f t="shared" si="3"/>
        <v>172</v>
      </c>
      <c r="B184" s="112" t="s">
        <v>660</v>
      </c>
      <c r="C184" s="29" t="s">
        <v>698</v>
      </c>
      <c r="D184" s="113"/>
      <c r="E184" s="13" t="s">
        <v>18</v>
      </c>
      <c r="F184" s="12">
        <v>1</v>
      </c>
      <c r="G184" s="114"/>
      <c r="H184" s="11" t="s">
        <v>17</v>
      </c>
      <c r="J184" s="16" t="s">
        <v>119</v>
      </c>
    </row>
    <row r="185" spans="1:10" s="9" customFormat="1" ht="30" hidden="1" customHeight="1">
      <c r="A185" s="17">
        <f t="shared" si="3"/>
        <v>173</v>
      </c>
      <c r="B185" s="112" t="s">
        <v>704</v>
      </c>
      <c r="C185" s="132">
        <v>2466546858</v>
      </c>
      <c r="D185" s="113"/>
      <c r="E185" s="13" t="s">
        <v>18</v>
      </c>
      <c r="F185" s="12">
        <v>1</v>
      </c>
      <c r="G185" s="114"/>
      <c r="H185" s="11" t="s">
        <v>17</v>
      </c>
      <c r="J185" s="16" t="s">
        <v>686</v>
      </c>
    </row>
    <row r="186" spans="1:10" s="9" customFormat="1" ht="30" hidden="1" customHeight="1">
      <c r="A186" s="17">
        <f t="shared" si="3"/>
        <v>174</v>
      </c>
      <c r="B186" s="112" t="s">
        <v>702</v>
      </c>
      <c r="C186" s="132">
        <v>964755269</v>
      </c>
      <c r="D186" s="113"/>
      <c r="E186" s="13" t="s">
        <v>18</v>
      </c>
      <c r="F186" s="12">
        <v>1</v>
      </c>
      <c r="G186" s="114"/>
      <c r="H186" s="11" t="s">
        <v>17</v>
      </c>
      <c r="J186" s="16" t="s">
        <v>686</v>
      </c>
    </row>
    <row r="187" spans="1:10" s="9" customFormat="1" ht="30" hidden="1" customHeight="1">
      <c r="A187" s="17">
        <f t="shared" si="3"/>
        <v>175</v>
      </c>
      <c r="B187" s="112" t="s">
        <v>703</v>
      </c>
      <c r="C187" s="132">
        <v>965513189</v>
      </c>
      <c r="D187" s="113"/>
      <c r="E187" s="13" t="s">
        <v>18</v>
      </c>
      <c r="F187" s="12">
        <v>1</v>
      </c>
      <c r="G187" s="114"/>
      <c r="H187" s="11" t="s">
        <v>17</v>
      </c>
      <c r="J187" s="16" t="s">
        <v>106</v>
      </c>
    </row>
    <row r="188" spans="1:10" s="9" customFormat="1" ht="30" hidden="1" customHeight="1">
      <c r="A188" s="17">
        <f t="shared" si="3"/>
        <v>176</v>
      </c>
      <c r="B188" s="112" t="s">
        <v>695</v>
      </c>
      <c r="C188" s="132">
        <v>966298069</v>
      </c>
      <c r="D188" s="113"/>
      <c r="E188" s="13" t="s">
        <v>18</v>
      </c>
      <c r="F188" s="12">
        <v>1</v>
      </c>
      <c r="G188" s="114"/>
      <c r="H188" s="11" t="s">
        <v>17</v>
      </c>
      <c r="J188" s="16" t="s">
        <v>119</v>
      </c>
    </row>
    <row r="189" spans="1:10" s="22" customFormat="1" ht="30" hidden="1" customHeight="1">
      <c r="A189" s="17">
        <f t="shared" si="3"/>
        <v>177</v>
      </c>
      <c r="B189" s="24"/>
      <c r="C189" s="24" t="s">
        <v>21</v>
      </c>
      <c r="E189" s="26" t="s">
        <v>18</v>
      </c>
      <c r="F189" s="111">
        <v>1</v>
      </c>
      <c r="H189" s="25" t="s">
        <v>17</v>
      </c>
      <c r="J189" s="24" t="s">
        <v>20</v>
      </c>
    </row>
    <row r="190" spans="1:10" s="115" customFormat="1" ht="30" hidden="1" customHeight="1">
      <c r="A190" s="17">
        <f t="shared" si="3"/>
        <v>178</v>
      </c>
      <c r="C190" s="115" t="s">
        <v>19</v>
      </c>
      <c r="D190" s="116"/>
      <c r="E190" s="28" t="s">
        <v>18</v>
      </c>
      <c r="F190" s="117">
        <v>1</v>
      </c>
      <c r="H190" s="118" t="s">
        <v>17</v>
      </c>
      <c r="J190" s="119" t="s">
        <v>16</v>
      </c>
    </row>
    <row r="191" spans="1:10" s="36" customFormat="1" ht="30" hidden="1" customHeight="1">
      <c r="A191" s="17">
        <f t="shared" si="3"/>
        <v>179</v>
      </c>
      <c r="B191" s="112" t="s">
        <v>688</v>
      </c>
      <c r="C191" s="29" t="s">
        <v>689</v>
      </c>
      <c r="D191" s="120"/>
      <c r="E191" s="13" t="s">
        <v>18</v>
      </c>
      <c r="F191" s="121">
        <v>1</v>
      </c>
      <c r="H191" s="19" t="s">
        <v>17</v>
      </c>
      <c r="J191" s="122" t="s">
        <v>176</v>
      </c>
    </row>
    <row r="192" spans="1:10" s="36" customFormat="1" ht="30" hidden="1" customHeight="1">
      <c r="A192" s="15">
        <f t="shared" si="3"/>
        <v>180</v>
      </c>
      <c r="B192" s="123" t="s">
        <v>692</v>
      </c>
      <c r="C192" s="29" t="s">
        <v>693</v>
      </c>
      <c r="D192" s="120"/>
      <c r="E192" s="13" t="s">
        <v>18</v>
      </c>
      <c r="F192" s="121">
        <v>1</v>
      </c>
      <c r="H192" s="19" t="s">
        <v>17</v>
      </c>
      <c r="J192" s="124" t="s">
        <v>694</v>
      </c>
    </row>
    <row r="193" spans="1:10" s="36" customFormat="1" ht="30" hidden="1" customHeight="1">
      <c r="A193" s="15">
        <f t="shared" si="3"/>
        <v>181</v>
      </c>
      <c r="B193" s="123" t="s">
        <v>705</v>
      </c>
      <c r="C193" s="29" t="s">
        <v>710</v>
      </c>
      <c r="D193" s="120"/>
      <c r="E193" s="13" t="s">
        <v>18</v>
      </c>
      <c r="F193" s="121">
        <v>1</v>
      </c>
      <c r="H193" s="19" t="s">
        <v>17</v>
      </c>
      <c r="J193" s="124" t="s">
        <v>686</v>
      </c>
    </row>
    <row r="194" spans="1:10" s="36" customFormat="1" ht="30" hidden="1" customHeight="1">
      <c r="A194" s="15">
        <f t="shared" si="3"/>
        <v>182</v>
      </c>
      <c r="B194" s="123" t="s">
        <v>706</v>
      </c>
      <c r="C194" s="29" t="s">
        <v>710</v>
      </c>
      <c r="D194" s="120"/>
      <c r="E194" s="13" t="s">
        <v>18</v>
      </c>
      <c r="F194" s="121">
        <v>1</v>
      </c>
      <c r="H194" s="19" t="s">
        <v>17</v>
      </c>
      <c r="J194" s="124" t="s">
        <v>686</v>
      </c>
    </row>
    <row r="195" spans="1:10" s="36" customFormat="1" ht="30" hidden="1" customHeight="1">
      <c r="A195" s="15">
        <f t="shared" si="3"/>
        <v>183</v>
      </c>
      <c r="B195" s="123" t="s">
        <v>707</v>
      </c>
      <c r="C195" s="29" t="s">
        <v>710</v>
      </c>
      <c r="D195" s="120"/>
      <c r="E195" s="13" t="s">
        <v>18</v>
      </c>
      <c r="F195" s="121">
        <v>1</v>
      </c>
      <c r="H195" s="19" t="s">
        <v>17</v>
      </c>
      <c r="J195" s="124" t="s">
        <v>686</v>
      </c>
    </row>
    <row r="196" spans="1:10" s="36" customFormat="1" ht="30" hidden="1" customHeight="1">
      <c r="A196" s="15">
        <f t="shared" si="3"/>
        <v>184</v>
      </c>
      <c r="B196" s="123" t="s">
        <v>708</v>
      </c>
      <c r="C196" s="29" t="s">
        <v>710</v>
      </c>
      <c r="D196" s="120"/>
      <c r="E196" s="13" t="s">
        <v>18</v>
      </c>
      <c r="F196" s="121">
        <v>1</v>
      </c>
      <c r="H196" s="19" t="s">
        <v>17</v>
      </c>
      <c r="J196" s="124" t="s">
        <v>686</v>
      </c>
    </row>
    <row r="197" spans="1:10" s="36" customFormat="1" ht="30" hidden="1" customHeight="1">
      <c r="A197" s="15">
        <f t="shared" si="3"/>
        <v>185</v>
      </c>
      <c r="B197" s="123" t="s">
        <v>709</v>
      </c>
      <c r="C197" s="29" t="s">
        <v>710</v>
      </c>
      <c r="D197" s="120"/>
      <c r="E197" s="13" t="s">
        <v>18</v>
      </c>
      <c r="F197" s="121">
        <v>1</v>
      </c>
      <c r="H197" s="19" t="s">
        <v>17</v>
      </c>
      <c r="J197" s="124" t="s">
        <v>686</v>
      </c>
    </row>
    <row r="198" spans="1:10" s="36" customFormat="1" ht="30" hidden="1" customHeight="1">
      <c r="A198" s="15">
        <f t="shared" si="3"/>
        <v>186</v>
      </c>
      <c r="B198" s="123" t="s">
        <v>714</v>
      </c>
      <c r="C198" s="29" t="s">
        <v>716</v>
      </c>
      <c r="D198" s="120"/>
      <c r="E198" s="13" t="s">
        <v>18</v>
      </c>
      <c r="F198" s="121">
        <v>1</v>
      </c>
      <c r="H198" s="19" t="s">
        <v>17</v>
      </c>
      <c r="J198" s="124" t="s">
        <v>686</v>
      </c>
    </row>
    <row r="199" spans="1:10" s="36" customFormat="1" ht="30" hidden="1" customHeight="1">
      <c r="A199" s="15">
        <f t="shared" si="3"/>
        <v>187</v>
      </c>
      <c r="B199" s="123" t="s">
        <v>715</v>
      </c>
      <c r="C199" s="29" t="s">
        <v>716</v>
      </c>
      <c r="D199" s="120"/>
      <c r="E199" s="13" t="s">
        <v>18</v>
      </c>
      <c r="F199" s="121">
        <v>1</v>
      </c>
      <c r="H199" s="19" t="s">
        <v>17</v>
      </c>
      <c r="J199" s="124" t="s">
        <v>686</v>
      </c>
    </row>
    <row r="200" spans="1:10" s="36" customFormat="1" ht="30" customHeight="1">
      <c r="A200" s="15">
        <f t="shared" si="3"/>
        <v>188</v>
      </c>
      <c r="B200" s="123" t="s">
        <v>717</v>
      </c>
      <c r="C200" s="29" t="s">
        <v>723</v>
      </c>
      <c r="D200" s="120"/>
      <c r="E200" s="13" t="s">
        <v>18</v>
      </c>
      <c r="F200" s="121">
        <v>1</v>
      </c>
      <c r="H200" s="19" t="s">
        <v>17</v>
      </c>
      <c r="J200" s="124" t="s">
        <v>686</v>
      </c>
    </row>
    <row r="201" spans="1:10" s="36" customFormat="1" ht="30" customHeight="1">
      <c r="A201" s="15">
        <f t="shared" si="3"/>
        <v>189</v>
      </c>
      <c r="B201" s="123" t="s">
        <v>718</v>
      </c>
      <c r="C201" s="29" t="s">
        <v>723</v>
      </c>
      <c r="D201" s="120"/>
      <c r="E201" s="13" t="s">
        <v>18</v>
      </c>
      <c r="F201" s="121">
        <v>1</v>
      </c>
      <c r="H201" s="19" t="s">
        <v>17</v>
      </c>
      <c r="J201" s="124" t="s">
        <v>686</v>
      </c>
    </row>
    <row r="202" spans="1:10" s="36" customFormat="1" ht="30" customHeight="1">
      <c r="A202" s="15">
        <f t="shared" si="3"/>
        <v>190</v>
      </c>
      <c r="B202" s="123" t="s">
        <v>719</v>
      </c>
      <c r="C202" s="29" t="s">
        <v>723</v>
      </c>
      <c r="D202" s="120"/>
      <c r="E202" s="13" t="s">
        <v>18</v>
      </c>
      <c r="F202" s="121">
        <v>1</v>
      </c>
      <c r="H202" s="19" t="s">
        <v>17</v>
      </c>
      <c r="J202" s="124" t="s">
        <v>686</v>
      </c>
    </row>
    <row r="203" spans="1:10" s="36" customFormat="1" ht="30" customHeight="1">
      <c r="A203" s="15">
        <f t="shared" si="3"/>
        <v>191</v>
      </c>
      <c r="B203" s="123" t="s">
        <v>720</v>
      </c>
      <c r="C203" s="29" t="s">
        <v>723</v>
      </c>
      <c r="D203" s="120"/>
      <c r="E203" s="13" t="s">
        <v>18</v>
      </c>
      <c r="F203" s="121">
        <v>1</v>
      </c>
      <c r="H203" s="19" t="s">
        <v>17</v>
      </c>
      <c r="J203" s="124" t="s">
        <v>686</v>
      </c>
    </row>
    <row r="204" spans="1:10" s="36" customFormat="1" ht="30" customHeight="1">
      <c r="A204" s="15">
        <f t="shared" si="3"/>
        <v>192</v>
      </c>
      <c r="B204" s="123" t="s">
        <v>721</v>
      </c>
      <c r="C204" s="29" t="s">
        <v>723</v>
      </c>
      <c r="D204" s="120"/>
      <c r="E204" s="13" t="s">
        <v>18</v>
      </c>
      <c r="F204" s="121">
        <v>1</v>
      </c>
      <c r="H204" s="19" t="s">
        <v>17</v>
      </c>
      <c r="J204" s="124" t="s">
        <v>686</v>
      </c>
    </row>
    <row r="205" spans="1:10" s="36" customFormat="1" ht="30" customHeight="1">
      <c r="A205" s="15">
        <f t="shared" si="3"/>
        <v>193</v>
      </c>
      <c r="B205" s="123" t="s">
        <v>722</v>
      </c>
      <c r="C205" s="29" t="s">
        <v>723</v>
      </c>
      <c r="D205" s="120"/>
      <c r="E205" s="13" t="s">
        <v>18</v>
      </c>
      <c r="F205" s="121">
        <v>1</v>
      </c>
      <c r="H205" s="19" t="s">
        <v>17</v>
      </c>
      <c r="J205" s="124" t="s">
        <v>686</v>
      </c>
    </row>
    <row r="206" spans="1:10" hidden="1">
      <c r="C206" s="29"/>
      <c r="I206" s="412"/>
      <c r="J206" s="412"/>
    </row>
    <row r="207" spans="1:10" hidden="1"/>
    <row r="208" spans="1:10" hidden="1"/>
    <row r="209" spans="1:10" ht="25.15" hidden="1" customHeight="1">
      <c r="A209" s="15">
        <v>1</v>
      </c>
      <c r="B209" s="11" t="s">
        <v>383</v>
      </c>
      <c r="C209" s="11" t="s">
        <v>384</v>
      </c>
      <c r="D209" s="64" t="s">
        <v>385</v>
      </c>
      <c r="E209" s="15" t="s">
        <v>18</v>
      </c>
      <c r="F209" s="15">
        <v>1</v>
      </c>
      <c r="G209" s="11" t="s">
        <v>386</v>
      </c>
      <c r="H209" s="11" t="s">
        <v>387</v>
      </c>
      <c r="I209" s="11" t="s">
        <v>272</v>
      </c>
      <c r="J209" s="55"/>
    </row>
    <row r="210" spans="1:10" ht="25.15" hidden="1" customHeight="1">
      <c r="A210" s="15">
        <f>A209+1</f>
        <v>2</v>
      </c>
      <c r="B210" s="11" t="s">
        <v>388</v>
      </c>
      <c r="C210" s="11" t="s">
        <v>389</v>
      </c>
      <c r="D210" s="64" t="s">
        <v>390</v>
      </c>
      <c r="E210" s="15" t="s">
        <v>18</v>
      </c>
      <c r="F210" s="15">
        <v>1</v>
      </c>
      <c r="G210" s="11" t="s">
        <v>386</v>
      </c>
      <c r="H210" s="11" t="s">
        <v>387</v>
      </c>
      <c r="I210" s="11" t="s">
        <v>272</v>
      </c>
      <c r="J210" s="55"/>
    </row>
    <row r="211" spans="1:10" ht="25.15" hidden="1" customHeight="1">
      <c r="A211" s="15">
        <f t="shared" ref="A211:A274" si="4">A210+1</f>
        <v>3</v>
      </c>
      <c r="B211" s="11" t="s">
        <v>391</v>
      </c>
      <c r="C211" s="11" t="s">
        <v>392</v>
      </c>
      <c r="D211" s="64"/>
      <c r="E211" s="15" t="s">
        <v>18</v>
      </c>
      <c r="F211" s="15">
        <v>1</v>
      </c>
      <c r="G211" s="11" t="s">
        <v>386</v>
      </c>
      <c r="H211" s="11" t="s">
        <v>387</v>
      </c>
      <c r="I211" s="11" t="s">
        <v>272</v>
      </c>
      <c r="J211" s="55"/>
    </row>
    <row r="212" spans="1:10" ht="25.15" hidden="1" customHeight="1">
      <c r="A212" s="15">
        <f t="shared" si="4"/>
        <v>4</v>
      </c>
      <c r="B212" s="11" t="s">
        <v>393</v>
      </c>
      <c r="C212" s="11" t="s">
        <v>147</v>
      </c>
      <c r="D212" s="64" t="s">
        <v>394</v>
      </c>
      <c r="E212" s="15" t="s">
        <v>18</v>
      </c>
      <c r="F212" s="15">
        <v>1</v>
      </c>
      <c r="G212" s="11" t="s">
        <v>386</v>
      </c>
      <c r="H212" s="11" t="s">
        <v>387</v>
      </c>
      <c r="I212" s="11" t="s">
        <v>272</v>
      </c>
      <c r="J212" s="55"/>
    </row>
    <row r="213" spans="1:10" ht="25.15" hidden="1" customHeight="1">
      <c r="A213" s="15">
        <f t="shared" si="4"/>
        <v>5</v>
      </c>
      <c r="B213" s="11" t="s">
        <v>395</v>
      </c>
      <c r="C213" s="11" t="s">
        <v>396</v>
      </c>
      <c r="D213" s="64"/>
      <c r="E213" s="15" t="s">
        <v>18</v>
      </c>
      <c r="F213" s="15">
        <v>1</v>
      </c>
      <c r="G213" s="11" t="s">
        <v>386</v>
      </c>
      <c r="H213" s="11" t="s">
        <v>387</v>
      </c>
      <c r="I213" s="11" t="s">
        <v>272</v>
      </c>
      <c r="J213" s="55"/>
    </row>
    <row r="214" spans="1:10" ht="25.15" hidden="1" customHeight="1">
      <c r="A214" s="15">
        <f t="shared" si="4"/>
        <v>6</v>
      </c>
      <c r="B214" s="11" t="s">
        <v>397</v>
      </c>
      <c r="C214" s="11" t="s">
        <v>141</v>
      </c>
      <c r="D214" s="64"/>
      <c r="E214" s="15" t="s">
        <v>18</v>
      </c>
      <c r="F214" s="15">
        <v>2</v>
      </c>
      <c r="G214" s="11" t="s">
        <v>386</v>
      </c>
      <c r="H214" s="11" t="s">
        <v>387</v>
      </c>
      <c r="I214" s="11" t="s">
        <v>272</v>
      </c>
      <c r="J214" s="55"/>
    </row>
    <row r="215" spans="1:10" ht="25.15" hidden="1" customHeight="1">
      <c r="A215" s="15">
        <f t="shared" si="4"/>
        <v>7</v>
      </c>
      <c r="B215" s="11" t="s">
        <v>398</v>
      </c>
      <c r="C215" s="11" t="s">
        <v>138</v>
      </c>
      <c r="D215" s="64"/>
      <c r="E215" s="15" t="s">
        <v>18</v>
      </c>
      <c r="F215" s="15">
        <v>2</v>
      </c>
      <c r="G215" s="11" t="s">
        <v>386</v>
      </c>
      <c r="H215" s="11" t="s">
        <v>387</v>
      </c>
      <c r="I215" s="11" t="s">
        <v>272</v>
      </c>
      <c r="J215" s="55"/>
    </row>
    <row r="216" spans="1:10" ht="25.15" hidden="1" customHeight="1">
      <c r="A216" s="15">
        <f t="shared" si="4"/>
        <v>8</v>
      </c>
      <c r="B216" s="11" t="s">
        <v>399</v>
      </c>
      <c r="C216" s="11" t="s">
        <v>400</v>
      </c>
      <c r="D216" s="64" t="s">
        <v>401</v>
      </c>
      <c r="E216" s="15" t="s">
        <v>18</v>
      </c>
      <c r="F216" s="15">
        <v>1</v>
      </c>
      <c r="G216" s="11" t="s">
        <v>386</v>
      </c>
      <c r="H216" s="11" t="s">
        <v>387</v>
      </c>
      <c r="I216" s="11" t="s">
        <v>272</v>
      </c>
      <c r="J216" s="55" t="s">
        <v>300</v>
      </c>
    </row>
    <row r="217" spans="1:10" ht="25.15" hidden="1" customHeight="1">
      <c r="A217" s="15">
        <f t="shared" si="4"/>
        <v>9</v>
      </c>
      <c r="B217" s="11" t="s">
        <v>402</v>
      </c>
      <c r="C217" s="11" t="s">
        <v>30</v>
      </c>
      <c r="D217" s="64"/>
      <c r="E217" s="15" t="s">
        <v>18</v>
      </c>
      <c r="F217" s="15">
        <v>1</v>
      </c>
      <c r="G217" s="11" t="s">
        <v>386</v>
      </c>
      <c r="H217" s="11" t="s">
        <v>387</v>
      </c>
      <c r="I217" s="11" t="s">
        <v>272</v>
      </c>
      <c r="J217" s="55"/>
    </row>
    <row r="218" spans="1:10" ht="25.15" hidden="1" customHeight="1">
      <c r="A218" s="15">
        <f t="shared" si="4"/>
        <v>10</v>
      </c>
      <c r="B218" s="11" t="s">
        <v>403</v>
      </c>
      <c r="C218" s="11" t="s">
        <v>404</v>
      </c>
      <c r="D218" s="64"/>
      <c r="E218" s="15" t="s">
        <v>405</v>
      </c>
      <c r="F218" s="15">
        <v>4</v>
      </c>
      <c r="G218" s="11" t="s">
        <v>386</v>
      </c>
      <c r="H218" s="11" t="s">
        <v>387</v>
      </c>
      <c r="I218" s="11" t="s">
        <v>272</v>
      </c>
      <c r="J218" s="55" t="s">
        <v>406</v>
      </c>
    </row>
    <row r="219" spans="1:10" ht="25.15" customHeight="1">
      <c r="A219" s="15">
        <f t="shared" si="4"/>
        <v>11</v>
      </c>
      <c r="B219" s="11" t="s">
        <v>407</v>
      </c>
      <c r="C219" s="11" t="s">
        <v>408</v>
      </c>
      <c r="D219" s="64" t="s">
        <v>409</v>
      </c>
      <c r="E219" s="15" t="s">
        <v>410</v>
      </c>
      <c r="F219" s="15">
        <v>6</v>
      </c>
      <c r="G219" s="11" t="s">
        <v>386</v>
      </c>
      <c r="H219" s="11" t="s">
        <v>387</v>
      </c>
      <c r="I219" s="11" t="s">
        <v>272</v>
      </c>
      <c r="J219" s="55"/>
    </row>
    <row r="220" spans="1:10" ht="25.15" customHeight="1">
      <c r="A220" s="15">
        <f t="shared" si="4"/>
        <v>12</v>
      </c>
      <c r="B220" s="11" t="s">
        <v>411</v>
      </c>
      <c r="C220" s="11" t="s">
        <v>408</v>
      </c>
      <c r="D220" s="64" t="s">
        <v>412</v>
      </c>
      <c r="E220" s="15" t="s">
        <v>410</v>
      </c>
      <c r="F220" s="15">
        <v>1</v>
      </c>
      <c r="G220" s="11" t="s">
        <v>386</v>
      </c>
      <c r="H220" s="11" t="s">
        <v>387</v>
      </c>
      <c r="I220" s="11" t="s">
        <v>272</v>
      </c>
      <c r="J220" s="55"/>
    </row>
    <row r="221" spans="1:10" ht="25.15" hidden="1" customHeight="1">
      <c r="A221" s="15">
        <f t="shared" si="4"/>
        <v>13</v>
      </c>
      <c r="B221" s="11" t="s">
        <v>413</v>
      </c>
      <c r="C221" s="11" t="s">
        <v>414</v>
      </c>
      <c r="D221" s="64"/>
      <c r="E221" s="15" t="s">
        <v>18</v>
      </c>
      <c r="F221" s="15">
        <v>6</v>
      </c>
      <c r="G221" s="11" t="s">
        <v>386</v>
      </c>
      <c r="H221" s="11" t="s">
        <v>387</v>
      </c>
      <c r="I221" s="11" t="s">
        <v>272</v>
      </c>
      <c r="J221" s="55"/>
    </row>
    <row r="222" spans="1:10" s="41" customFormat="1" ht="30" hidden="1" customHeight="1">
      <c r="A222" s="15">
        <f t="shared" si="4"/>
        <v>14</v>
      </c>
      <c r="B222" s="19" t="s">
        <v>415</v>
      </c>
      <c r="C222" s="46" t="s">
        <v>416</v>
      </c>
      <c r="D222" s="46" t="s">
        <v>417</v>
      </c>
      <c r="E222" s="13" t="s">
        <v>18</v>
      </c>
      <c r="F222" s="13">
        <v>1</v>
      </c>
      <c r="G222" s="19" t="s">
        <v>386</v>
      </c>
      <c r="H222" s="19" t="s">
        <v>387</v>
      </c>
      <c r="I222" s="19" t="s">
        <v>272</v>
      </c>
      <c r="J222" s="42" t="s">
        <v>406</v>
      </c>
    </row>
    <row r="223" spans="1:10" s="41" customFormat="1" ht="61.5" hidden="1" customHeight="1">
      <c r="A223" s="15">
        <f t="shared" si="4"/>
        <v>15</v>
      </c>
      <c r="B223" s="19" t="s">
        <v>418</v>
      </c>
      <c r="C223" s="19" t="s">
        <v>419</v>
      </c>
      <c r="D223" s="46" t="s">
        <v>420</v>
      </c>
      <c r="E223" s="13" t="s">
        <v>18</v>
      </c>
      <c r="F223" s="13">
        <v>1</v>
      </c>
      <c r="G223" s="19" t="s">
        <v>386</v>
      </c>
      <c r="H223" s="19" t="s">
        <v>387</v>
      </c>
      <c r="I223" s="19" t="s">
        <v>421</v>
      </c>
      <c r="J223" s="42" t="s">
        <v>422</v>
      </c>
    </row>
    <row r="224" spans="1:10" s="41" customFormat="1" ht="42.75" hidden="1" customHeight="1">
      <c r="A224" s="15">
        <f t="shared" si="4"/>
        <v>16</v>
      </c>
      <c r="B224" s="19" t="s">
        <v>423</v>
      </c>
      <c r="C224" s="46" t="s">
        <v>424</v>
      </c>
      <c r="D224" s="46" t="s">
        <v>425</v>
      </c>
      <c r="E224" s="13" t="s">
        <v>18</v>
      </c>
      <c r="F224" s="13">
        <v>1</v>
      </c>
      <c r="G224" s="19" t="s">
        <v>386</v>
      </c>
      <c r="H224" s="19" t="s">
        <v>387</v>
      </c>
      <c r="I224" s="19" t="s">
        <v>421</v>
      </c>
      <c r="J224" s="42" t="s">
        <v>426</v>
      </c>
    </row>
    <row r="225" spans="1:10" s="41" customFormat="1" ht="36.75" hidden="1" customHeight="1">
      <c r="A225" s="15">
        <f t="shared" si="4"/>
        <v>17</v>
      </c>
      <c r="B225" s="19" t="s">
        <v>427</v>
      </c>
      <c r="C225" s="46" t="s">
        <v>428</v>
      </c>
      <c r="D225" s="46" t="s">
        <v>429</v>
      </c>
      <c r="E225" s="13" t="s">
        <v>18</v>
      </c>
      <c r="F225" s="13">
        <v>1</v>
      </c>
      <c r="G225" s="19" t="s">
        <v>386</v>
      </c>
      <c r="H225" s="19" t="s">
        <v>387</v>
      </c>
      <c r="I225" s="19" t="s">
        <v>421</v>
      </c>
      <c r="J225" s="42"/>
    </row>
    <row r="226" spans="1:10" s="41" customFormat="1" ht="39.75" hidden="1" customHeight="1">
      <c r="A226" s="15">
        <f t="shared" si="4"/>
        <v>18</v>
      </c>
      <c r="B226" s="19" t="s">
        <v>430</v>
      </c>
      <c r="C226" s="46" t="s">
        <v>431</v>
      </c>
      <c r="D226" s="46" t="s">
        <v>432</v>
      </c>
      <c r="E226" s="13" t="s">
        <v>18</v>
      </c>
      <c r="F226" s="13">
        <v>1</v>
      </c>
      <c r="G226" s="19" t="s">
        <v>386</v>
      </c>
      <c r="H226" s="19" t="s">
        <v>387</v>
      </c>
      <c r="I226" s="19" t="s">
        <v>421</v>
      </c>
      <c r="J226" s="44" t="s">
        <v>433</v>
      </c>
    </row>
    <row r="227" spans="1:10" s="41" customFormat="1" ht="39.75" hidden="1" customHeight="1">
      <c r="A227" s="15">
        <f t="shared" si="4"/>
        <v>19</v>
      </c>
      <c r="B227" s="19" t="s">
        <v>434</v>
      </c>
      <c r="C227" s="46" t="s">
        <v>431</v>
      </c>
      <c r="D227" s="46" t="s">
        <v>435</v>
      </c>
      <c r="E227" s="13" t="s">
        <v>18</v>
      </c>
      <c r="F227" s="13">
        <v>1</v>
      </c>
      <c r="G227" s="19" t="s">
        <v>386</v>
      </c>
      <c r="H227" s="19" t="s">
        <v>387</v>
      </c>
      <c r="I227" s="19" t="s">
        <v>421</v>
      </c>
      <c r="J227" s="44" t="s">
        <v>436</v>
      </c>
    </row>
    <row r="228" spans="1:10" s="41" customFormat="1" ht="25.15" hidden="1" customHeight="1">
      <c r="A228" s="15">
        <f t="shared" si="4"/>
        <v>20</v>
      </c>
      <c r="B228" s="19" t="s">
        <v>437</v>
      </c>
      <c r="C228" s="19" t="s">
        <v>147</v>
      </c>
      <c r="D228" s="46" t="s">
        <v>438</v>
      </c>
      <c r="E228" s="13" t="s">
        <v>18</v>
      </c>
      <c r="F228" s="13">
        <v>1</v>
      </c>
      <c r="G228" s="19" t="s">
        <v>386</v>
      </c>
      <c r="H228" s="19" t="s">
        <v>387</v>
      </c>
      <c r="I228" s="19" t="s">
        <v>421</v>
      </c>
      <c r="J228" s="42"/>
    </row>
    <row r="229" spans="1:10" s="41" customFormat="1" ht="25.15" hidden="1" customHeight="1">
      <c r="A229" s="15">
        <f t="shared" si="4"/>
        <v>21</v>
      </c>
      <c r="B229" s="19" t="s">
        <v>439</v>
      </c>
      <c r="C229" s="19" t="s">
        <v>143</v>
      </c>
      <c r="D229" s="46"/>
      <c r="E229" s="13" t="s">
        <v>18</v>
      </c>
      <c r="F229" s="13">
        <v>1</v>
      </c>
      <c r="G229" s="19" t="s">
        <v>386</v>
      </c>
      <c r="H229" s="19" t="s">
        <v>387</v>
      </c>
      <c r="I229" s="19" t="s">
        <v>421</v>
      </c>
      <c r="J229" s="42"/>
    </row>
    <row r="230" spans="1:10" s="41" customFormat="1" ht="25.15" hidden="1" customHeight="1">
      <c r="A230" s="15">
        <f t="shared" si="4"/>
        <v>22</v>
      </c>
      <c r="B230" s="19" t="s">
        <v>440</v>
      </c>
      <c r="C230" s="19" t="s">
        <v>32</v>
      </c>
      <c r="D230" s="46"/>
      <c r="E230" s="13" t="s">
        <v>18</v>
      </c>
      <c r="F230" s="13">
        <v>1</v>
      </c>
      <c r="G230" s="19" t="s">
        <v>386</v>
      </c>
      <c r="H230" s="19" t="s">
        <v>387</v>
      </c>
      <c r="I230" s="19" t="s">
        <v>421</v>
      </c>
      <c r="J230" s="42"/>
    </row>
    <row r="231" spans="1:10" s="41" customFormat="1" ht="25.15" hidden="1" customHeight="1">
      <c r="A231" s="15">
        <f t="shared" si="4"/>
        <v>23</v>
      </c>
      <c r="B231" s="19" t="s">
        <v>441</v>
      </c>
      <c r="C231" s="19" t="s">
        <v>442</v>
      </c>
      <c r="D231" s="46" t="s">
        <v>443</v>
      </c>
      <c r="E231" s="13" t="s">
        <v>18</v>
      </c>
      <c r="F231" s="13">
        <v>1</v>
      </c>
      <c r="G231" s="19" t="s">
        <v>386</v>
      </c>
      <c r="H231" s="19" t="s">
        <v>387</v>
      </c>
      <c r="I231" s="19" t="s">
        <v>421</v>
      </c>
      <c r="J231" s="42"/>
    </row>
    <row r="232" spans="1:10" s="41" customFormat="1" ht="25.15" hidden="1" customHeight="1">
      <c r="A232" s="15">
        <f t="shared" si="4"/>
        <v>24</v>
      </c>
      <c r="B232" s="19" t="s">
        <v>444</v>
      </c>
      <c r="C232" s="19" t="s">
        <v>445</v>
      </c>
      <c r="D232" s="19"/>
      <c r="E232" s="13" t="s">
        <v>18</v>
      </c>
      <c r="F232" s="13">
        <v>1</v>
      </c>
      <c r="G232" s="19" t="s">
        <v>386</v>
      </c>
      <c r="H232" s="19" t="s">
        <v>387</v>
      </c>
      <c r="I232" s="19" t="s">
        <v>421</v>
      </c>
      <c r="J232" s="42"/>
    </row>
    <row r="233" spans="1:10" s="41" customFormat="1" ht="61.5" hidden="1" customHeight="1">
      <c r="A233" s="15">
        <f t="shared" si="4"/>
        <v>25</v>
      </c>
      <c r="B233" s="19" t="s">
        <v>446</v>
      </c>
      <c r="C233" s="19" t="s">
        <v>419</v>
      </c>
      <c r="D233" s="46" t="s">
        <v>447</v>
      </c>
      <c r="E233" s="13" t="s">
        <v>18</v>
      </c>
      <c r="F233" s="13">
        <v>1</v>
      </c>
      <c r="G233" s="19" t="s">
        <v>386</v>
      </c>
      <c r="H233" s="19" t="s">
        <v>387</v>
      </c>
      <c r="I233" s="19" t="s">
        <v>448</v>
      </c>
      <c r="J233" s="44" t="s">
        <v>449</v>
      </c>
    </row>
    <row r="234" spans="1:10" s="41" customFormat="1" ht="42.75" hidden="1" customHeight="1">
      <c r="A234" s="15">
        <f t="shared" si="4"/>
        <v>26</v>
      </c>
      <c r="B234" s="19" t="s">
        <v>450</v>
      </c>
      <c r="C234" s="46" t="s">
        <v>451</v>
      </c>
      <c r="D234" s="46" t="s">
        <v>452</v>
      </c>
      <c r="E234" s="13" t="s">
        <v>18</v>
      </c>
      <c r="F234" s="13">
        <v>1</v>
      </c>
      <c r="G234" s="19" t="s">
        <v>386</v>
      </c>
      <c r="H234" s="19" t="s">
        <v>387</v>
      </c>
      <c r="I234" s="19" t="s">
        <v>448</v>
      </c>
      <c r="J234" s="42"/>
    </row>
    <row r="235" spans="1:10" s="41" customFormat="1" ht="36.75" hidden="1" customHeight="1">
      <c r="A235" s="15">
        <f t="shared" si="4"/>
        <v>27</v>
      </c>
      <c r="B235" s="19" t="s">
        <v>453</v>
      </c>
      <c r="C235" s="46" t="s">
        <v>454</v>
      </c>
      <c r="D235" s="46" t="s">
        <v>455</v>
      </c>
      <c r="E235" s="13" t="s">
        <v>18</v>
      </c>
      <c r="F235" s="13">
        <v>1</v>
      </c>
      <c r="G235" s="19" t="s">
        <v>386</v>
      </c>
      <c r="H235" s="19" t="s">
        <v>387</v>
      </c>
      <c r="I235" s="19" t="s">
        <v>448</v>
      </c>
      <c r="J235" s="42"/>
    </row>
    <row r="236" spans="1:10" s="41" customFormat="1" ht="39.75" hidden="1" customHeight="1">
      <c r="A236" s="15">
        <f t="shared" si="4"/>
        <v>28</v>
      </c>
      <c r="B236" s="19" t="s">
        <v>456</v>
      </c>
      <c r="C236" s="46" t="s">
        <v>431</v>
      </c>
      <c r="D236" s="46" t="s">
        <v>457</v>
      </c>
      <c r="E236" s="13" t="s">
        <v>18</v>
      </c>
      <c r="F236" s="13">
        <v>1</v>
      </c>
      <c r="G236" s="19" t="s">
        <v>386</v>
      </c>
      <c r="H236" s="19" t="s">
        <v>387</v>
      </c>
      <c r="I236" s="19" t="s">
        <v>448</v>
      </c>
      <c r="J236" s="42"/>
    </row>
    <row r="237" spans="1:10" s="41" customFormat="1" ht="25.15" hidden="1" customHeight="1">
      <c r="A237" s="15">
        <f t="shared" si="4"/>
        <v>29</v>
      </c>
      <c r="B237" s="19" t="s">
        <v>458</v>
      </c>
      <c r="C237" s="19" t="s">
        <v>147</v>
      </c>
      <c r="D237" s="46" t="s">
        <v>438</v>
      </c>
      <c r="E237" s="13" t="s">
        <v>18</v>
      </c>
      <c r="F237" s="13">
        <v>1</v>
      </c>
      <c r="G237" s="19" t="s">
        <v>386</v>
      </c>
      <c r="H237" s="19" t="s">
        <v>387</v>
      </c>
      <c r="I237" s="19" t="s">
        <v>448</v>
      </c>
      <c r="J237" s="42"/>
    </row>
    <row r="238" spans="1:10" s="41" customFormat="1" ht="25.15" hidden="1" customHeight="1">
      <c r="A238" s="15">
        <f t="shared" si="4"/>
        <v>30</v>
      </c>
      <c r="B238" s="19" t="s">
        <v>459</v>
      </c>
      <c r="C238" s="19" t="s">
        <v>143</v>
      </c>
      <c r="D238" s="46"/>
      <c r="E238" s="13" t="s">
        <v>18</v>
      </c>
      <c r="F238" s="13">
        <v>1</v>
      </c>
      <c r="G238" s="19" t="s">
        <v>386</v>
      </c>
      <c r="H238" s="19" t="s">
        <v>387</v>
      </c>
      <c r="I238" s="19" t="s">
        <v>448</v>
      </c>
      <c r="J238" s="42"/>
    </row>
    <row r="239" spans="1:10" s="41" customFormat="1" ht="25.15" hidden="1" customHeight="1">
      <c r="A239" s="15">
        <f t="shared" si="4"/>
        <v>31</v>
      </c>
      <c r="B239" s="19" t="s">
        <v>460</v>
      </c>
      <c r="C239" s="19" t="s">
        <v>32</v>
      </c>
      <c r="D239" s="46"/>
      <c r="E239" s="13" t="s">
        <v>18</v>
      </c>
      <c r="F239" s="13">
        <v>1</v>
      </c>
      <c r="G239" s="19" t="s">
        <v>386</v>
      </c>
      <c r="H239" s="19" t="s">
        <v>387</v>
      </c>
      <c r="I239" s="19" t="s">
        <v>448</v>
      </c>
      <c r="J239" s="42"/>
    </row>
    <row r="240" spans="1:10" s="41" customFormat="1" ht="25.15" hidden="1" customHeight="1">
      <c r="A240" s="15">
        <f t="shared" si="4"/>
        <v>32</v>
      </c>
      <c r="B240" s="19" t="s">
        <v>461</v>
      </c>
      <c r="C240" s="19" t="s">
        <v>445</v>
      </c>
      <c r="D240" s="19"/>
      <c r="E240" s="13" t="s">
        <v>18</v>
      </c>
      <c r="F240" s="13">
        <v>1</v>
      </c>
      <c r="G240" s="19" t="s">
        <v>386</v>
      </c>
      <c r="H240" s="19" t="s">
        <v>387</v>
      </c>
      <c r="I240" s="19" t="s">
        <v>448</v>
      </c>
      <c r="J240" s="42"/>
    </row>
    <row r="241" spans="1:10" s="41" customFormat="1" ht="25.15" hidden="1" customHeight="1">
      <c r="A241" s="15">
        <f t="shared" si="4"/>
        <v>33</v>
      </c>
      <c r="B241" s="19" t="s">
        <v>462</v>
      </c>
      <c r="C241" s="19" t="s">
        <v>147</v>
      </c>
      <c r="D241" s="46" t="s">
        <v>438</v>
      </c>
      <c r="E241" s="13" t="s">
        <v>18</v>
      </c>
      <c r="F241" s="13">
        <v>1</v>
      </c>
      <c r="G241" s="19" t="s">
        <v>386</v>
      </c>
      <c r="H241" s="19" t="s">
        <v>387</v>
      </c>
      <c r="I241" s="19" t="s">
        <v>463</v>
      </c>
      <c r="J241" s="42"/>
    </row>
    <row r="242" spans="1:10" s="41" customFormat="1" ht="25.15" hidden="1" customHeight="1">
      <c r="A242" s="15">
        <f t="shared" si="4"/>
        <v>34</v>
      </c>
      <c r="B242" s="19" t="s">
        <v>24</v>
      </c>
      <c r="C242" s="19" t="s">
        <v>143</v>
      </c>
      <c r="D242" s="46"/>
      <c r="E242" s="13" t="s">
        <v>18</v>
      </c>
      <c r="F242" s="13">
        <v>1</v>
      </c>
      <c r="G242" s="19" t="s">
        <v>386</v>
      </c>
      <c r="H242" s="19" t="s">
        <v>387</v>
      </c>
      <c r="I242" s="19" t="s">
        <v>463</v>
      </c>
      <c r="J242" s="42"/>
    </row>
    <row r="243" spans="1:10" s="41" customFormat="1" ht="47.25" hidden="1">
      <c r="A243" s="15">
        <f t="shared" si="4"/>
        <v>35</v>
      </c>
      <c r="B243" s="19" t="s">
        <v>464</v>
      </c>
      <c r="C243" s="19" t="s">
        <v>419</v>
      </c>
      <c r="D243" s="46" t="s">
        <v>465</v>
      </c>
      <c r="E243" s="13" t="s">
        <v>18</v>
      </c>
      <c r="F243" s="13">
        <v>1</v>
      </c>
      <c r="G243" s="19" t="s">
        <v>386</v>
      </c>
      <c r="H243" s="19" t="s">
        <v>387</v>
      </c>
      <c r="I243" s="19" t="s">
        <v>466</v>
      </c>
      <c r="J243" s="42"/>
    </row>
    <row r="244" spans="1:10" s="41" customFormat="1" ht="25.15" hidden="1" customHeight="1">
      <c r="A244" s="15">
        <f t="shared" si="4"/>
        <v>36</v>
      </c>
      <c r="B244" s="19" t="s">
        <v>467</v>
      </c>
      <c r="C244" s="46" t="s">
        <v>451</v>
      </c>
      <c r="D244" s="46" t="s">
        <v>468</v>
      </c>
      <c r="E244" s="13" t="s">
        <v>18</v>
      </c>
      <c r="F244" s="13">
        <v>1</v>
      </c>
      <c r="G244" s="19" t="s">
        <v>386</v>
      </c>
      <c r="H244" s="19" t="s">
        <v>387</v>
      </c>
      <c r="I244" s="19" t="s">
        <v>466</v>
      </c>
      <c r="J244" s="42"/>
    </row>
    <row r="245" spans="1:10" s="41" customFormat="1" ht="25.15" hidden="1" customHeight="1">
      <c r="A245" s="15">
        <f t="shared" si="4"/>
        <v>37</v>
      </c>
      <c r="B245" s="19" t="s">
        <v>469</v>
      </c>
      <c r="C245" s="46" t="s">
        <v>454</v>
      </c>
      <c r="D245" s="46" t="s">
        <v>429</v>
      </c>
      <c r="E245" s="13" t="s">
        <v>18</v>
      </c>
      <c r="F245" s="13">
        <v>1</v>
      </c>
      <c r="G245" s="19" t="s">
        <v>386</v>
      </c>
      <c r="H245" s="19" t="s">
        <v>387</v>
      </c>
      <c r="I245" s="19" t="s">
        <v>466</v>
      </c>
      <c r="J245" s="42"/>
    </row>
    <row r="246" spans="1:10" s="41" customFormat="1" ht="31.5" hidden="1">
      <c r="A246" s="15">
        <f t="shared" si="4"/>
        <v>38</v>
      </c>
      <c r="B246" s="19" t="s">
        <v>470</v>
      </c>
      <c r="C246" s="46" t="s">
        <v>431</v>
      </c>
      <c r="D246" s="46" t="s">
        <v>471</v>
      </c>
      <c r="E246" s="13" t="s">
        <v>18</v>
      </c>
      <c r="F246" s="13">
        <v>1</v>
      </c>
      <c r="G246" s="19" t="s">
        <v>386</v>
      </c>
      <c r="H246" s="19" t="s">
        <v>387</v>
      </c>
      <c r="I246" s="19" t="s">
        <v>466</v>
      </c>
      <c r="J246" s="42"/>
    </row>
    <row r="247" spans="1:10" s="41" customFormat="1" ht="25.15" hidden="1" customHeight="1">
      <c r="A247" s="15">
        <f t="shared" si="4"/>
        <v>39</v>
      </c>
      <c r="B247" s="19" t="s">
        <v>472</v>
      </c>
      <c r="C247" s="19" t="s">
        <v>147</v>
      </c>
      <c r="D247" s="46" t="s">
        <v>438</v>
      </c>
      <c r="E247" s="13" t="s">
        <v>18</v>
      </c>
      <c r="F247" s="13">
        <v>1</v>
      </c>
      <c r="G247" s="19" t="s">
        <v>386</v>
      </c>
      <c r="H247" s="19" t="s">
        <v>387</v>
      </c>
      <c r="I247" s="19" t="s">
        <v>466</v>
      </c>
      <c r="J247" s="42"/>
    </row>
    <row r="248" spans="1:10" s="41" customFormat="1" ht="25.15" hidden="1" customHeight="1">
      <c r="A248" s="15">
        <f t="shared" si="4"/>
        <v>40</v>
      </c>
      <c r="B248" s="19" t="s">
        <v>473</v>
      </c>
      <c r="C248" s="19" t="s">
        <v>143</v>
      </c>
      <c r="D248" s="46"/>
      <c r="E248" s="13" t="s">
        <v>18</v>
      </c>
      <c r="F248" s="13">
        <v>1</v>
      </c>
      <c r="G248" s="19" t="s">
        <v>386</v>
      </c>
      <c r="H248" s="19" t="s">
        <v>387</v>
      </c>
      <c r="I248" s="19" t="s">
        <v>466</v>
      </c>
      <c r="J248" s="42"/>
    </row>
    <row r="249" spans="1:10" s="41" customFormat="1" ht="25.15" hidden="1" customHeight="1">
      <c r="A249" s="15">
        <f t="shared" si="4"/>
        <v>41</v>
      </c>
      <c r="B249" s="19" t="s">
        <v>474</v>
      </c>
      <c r="C249" s="19" t="s">
        <v>32</v>
      </c>
      <c r="D249" s="19"/>
      <c r="E249" s="19" t="s">
        <v>18</v>
      </c>
      <c r="F249" s="13">
        <v>1</v>
      </c>
      <c r="G249" s="19" t="s">
        <v>386</v>
      </c>
      <c r="H249" s="19" t="s">
        <v>387</v>
      </c>
      <c r="I249" s="19" t="s">
        <v>466</v>
      </c>
      <c r="J249" s="42" t="s">
        <v>406</v>
      </c>
    </row>
    <row r="250" spans="1:10" s="41" customFormat="1" ht="25.15" hidden="1" customHeight="1">
      <c r="A250" s="15">
        <f t="shared" si="4"/>
        <v>42</v>
      </c>
      <c r="B250" s="19" t="s">
        <v>475</v>
      </c>
      <c r="C250" s="19" t="s">
        <v>476</v>
      </c>
      <c r="D250" s="46" t="s">
        <v>477</v>
      </c>
      <c r="E250" s="13" t="s">
        <v>18</v>
      </c>
      <c r="F250" s="13">
        <v>1</v>
      </c>
      <c r="G250" s="19" t="s">
        <v>386</v>
      </c>
      <c r="H250" s="19" t="s">
        <v>387</v>
      </c>
      <c r="I250" s="19" t="s">
        <v>466</v>
      </c>
      <c r="J250" s="42"/>
    </row>
    <row r="251" spans="1:10" s="41" customFormat="1" ht="25.15" hidden="1" customHeight="1">
      <c r="A251" s="15">
        <f t="shared" si="4"/>
        <v>43</v>
      </c>
      <c r="B251" s="19" t="s">
        <v>478</v>
      </c>
      <c r="C251" s="19" t="s">
        <v>445</v>
      </c>
      <c r="D251" s="19"/>
      <c r="E251" s="13" t="s">
        <v>18</v>
      </c>
      <c r="F251" s="13">
        <v>1</v>
      </c>
      <c r="G251" s="19" t="s">
        <v>386</v>
      </c>
      <c r="H251" s="19" t="s">
        <v>387</v>
      </c>
      <c r="I251" s="19" t="s">
        <v>466</v>
      </c>
      <c r="J251" s="42"/>
    </row>
    <row r="252" spans="1:10" s="41" customFormat="1" ht="47.25" hidden="1">
      <c r="A252" s="15">
        <f t="shared" si="4"/>
        <v>44</v>
      </c>
      <c r="B252" s="19" t="s">
        <v>479</v>
      </c>
      <c r="C252" s="19" t="s">
        <v>419</v>
      </c>
      <c r="D252" s="46" t="s">
        <v>480</v>
      </c>
      <c r="E252" s="19" t="s">
        <v>18</v>
      </c>
      <c r="F252" s="13">
        <v>1</v>
      </c>
      <c r="G252" s="19" t="s">
        <v>386</v>
      </c>
      <c r="H252" s="19" t="s">
        <v>387</v>
      </c>
      <c r="I252" s="19" t="s">
        <v>481</v>
      </c>
      <c r="J252" s="44" t="s">
        <v>482</v>
      </c>
    </row>
    <row r="253" spans="1:10" s="41" customFormat="1" ht="25.15" hidden="1" customHeight="1">
      <c r="A253" s="15">
        <f t="shared" si="4"/>
        <v>45</v>
      </c>
      <c r="B253" s="19" t="s">
        <v>483</v>
      </c>
      <c r="C253" s="19" t="s">
        <v>451</v>
      </c>
      <c r="D253" s="19" t="s">
        <v>484</v>
      </c>
      <c r="E253" s="19" t="s">
        <v>18</v>
      </c>
      <c r="F253" s="13">
        <v>1</v>
      </c>
      <c r="G253" s="19" t="s">
        <v>386</v>
      </c>
      <c r="H253" s="19" t="s">
        <v>387</v>
      </c>
      <c r="I253" s="19" t="s">
        <v>481</v>
      </c>
      <c r="J253" s="42"/>
    </row>
    <row r="254" spans="1:10" s="41" customFormat="1" ht="25.15" hidden="1" customHeight="1">
      <c r="A254" s="15">
        <f t="shared" si="4"/>
        <v>46</v>
      </c>
      <c r="B254" s="19" t="s">
        <v>485</v>
      </c>
      <c r="C254" s="19" t="s">
        <v>454</v>
      </c>
      <c r="D254" s="19" t="s">
        <v>486</v>
      </c>
      <c r="E254" s="19" t="s">
        <v>18</v>
      </c>
      <c r="F254" s="13">
        <v>1</v>
      </c>
      <c r="G254" s="19" t="s">
        <v>386</v>
      </c>
      <c r="H254" s="19" t="s">
        <v>387</v>
      </c>
      <c r="I254" s="19" t="s">
        <v>481</v>
      </c>
      <c r="J254" s="42"/>
    </row>
    <row r="255" spans="1:10" s="41" customFormat="1" hidden="1">
      <c r="A255" s="15">
        <f t="shared" si="4"/>
        <v>47</v>
      </c>
      <c r="B255" s="19" t="s">
        <v>487</v>
      </c>
      <c r="C255" s="19" t="s">
        <v>431</v>
      </c>
      <c r="D255" s="65" t="s">
        <v>488</v>
      </c>
      <c r="E255" s="19" t="s">
        <v>18</v>
      </c>
      <c r="F255" s="13">
        <v>1</v>
      </c>
      <c r="G255" s="19" t="s">
        <v>386</v>
      </c>
      <c r="H255" s="19" t="s">
        <v>387</v>
      </c>
      <c r="I255" s="19" t="s">
        <v>481</v>
      </c>
      <c r="J255" s="42"/>
    </row>
    <row r="256" spans="1:10" s="41" customFormat="1" ht="25.15" hidden="1" customHeight="1">
      <c r="A256" s="15">
        <f t="shared" si="4"/>
        <v>48</v>
      </c>
      <c r="B256" s="19" t="s">
        <v>489</v>
      </c>
      <c r="C256" s="19" t="s">
        <v>147</v>
      </c>
      <c r="D256" s="65" t="s">
        <v>438</v>
      </c>
      <c r="E256" s="19" t="s">
        <v>18</v>
      </c>
      <c r="F256" s="13">
        <v>1</v>
      </c>
      <c r="G256" s="19" t="s">
        <v>386</v>
      </c>
      <c r="H256" s="19" t="s">
        <v>387</v>
      </c>
      <c r="I256" s="19" t="s">
        <v>481</v>
      </c>
      <c r="J256" s="42"/>
    </row>
    <row r="257" spans="1:10" s="41" customFormat="1" ht="25.15" hidden="1" customHeight="1">
      <c r="A257" s="15">
        <f t="shared" si="4"/>
        <v>49</v>
      </c>
      <c r="B257" s="19" t="s">
        <v>490</v>
      </c>
      <c r="C257" s="19" t="s">
        <v>143</v>
      </c>
      <c r="D257" s="65"/>
      <c r="E257" s="19" t="s">
        <v>18</v>
      </c>
      <c r="F257" s="13">
        <v>1</v>
      </c>
      <c r="G257" s="19" t="s">
        <v>386</v>
      </c>
      <c r="H257" s="19" t="s">
        <v>387</v>
      </c>
      <c r="I257" s="19" t="s">
        <v>481</v>
      </c>
      <c r="J257" s="42"/>
    </row>
    <row r="258" spans="1:10" s="41" customFormat="1" ht="25.15" hidden="1" customHeight="1">
      <c r="A258" s="15">
        <f t="shared" si="4"/>
        <v>50</v>
      </c>
      <c r="B258" s="19" t="s">
        <v>491</v>
      </c>
      <c r="C258" s="19" t="s">
        <v>32</v>
      </c>
      <c r="D258" s="19"/>
      <c r="E258" s="19" t="s">
        <v>18</v>
      </c>
      <c r="F258" s="13">
        <v>1</v>
      </c>
      <c r="G258" s="19" t="s">
        <v>386</v>
      </c>
      <c r="H258" s="19" t="s">
        <v>387</v>
      </c>
      <c r="I258" s="19" t="s">
        <v>481</v>
      </c>
      <c r="J258" s="42"/>
    </row>
    <row r="259" spans="1:10" s="41" customFormat="1" ht="25.15" hidden="1" customHeight="1">
      <c r="A259" s="15">
        <f t="shared" si="4"/>
        <v>51</v>
      </c>
      <c r="B259" s="19" t="s">
        <v>492</v>
      </c>
      <c r="C259" s="19" t="s">
        <v>493</v>
      </c>
      <c r="D259" s="19" t="s">
        <v>494</v>
      </c>
      <c r="E259" s="19" t="s">
        <v>18</v>
      </c>
      <c r="F259" s="13">
        <v>1</v>
      </c>
      <c r="G259" s="19" t="s">
        <v>386</v>
      </c>
      <c r="H259" s="19" t="s">
        <v>387</v>
      </c>
      <c r="I259" s="19" t="s">
        <v>481</v>
      </c>
      <c r="J259" s="42"/>
    </row>
    <row r="260" spans="1:10" s="41" customFormat="1" ht="31.5" hidden="1">
      <c r="A260" s="15">
        <f t="shared" si="4"/>
        <v>52</v>
      </c>
      <c r="B260" s="19" t="s">
        <v>495</v>
      </c>
      <c r="C260" s="19" t="s">
        <v>496</v>
      </c>
      <c r="D260" s="46" t="s">
        <v>497</v>
      </c>
      <c r="E260" s="19" t="s">
        <v>18</v>
      </c>
      <c r="F260" s="13">
        <v>1</v>
      </c>
      <c r="G260" s="19" t="s">
        <v>386</v>
      </c>
      <c r="H260" s="19" t="s">
        <v>387</v>
      </c>
      <c r="I260" s="19" t="s">
        <v>481</v>
      </c>
      <c r="J260" s="42"/>
    </row>
    <row r="261" spans="1:10" s="41" customFormat="1" hidden="1">
      <c r="A261" s="15">
        <f t="shared" si="4"/>
        <v>53</v>
      </c>
      <c r="B261" s="19" t="s">
        <v>498</v>
      </c>
      <c r="C261" s="19" t="s">
        <v>499</v>
      </c>
      <c r="D261" s="19" t="s">
        <v>500</v>
      </c>
      <c r="E261" s="19" t="s">
        <v>18</v>
      </c>
      <c r="F261" s="13">
        <v>1</v>
      </c>
      <c r="G261" s="19" t="s">
        <v>386</v>
      </c>
      <c r="H261" s="19" t="s">
        <v>387</v>
      </c>
      <c r="I261" s="19" t="s">
        <v>481</v>
      </c>
      <c r="J261" s="42"/>
    </row>
    <row r="262" spans="1:10" s="41" customFormat="1" hidden="1">
      <c r="A262" s="15">
        <f t="shared" si="4"/>
        <v>54</v>
      </c>
      <c r="B262" s="19" t="s">
        <v>501</v>
      </c>
      <c r="C262" s="19" t="s">
        <v>445</v>
      </c>
      <c r="D262" s="19"/>
      <c r="E262" s="13" t="s">
        <v>18</v>
      </c>
      <c r="F262" s="13">
        <v>1</v>
      </c>
      <c r="G262" s="19" t="s">
        <v>386</v>
      </c>
      <c r="H262" s="19" t="s">
        <v>387</v>
      </c>
      <c r="I262" s="19" t="s">
        <v>481</v>
      </c>
      <c r="J262" s="42"/>
    </row>
    <row r="263" spans="1:10" s="41" customFormat="1" ht="63" hidden="1">
      <c r="A263" s="15">
        <f t="shared" si="4"/>
        <v>55</v>
      </c>
      <c r="B263" s="19" t="s">
        <v>502</v>
      </c>
      <c r="C263" s="19" t="s">
        <v>419</v>
      </c>
      <c r="D263" s="46" t="s">
        <v>503</v>
      </c>
      <c r="E263" s="13" t="s">
        <v>18</v>
      </c>
      <c r="F263" s="13">
        <v>1</v>
      </c>
      <c r="G263" s="19" t="s">
        <v>386</v>
      </c>
      <c r="H263" s="19" t="s">
        <v>387</v>
      </c>
      <c r="I263" s="19" t="s">
        <v>504</v>
      </c>
      <c r="J263" s="42" t="s">
        <v>422</v>
      </c>
    </row>
    <row r="264" spans="1:10" s="41" customFormat="1" ht="25.15" hidden="1" customHeight="1">
      <c r="A264" s="15">
        <f t="shared" si="4"/>
        <v>56</v>
      </c>
      <c r="B264" s="19" t="s">
        <v>505</v>
      </c>
      <c r="C264" s="46" t="s">
        <v>451</v>
      </c>
      <c r="D264" s="46" t="s">
        <v>506</v>
      </c>
      <c r="E264" s="13" t="s">
        <v>18</v>
      </c>
      <c r="F264" s="13">
        <v>1</v>
      </c>
      <c r="G264" s="19" t="s">
        <v>386</v>
      </c>
      <c r="H264" s="19" t="s">
        <v>387</v>
      </c>
      <c r="I264" s="19" t="s">
        <v>504</v>
      </c>
      <c r="J264" s="42"/>
    </row>
    <row r="265" spans="1:10" s="41" customFormat="1" ht="25.15" hidden="1" customHeight="1">
      <c r="A265" s="15">
        <f t="shared" si="4"/>
        <v>57</v>
      </c>
      <c r="B265" s="19" t="s">
        <v>507</v>
      </c>
      <c r="C265" s="46" t="s">
        <v>454</v>
      </c>
      <c r="D265" s="46" t="s">
        <v>508</v>
      </c>
      <c r="E265" s="13" t="s">
        <v>18</v>
      </c>
      <c r="F265" s="13">
        <v>1</v>
      </c>
      <c r="G265" s="19" t="s">
        <v>386</v>
      </c>
      <c r="H265" s="19" t="s">
        <v>387</v>
      </c>
      <c r="I265" s="19" t="s">
        <v>504</v>
      </c>
      <c r="J265" s="42"/>
    </row>
    <row r="266" spans="1:10" s="41" customFormat="1" ht="31.5" hidden="1">
      <c r="A266" s="15">
        <f t="shared" si="4"/>
        <v>58</v>
      </c>
      <c r="B266" s="19" t="s">
        <v>509</v>
      </c>
      <c r="C266" s="46" t="s">
        <v>431</v>
      </c>
      <c r="D266" s="46" t="s">
        <v>510</v>
      </c>
      <c r="E266" s="13" t="s">
        <v>18</v>
      </c>
      <c r="F266" s="13">
        <v>1</v>
      </c>
      <c r="G266" s="19" t="s">
        <v>386</v>
      </c>
      <c r="H266" s="19" t="s">
        <v>387</v>
      </c>
      <c r="I266" s="19" t="s">
        <v>504</v>
      </c>
      <c r="J266" s="42"/>
    </row>
    <row r="267" spans="1:10" s="41" customFormat="1" ht="25.15" hidden="1" customHeight="1">
      <c r="A267" s="15">
        <f t="shared" si="4"/>
        <v>59</v>
      </c>
      <c r="B267" s="19" t="s">
        <v>511</v>
      </c>
      <c r="C267" s="19" t="s">
        <v>147</v>
      </c>
      <c r="D267" s="46" t="s">
        <v>438</v>
      </c>
      <c r="E267" s="13" t="s">
        <v>18</v>
      </c>
      <c r="F267" s="13">
        <v>1</v>
      </c>
      <c r="G267" s="19" t="s">
        <v>386</v>
      </c>
      <c r="H267" s="19" t="s">
        <v>387</v>
      </c>
      <c r="I267" s="19" t="s">
        <v>504</v>
      </c>
      <c r="J267" s="42"/>
    </row>
    <row r="268" spans="1:10" s="41" customFormat="1" ht="25.15" hidden="1" customHeight="1">
      <c r="A268" s="15">
        <f t="shared" si="4"/>
        <v>60</v>
      </c>
      <c r="B268" s="19" t="s">
        <v>512</v>
      </c>
      <c r="C268" s="19" t="s">
        <v>143</v>
      </c>
      <c r="D268" s="46"/>
      <c r="E268" s="13" t="s">
        <v>18</v>
      </c>
      <c r="F268" s="13">
        <v>1</v>
      </c>
      <c r="G268" s="19" t="s">
        <v>386</v>
      </c>
      <c r="H268" s="19" t="s">
        <v>387</v>
      </c>
      <c r="I268" s="19" t="s">
        <v>504</v>
      </c>
      <c r="J268" s="42"/>
    </row>
    <row r="269" spans="1:10" s="41" customFormat="1" ht="25.15" hidden="1" customHeight="1">
      <c r="A269" s="15">
        <f t="shared" si="4"/>
        <v>61</v>
      </c>
      <c r="B269" s="19" t="s">
        <v>513</v>
      </c>
      <c r="C269" s="19" t="s">
        <v>32</v>
      </c>
      <c r="D269" s="46"/>
      <c r="E269" s="13" t="s">
        <v>18</v>
      </c>
      <c r="F269" s="13">
        <v>1</v>
      </c>
      <c r="G269" s="19" t="s">
        <v>514</v>
      </c>
      <c r="H269" s="19" t="s">
        <v>387</v>
      </c>
      <c r="I269" s="19" t="s">
        <v>504</v>
      </c>
      <c r="J269" s="42"/>
    </row>
    <row r="270" spans="1:10" s="41" customFormat="1" ht="25.15" hidden="1" customHeight="1">
      <c r="A270" s="15">
        <f t="shared" si="4"/>
        <v>62</v>
      </c>
      <c r="B270" s="19" t="s">
        <v>515</v>
      </c>
      <c r="C270" s="19" t="s">
        <v>445</v>
      </c>
      <c r="D270" s="19"/>
      <c r="E270" s="13" t="s">
        <v>18</v>
      </c>
      <c r="F270" s="13">
        <v>1</v>
      </c>
      <c r="G270" s="19" t="s">
        <v>386</v>
      </c>
      <c r="H270" s="19" t="s">
        <v>387</v>
      </c>
      <c r="I270" s="19" t="s">
        <v>504</v>
      </c>
      <c r="J270" s="42"/>
    </row>
    <row r="271" spans="1:10" s="41" customFormat="1" ht="47.25" hidden="1">
      <c r="A271" s="15">
        <f t="shared" si="4"/>
        <v>63</v>
      </c>
      <c r="B271" s="19" t="s">
        <v>516</v>
      </c>
      <c r="C271" s="19" t="s">
        <v>419</v>
      </c>
      <c r="D271" s="46" t="s">
        <v>517</v>
      </c>
      <c r="E271" s="13" t="s">
        <v>18</v>
      </c>
      <c r="F271" s="13">
        <v>1</v>
      </c>
      <c r="G271" s="19" t="s">
        <v>386</v>
      </c>
      <c r="H271" s="19" t="s">
        <v>387</v>
      </c>
      <c r="I271" s="19" t="s">
        <v>518</v>
      </c>
      <c r="J271" s="44" t="s">
        <v>519</v>
      </c>
    </row>
    <row r="272" spans="1:10" s="41" customFormat="1" ht="25.15" hidden="1" customHeight="1">
      <c r="A272" s="15">
        <f t="shared" si="4"/>
        <v>64</v>
      </c>
      <c r="B272" s="19" t="s">
        <v>520</v>
      </c>
      <c r="C272" s="46" t="s">
        <v>451</v>
      </c>
      <c r="D272" s="46" t="s">
        <v>521</v>
      </c>
      <c r="E272" s="13" t="s">
        <v>18</v>
      </c>
      <c r="F272" s="13">
        <v>1</v>
      </c>
      <c r="G272" s="19" t="s">
        <v>386</v>
      </c>
      <c r="H272" s="19" t="s">
        <v>387</v>
      </c>
      <c r="I272" s="19" t="s">
        <v>518</v>
      </c>
      <c r="J272" s="42"/>
    </row>
    <row r="273" spans="1:10" s="41" customFormat="1" ht="25.15" hidden="1" customHeight="1">
      <c r="A273" s="15">
        <f t="shared" si="4"/>
        <v>65</v>
      </c>
      <c r="B273" s="19" t="s">
        <v>522</v>
      </c>
      <c r="C273" s="46" t="s">
        <v>523</v>
      </c>
      <c r="D273" s="46" t="s">
        <v>524</v>
      </c>
      <c r="E273" s="13" t="s">
        <v>18</v>
      </c>
      <c r="F273" s="13">
        <v>1</v>
      </c>
      <c r="G273" s="19" t="s">
        <v>386</v>
      </c>
      <c r="H273" s="19" t="s">
        <v>387</v>
      </c>
      <c r="I273" s="19" t="s">
        <v>518</v>
      </c>
      <c r="J273" s="42"/>
    </row>
    <row r="274" spans="1:10" s="41" customFormat="1" ht="31.5" hidden="1">
      <c r="A274" s="15">
        <f t="shared" si="4"/>
        <v>66</v>
      </c>
      <c r="B274" s="19" t="s">
        <v>525</v>
      </c>
      <c r="C274" s="46" t="s">
        <v>431</v>
      </c>
      <c r="D274" s="46" t="s">
        <v>526</v>
      </c>
      <c r="E274" s="13" t="s">
        <v>18</v>
      </c>
      <c r="F274" s="13">
        <v>1</v>
      </c>
      <c r="G274" s="19" t="s">
        <v>386</v>
      </c>
      <c r="H274" s="19" t="s">
        <v>387</v>
      </c>
      <c r="I274" s="19" t="s">
        <v>518</v>
      </c>
      <c r="J274" s="42"/>
    </row>
    <row r="275" spans="1:10" s="41" customFormat="1" ht="25.15" hidden="1" customHeight="1">
      <c r="A275" s="15">
        <f t="shared" ref="A275:A287" si="5">A274+1</f>
        <v>67</v>
      </c>
      <c r="B275" s="19" t="s">
        <v>527</v>
      </c>
      <c r="C275" s="19" t="s">
        <v>147</v>
      </c>
      <c r="D275" s="46" t="s">
        <v>528</v>
      </c>
      <c r="E275" s="13" t="s">
        <v>18</v>
      </c>
      <c r="F275" s="13">
        <v>1</v>
      </c>
      <c r="G275" s="19" t="s">
        <v>386</v>
      </c>
      <c r="H275" s="19" t="s">
        <v>387</v>
      </c>
      <c r="I275" s="19" t="s">
        <v>518</v>
      </c>
      <c r="J275" s="42"/>
    </row>
    <row r="276" spans="1:10" s="41" customFormat="1" ht="25.15" hidden="1" customHeight="1">
      <c r="A276" s="15">
        <f t="shared" si="5"/>
        <v>68</v>
      </c>
      <c r="B276" s="19" t="s">
        <v>529</v>
      </c>
      <c r="C276" s="19" t="s">
        <v>143</v>
      </c>
      <c r="D276" s="46"/>
      <c r="E276" s="13" t="s">
        <v>18</v>
      </c>
      <c r="F276" s="13">
        <v>1</v>
      </c>
      <c r="G276" s="19" t="s">
        <v>530</v>
      </c>
      <c r="H276" s="19" t="s">
        <v>387</v>
      </c>
      <c r="I276" s="19" t="s">
        <v>518</v>
      </c>
      <c r="J276" s="42"/>
    </row>
    <row r="277" spans="1:10" s="41" customFormat="1" ht="25.15" hidden="1" customHeight="1">
      <c r="A277" s="15">
        <f t="shared" si="5"/>
        <v>69</v>
      </c>
      <c r="B277" s="19" t="s">
        <v>531</v>
      </c>
      <c r="C277" s="19" t="s">
        <v>32</v>
      </c>
      <c r="D277" s="46"/>
      <c r="E277" s="13" t="s">
        <v>18</v>
      </c>
      <c r="F277" s="13">
        <v>1</v>
      </c>
      <c r="G277" s="19" t="s">
        <v>532</v>
      </c>
      <c r="H277" s="19" t="s">
        <v>387</v>
      </c>
      <c r="I277" s="19" t="s">
        <v>518</v>
      </c>
      <c r="J277" s="42"/>
    </row>
    <row r="278" spans="1:10" s="41" customFormat="1" ht="25.15" hidden="1" customHeight="1">
      <c r="A278" s="15">
        <f t="shared" si="5"/>
        <v>70</v>
      </c>
      <c r="B278" s="19" t="s">
        <v>533</v>
      </c>
      <c r="C278" s="19" t="s">
        <v>476</v>
      </c>
      <c r="D278" s="46" t="s">
        <v>534</v>
      </c>
      <c r="E278" s="13" t="s">
        <v>18</v>
      </c>
      <c r="F278" s="13">
        <v>1</v>
      </c>
      <c r="G278" s="19" t="s">
        <v>386</v>
      </c>
      <c r="H278" s="19" t="s">
        <v>387</v>
      </c>
      <c r="I278" s="19" t="s">
        <v>518</v>
      </c>
      <c r="J278" s="42"/>
    </row>
    <row r="279" spans="1:10" s="41" customFormat="1" ht="25.15" hidden="1" customHeight="1">
      <c r="A279" s="15">
        <f t="shared" si="5"/>
        <v>71</v>
      </c>
      <c r="B279" s="19" t="s">
        <v>535</v>
      </c>
      <c r="C279" s="19" t="s">
        <v>445</v>
      </c>
      <c r="D279" s="19"/>
      <c r="E279" s="13" t="s">
        <v>18</v>
      </c>
      <c r="F279" s="13">
        <v>1</v>
      </c>
      <c r="G279" s="19" t="s">
        <v>386</v>
      </c>
      <c r="H279" s="19" t="s">
        <v>387</v>
      </c>
      <c r="I279" s="19" t="s">
        <v>518</v>
      </c>
      <c r="J279" s="42"/>
    </row>
    <row r="280" spans="1:10" s="41" customFormat="1" ht="47.25" hidden="1">
      <c r="A280" s="15">
        <f t="shared" si="5"/>
        <v>72</v>
      </c>
      <c r="B280" s="19" t="s">
        <v>536</v>
      </c>
      <c r="C280" s="19" t="s">
        <v>419</v>
      </c>
      <c r="D280" s="46" t="s">
        <v>537</v>
      </c>
      <c r="E280" s="13" t="s">
        <v>18</v>
      </c>
      <c r="F280" s="13">
        <v>1</v>
      </c>
      <c r="G280" s="19" t="s">
        <v>386</v>
      </c>
      <c r="H280" s="19" t="s">
        <v>387</v>
      </c>
      <c r="I280" s="19" t="s">
        <v>538</v>
      </c>
      <c r="J280" s="44" t="s">
        <v>449</v>
      </c>
    </row>
    <row r="281" spans="1:10" s="41" customFormat="1" ht="25.15" hidden="1" customHeight="1">
      <c r="A281" s="15">
        <f t="shared" si="5"/>
        <v>73</v>
      </c>
      <c r="B281" s="19" t="s">
        <v>539</v>
      </c>
      <c r="C281" s="46" t="s">
        <v>451</v>
      </c>
      <c r="D281" s="46" t="s">
        <v>540</v>
      </c>
      <c r="E281" s="13" t="s">
        <v>18</v>
      </c>
      <c r="F281" s="13">
        <v>1</v>
      </c>
      <c r="G281" s="19" t="s">
        <v>386</v>
      </c>
      <c r="H281" s="19" t="s">
        <v>387</v>
      </c>
      <c r="I281" s="19" t="s">
        <v>538</v>
      </c>
      <c r="J281" s="42"/>
    </row>
    <row r="282" spans="1:10" s="41" customFormat="1" ht="25.15" hidden="1" customHeight="1">
      <c r="A282" s="15">
        <f t="shared" si="5"/>
        <v>74</v>
      </c>
      <c r="B282" s="19" t="s">
        <v>541</v>
      </c>
      <c r="C282" s="46" t="s">
        <v>523</v>
      </c>
      <c r="D282" s="46" t="s">
        <v>542</v>
      </c>
      <c r="E282" s="13" t="s">
        <v>18</v>
      </c>
      <c r="F282" s="13">
        <v>1</v>
      </c>
      <c r="G282" s="19" t="s">
        <v>386</v>
      </c>
      <c r="H282" s="19" t="s">
        <v>387</v>
      </c>
      <c r="I282" s="19" t="s">
        <v>538</v>
      </c>
      <c r="J282" s="42"/>
    </row>
    <row r="283" spans="1:10" s="41" customFormat="1" ht="31.5" hidden="1">
      <c r="A283" s="15">
        <f t="shared" si="5"/>
        <v>75</v>
      </c>
      <c r="B283" s="19" t="s">
        <v>543</v>
      </c>
      <c r="C283" s="66" t="s">
        <v>431</v>
      </c>
      <c r="D283" s="66" t="s">
        <v>544</v>
      </c>
      <c r="E283" s="13" t="s">
        <v>18</v>
      </c>
      <c r="F283" s="13">
        <v>1</v>
      </c>
      <c r="G283" s="43" t="s">
        <v>386</v>
      </c>
      <c r="H283" s="19" t="s">
        <v>387</v>
      </c>
      <c r="I283" s="43" t="s">
        <v>538</v>
      </c>
      <c r="J283" s="42"/>
    </row>
    <row r="284" spans="1:10" s="41" customFormat="1" ht="25.15" hidden="1" customHeight="1">
      <c r="A284" s="15">
        <f t="shared" si="5"/>
        <v>76</v>
      </c>
      <c r="B284" s="19" t="s">
        <v>545</v>
      </c>
      <c r="C284" s="19" t="s">
        <v>147</v>
      </c>
      <c r="D284" s="46" t="s">
        <v>438</v>
      </c>
      <c r="E284" s="13" t="s">
        <v>18</v>
      </c>
      <c r="F284" s="13">
        <v>1</v>
      </c>
      <c r="G284" s="19" t="s">
        <v>386</v>
      </c>
      <c r="H284" s="19" t="s">
        <v>387</v>
      </c>
      <c r="I284" s="19" t="s">
        <v>538</v>
      </c>
      <c r="J284" s="42"/>
    </row>
    <row r="285" spans="1:10" s="41" customFormat="1" ht="25.15" hidden="1" customHeight="1">
      <c r="A285" s="15">
        <f t="shared" si="5"/>
        <v>77</v>
      </c>
      <c r="B285" s="19" t="s">
        <v>546</v>
      </c>
      <c r="C285" s="19" t="s">
        <v>143</v>
      </c>
      <c r="D285" s="46"/>
      <c r="E285" s="13" t="s">
        <v>18</v>
      </c>
      <c r="F285" s="13">
        <v>1</v>
      </c>
      <c r="G285" s="19" t="s">
        <v>386</v>
      </c>
      <c r="H285" s="19" t="s">
        <v>387</v>
      </c>
      <c r="I285" s="19" t="s">
        <v>538</v>
      </c>
      <c r="J285" s="42"/>
    </row>
    <row r="286" spans="1:10" s="41" customFormat="1" ht="25.15" hidden="1" customHeight="1">
      <c r="A286" s="15">
        <f t="shared" si="5"/>
        <v>78</v>
      </c>
      <c r="B286" s="19" t="s">
        <v>547</v>
      </c>
      <c r="C286" s="19" t="s">
        <v>32</v>
      </c>
      <c r="D286" s="46"/>
      <c r="E286" s="13" t="s">
        <v>18</v>
      </c>
      <c r="F286" s="13">
        <v>1</v>
      </c>
      <c r="G286" s="19" t="s">
        <v>386</v>
      </c>
      <c r="H286" s="19" t="s">
        <v>387</v>
      </c>
      <c r="I286" s="19" t="s">
        <v>538</v>
      </c>
      <c r="J286" s="42"/>
    </row>
    <row r="287" spans="1:10" s="41" customFormat="1" ht="25.15" hidden="1" customHeight="1">
      <c r="A287" s="15">
        <f t="shared" si="5"/>
        <v>79</v>
      </c>
      <c r="B287" s="19" t="s">
        <v>548</v>
      </c>
      <c r="C287" s="19" t="s">
        <v>445</v>
      </c>
      <c r="D287" s="19"/>
      <c r="E287" s="13" t="s">
        <v>18</v>
      </c>
      <c r="F287" s="13">
        <v>1</v>
      </c>
      <c r="G287" s="19" t="s">
        <v>386</v>
      </c>
      <c r="H287" s="19" t="s">
        <v>387</v>
      </c>
      <c r="I287" s="19" t="s">
        <v>538</v>
      </c>
      <c r="J287" s="42"/>
    </row>
    <row r="288" spans="1:10" ht="30" customHeight="1">
      <c r="A288" s="15">
        <f>A287+1</f>
        <v>80</v>
      </c>
      <c r="B288" s="67" t="s">
        <v>549</v>
      </c>
      <c r="C288" s="21" t="s">
        <v>550</v>
      </c>
      <c r="D288" s="14"/>
      <c r="E288" s="13" t="s">
        <v>18</v>
      </c>
      <c r="F288" s="12"/>
      <c r="G288" s="9"/>
      <c r="H288" s="19" t="s">
        <v>387</v>
      </c>
      <c r="I288" s="9" t="s">
        <v>448</v>
      </c>
      <c r="J288" s="409" t="s">
        <v>551</v>
      </c>
    </row>
    <row r="289" spans="1:10" ht="30" customHeight="1">
      <c r="A289" s="15">
        <f t="shared" ref="A289:A294" si="6">A288+1</f>
        <v>81</v>
      </c>
      <c r="B289" s="67" t="s">
        <v>552</v>
      </c>
      <c r="C289" s="21" t="s">
        <v>550</v>
      </c>
      <c r="D289" s="14"/>
      <c r="E289" s="13" t="s">
        <v>18</v>
      </c>
      <c r="F289" s="12"/>
      <c r="G289" s="9"/>
      <c r="H289" s="19" t="s">
        <v>387</v>
      </c>
      <c r="I289" s="9" t="s">
        <v>448</v>
      </c>
      <c r="J289" s="413"/>
    </row>
    <row r="290" spans="1:10" ht="30" customHeight="1">
      <c r="A290" s="15">
        <f t="shared" si="6"/>
        <v>82</v>
      </c>
      <c r="B290" s="67" t="s">
        <v>553</v>
      </c>
      <c r="C290" s="21" t="s">
        <v>550</v>
      </c>
      <c r="D290" s="14"/>
      <c r="E290" s="13" t="s">
        <v>18</v>
      </c>
      <c r="F290" s="12"/>
      <c r="G290" s="9"/>
      <c r="H290" s="19" t="s">
        <v>387</v>
      </c>
      <c r="I290" s="9" t="s">
        <v>448</v>
      </c>
      <c r="J290" s="413"/>
    </row>
    <row r="291" spans="1:10" ht="30" customHeight="1">
      <c r="A291" s="15">
        <f t="shared" si="6"/>
        <v>83</v>
      </c>
      <c r="B291" s="67" t="s">
        <v>554</v>
      </c>
      <c r="C291" s="21" t="s">
        <v>550</v>
      </c>
      <c r="D291" s="14"/>
      <c r="E291" s="13" t="s">
        <v>18</v>
      </c>
      <c r="F291" s="12"/>
      <c r="G291" s="9"/>
      <c r="H291" s="19" t="s">
        <v>387</v>
      </c>
      <c r="I291" s="9" t="s">
        <v>448</v>
      </c>
      <c r="J291" s="413"/>
    </row>
    <row r="292" spans="1:10" ht="30" customHeight="1">
      <c r="A292" s="15">
        <f t="shared" si="6"/>
        <v>84</v>
      </c>
      <c r="B292" s="67" t="s">
        <v>555</v>
      </c>
      <c r="C292" s="21" t="s">
        <v>550</v>
      </c>
      <c r="D292" s="14"/>
      <c r="E292" s="13" t="s">
        <v>18</v>
      </c>
      <c r="F292" s="12"/>
      <c r="G292" s="9"/>
      <c r="H292" s="19" t="s">
        <v>387</v>
      </c>
      <c r="I292" s="9" t="s">
        <v>448</v>
      </c>
      <c r="J292" s="413"/>
    </row>
    <row r="293" spans="1:10" ht="30" customHeight="1">
      <c r="A293" s="15">
        <f t="shared" si="6"/>
        <v>85</v>
      </c>
      <c r="B293" s="67" t="s">
        <v>556</v>
      </c>
      <c r="C293" s="21" t="s">
        <v>550</v>
      </c>
      <c r="D293" s="14"/>
      <c r="E293" s="13" t="s">
        <v>18</v>
      </c>
      <c r="F293" s="12"/>
      <c r="G293" s="9"/>
      <c r="H293" s="19" t="s">
        <v>387</v>
      </c>
      <c r="I293" s="9" t="s">
        <v>448</v>
      </c>
      <c r="J293" s="413"/>
    </row>
    <row r="294" spans="1:10" ht="30" customHeight="1">
      <c r="A294" s="15">
        <f t="shared" si="6"/>
        <v>86</v>
      </c>
      <c r="B294" s="67" t="s">
        <v>557</v>
      </c>
      <c r="C294" s="21" t="s">
        <v>550</v>
      </c>
      <c r="D294" s="14"/>
      <c r="E294" s="13" t="s">
        <v>18</v>
      </c>
      <c r="F294" s="12"/>
      <c r="G294" s="9"/>
      <c r="H294" s="19" t="s">
        <v>387</v>
      </c>
      <c r="I294" s="9" t="s">
        <v>448</v>
      </c>
      <c r="J294" s="410"/>
    </row>
    <row r="295" spans="1:10" ht="30" customHeight="1">
      <c r="A295" s="15">
        <f>A294+1</f>
        <v>87</v>
      </c>
      <c r="B295" s="68" t="s">
        <v>558</v>
      </c>
      <c r="C295" s="20" t="s">
        <v>559</v>
      </c>
      <c r="D295" s="16"/>
      <c r="E295" s="13" t="s">
        <v>18</v>
      </c>
      <c r="F295" s="12">
        <v>5</v>
      </c>
      <c r="G295" s="9"/>
      <c r="H295" s="19" t="s">
        <v>387</v>
      </c>
      <c r="I295" s="9" t="s">
        <v>448</v>
      </c>
      <c r="J295" s="409" t="s">
        <v>560</v>
      </c>
    </row>
    <row r="296" spans="1:10" ht="30" customHeight="1">
      <c r="A296" s="15">
        <f>A295+1</f>
        <v>88</v>
      </c>
      <c r="B296" s="68" t="s">
        <v>561</v>
      </c>
      <c r="C296" s="20" t="s">
        <v>562</v>
      </c>
      <c r="D296" s="14"/>
      <c r="E296" s="13" t="s">
        <v>18</v>
      </c>
      <c r="F296" s="12">
        <v>7</v>
      </c>
      <c r="G296" s="9"/>
      <c r="H296" s="19" t="s">
        <v>387</v>
      </c>
      <c r="I296" s="9" t="s">
        <v>448</v>
      </c>
      <c r="J296" s="410"/>
    </row>
    <row r="297" spans="1:10" hidden="1"/>
    <row r="298" spans="1:10" hidden="1"/>
    <row r="299" spans="1:10" hidden="1"/>
    <row r="300" spans="1:10" customFormat="1" ht="35.1" hidden="1" customHeight="1">
      <c r="A300" s="69">
        <v>1</v>
      </c>
      <c r="B300" s="70" t="s">
        <v>563</v>
      </c>
      <c r="C300" s="71" t="s">
        <v>564</v>
      </c>
      <c r="D300" s="72" t="s">
        <v>565</v>
      </c>
      <c r="E300" s="73" t="s">
        <v>566</v>
      </c>
      <c r="F300" s="73">
        <v>1</v>
      </c>
      <c r="G300" s="71" t="s">
        <v>386</v>
      </c>
      <c r="H300" s="71" t="s">
        <v>567</v>
      </c>
      <c r="I300" s="74" t="s">
        <v>568</v>
      </c>
      <c r="J300" s="75"/>
    </row>
    <row r="301" spans="1:10" customFormat="1" ht="35.1" hidden="1" customHeight="1">
      <c r="A301" s="69">
        <v>2</v>
      </c>
      <c r="B301" s="70" t="s">
        <v>569</v>
      </c>
      <c r="C301" s="76" t="s">
        <v>570</v>
      </c>
      <c r="D301" s="72" t="s">
        <v>571</v>
      </c>
      <c r="E301" s="73" t="s">
        <v>566</v>
      </c>
      <c r="F301" s="73">
        <v>1</v>
      </c>
      <c r="G301" s="71" t="s">
        <v>386</v>
      </c>
      <c r="H301" s="71" t="s">
        <v>567</v>
      </c>
      <c r="I301" s="74" t="s">
        <v>568</v>
      </c>
      <c r="J301" s="75"/>
    </row>
    <row r="302" spans="1:10" customFormat="1" ht="35.1" hidden="1" customHeight="1">
      <c r="A302" s="69">
        <v>3</v>
      </c>
      <c r="B302" s="70" t="s">
        <v>572</v>
      </c>
      <c r="C302" s="71" t="s">
        <v>115</v>
      </c>
      <c r="D302" s="72" t="s">
        <v>573</v>
      </c>
      <c r="E302" s="73" t="s">
        <v>566</v>
      </c>
      <c r="F302" s="73">
        <v>1</v>
      </c>
      <c r="G302" s="71" t="s">
        <v>386</v>
      </c>
      <c r="H302" s="71" t="s">
        <v>567</v>
      </c>
      <c r="I302" s="74" t="s">
        <v>568</v>
      </c>
      <c r="J302" s="75"/>
    </row>
    <row r="303" spans="1:10" customFormat="1" ht="35.1" hidden="1" customHeight="1">
      <c r="A303" s="69">
        <v>4</v>
      </c>
      <c r="B303" s="70" t="s">
        <v>574</v>
      </c>
      <c r="C303" s="71" t="s">
        <v>575</v>
      </c>
      <c r="D303" s="72" t="s">
        <v>576</v>
      </c>
      <c r="E303" s="73" t="s">
        <v>566</v>
      </c>
      <c r="F303" s="73">
        <v>1</v>
      </c>
      <c r="G303" s="71" t="s">
        <v>386</v>
      </c>
      <c r="H303" s="71" t="s">
        <v>567</v>
      </c>
      <c r="I303" s="74" t="s">
        <v>568</v>
      </c>
      <c r="J303" s="75"/>
    </row>
    <row r="304" spans="1:10" customFormat="1" ht="35.1" hidden="1" customHeight="1">
      <c r="A304" s="69">
        <v>5</v>
      </c>
      <c r="B304" s="70" t="s">
        <v>577</v>
      </c>
      <c r="C304" s="71" t="s">
        <v>578</v>
      </c>
      <c r="D304" s="72"/>
      <c r="E304" s="73" t="s">
        <v>566</v>
      </c>
      <c r="F304" s="73">
        <v>1</v>
      </c>
      <c r="G304" s="71" t="s">
        <v>386</v>
      </c>
      <c r="H304" s="71" t="s">
        <v>567</v>
      </c>
      <c r="I304" s="74" t="s">
        <v>568</v>
      </c>
      <c r="J304" s="75"/>
    </row>
    <row r="305" spans="1:10" customFormat="1" ht="35.1" hidden="1" customHeight="1">
      <c r="A305" s="69">
        <v>6</v>
      </c>
      <c r="B305" s="70" t="s">
        <v>579</v>
      </c>
      <c r="C305" s="71" t="s">
        <v>580</v>
      </c>
      <c r="D305" s="72"/>
      <c r="E305" s="73" t="s">
        <v>566</v>
      </c>
      <c r="F305" s="73">
        <v>1</v>
      </c>
      <c r="G305" s="71" t="s">
        <v>386</v>
      </c>
      <c r="H305" s="71" t="s">
        <v>567</v>
      </c>
      <c r="I305" s="74" t="s">
        <v>568</v>
      </c>
      <c r="J305" s="75"/>
    </row>
    <row r="306" spans="1:10" customFormat="1" ht="35.1" hidden="1" customHeight="1">
      <c r="A306" s="69">
        <v>7</v>
      </c>
      <c r="B306" s="70" t="s">
        <v>581</v>
      </c>
      <c r="C306" s="71" t="s">
        <v>582</v>
      </c>
      <c r="D306" s="72"/>
      <c r="E306" s="73" t="s">
        <v>566</v>
      </c>
      <c r="F306" s="73">
        <v>1</v>
      </c>
      <c r="G306" s="71" t="s">
        <v>386</v>
      </c>
      <c r="H306" s="71" t="s">
        <v>567</v>
      </c>
      <c r="I306" s="74" t="s">
        <v>568</v>
      </c>
      <c r="J306" s="75"/>
    </row>
    <row r="307" spans="1:10" s="86" customFormat="1" ht="35.1" hidden="1" customHeight="1">
      <c r="A307" s="77">
        <v>8</v>
      </c>
      <c r="B307" s="78"/>
      <c r="C307" s="79" t="s">
        <v>583</v>
      </c>
      <c r="D307" s="80"/>
      <c r="E307" s="81" t="s">
        <v>584</v>
      </c>
      <c r="F307" s="82">
        <v>1</v>
      </c>
      <c r="G307" s="83" t="s">
        <v>386</v>
      </c>
      <c r="H307" s="83" t="s">
        <v>567</v>
      </c>
      <c r="I307" s="84" t="s">
        <v>568</v>
      </c>
      <c r="J307" s="85"/>
    </row>
    <row r="308" spans="1:10" customFormat="1" ht="35.1" hidden="1" customHeight="1">
      <c r="A308" s="69">
        <v>9</v>
      </c>
      <c r="B308" s="70" t="s">
        <v>585</v>
      </c>
      <c r="C308" s="71" t="s">
        <v>564</v>
      </c>
      <c r="D308" s="72" t="s">
        <v>586</v>
      </c>
      <c r="E308" s="73" t="s">
        <v>566</v>
      </c>
      <c r="F308" s="73">
        <v>1</v>
      </c>
      <c r="G308" s="71" t="s">
        <v>386</v>
      </c>
      <c r="H308" s="71" t="s">
        <v>567</v>
      </c>
      <c r="I308" s="87" t="s">
        <v>587</v>
      </c>
      <c r="J308" s="71"/>
    </row>
    <row r="309" spans="1:10" customFormat="1" ht="35.1" hidden="1" customHeight="1">
      <c r="A309" s="69">
        <v>10</v>
      </c>
      <c r="B309" s="70" t="s">
        <v>588</v>
      </c>
      <c r="C309" s="76" t="s">
        <v>589</v>
      </c>
      <c r="D309" s="72" t="s">
        <v>590</v>
      </c>
      <c r="E309" s="73" t="s">
        <v>566</v>
      </c>
      <c r="F309" s="73">
        <v>1</v>
      </c>
      <c r="G309" s="88" t="s">
        <v>591</v>
      </c>
      <c r="H309" s="71" t="s">
        <v>567</v>
      </c>
      <c r="I309" s="87" t="s">
        <v>587</v>
      </c>
      <c r="J309" s="71"/>
    </row>
    <row r="310" spans="1:10" customFormat="1" ht="35.1" hidden="1" customHeight="1">
      <c r="A310" s="69">
        <v>11</v>
      </c>
      <c r="B310" s="70" t="s">
        <v>592</v>
      </c>
      <c r="C310" s="76" t="s">
        <v>120</v>
      </c>
      <c r="D310" s="72"/>
      <c r="E310" s="73" t="s">
        <v>566</v>
      </c>
      <c r="F310" s="73">
        <v>1</v>
      </c>
      <c r="G310" s="71" t="s">
        <v>386</v>
      </c>
      <c r="H310" s="71" t="s">
        <v>567</v>
      </c>
      <c r="I310" s="87" t="s">
        <v>587</v>
      </c>
      <c r="J310" s="71"/>
    </row>
    <row r="311" spans="1:10" customFormat="1" ht="35.1" hidden="1" customHeight="1">
      <c r="A311" s="69">
        <v>12</v>
      </c>
      <c r="B311" s="70" t="s">
        <v>593</v>
      </c>
      <c r="C311" s="71" t="s">
        <v>115</v>
      </c>
      <c r="D311" s="72" t="s">
        <v>594</v>
      </c>
      <c r="E311" s="73" t="s">
        <v>566</v>
      </c>
      <c r="F311" s="73">
        <v>1</v>
      </c>
      <c r="G311" s="71" t="s">
        <v>386</v>
      </c>
      <c r="H311" s="71" t="s">
        <v>567</v>
      </c>
      <c r="I311" s="87" t="s">
        <v>587</v>
      </c>
      <c r="J311" s="71"/>
    </row>
    <row r="312" spans="1:10" customFormat="1" ht="35.1" hidden="1" customHeight="1">
      <c r="A312" s="69">
        <v>13</v>
      </c>
      <c r="B312" s="70" t="s">
        <v>595</v>
      </c>
      <c r="C312" s="71" t="s">
        <v>575</v>
      </c>
      <c r="D312" s="72" t="s">
        <v>596</v>
      </c>
      <c r="E312" s="73" t="s">
        <v>566</v>
      </c>
      <c r="F312" s="73">
        <v>1</v>
      </c>
      <c r="G312" s="71" t="s">
        <v>386</v>
      </c>
      <c r="H312" s="71" t="s">
        <v>567</v>
      </c>
      <c r="I312" s="87" t="s">
        <v>587</v>
      </c>
      <c r="J312" s="71"/>
    </row>
    <row r="313" spans="1:10" customFormat="1" ht="35.1" hidden="1" customHeight="1">
      <c r="A313" s="69">
        <v>14</v>
      </c>
      <c r="B313" s="70" t="s">
        <v>597</v>
      </c>
      <c r="C313" s="71" t="s">
        <v>578</v>
      </c>
      <c r="D313" s="72"/>
      <c r="E313" s="73" t="s">
        <v>566</v>
      </c>
      <c r="F313" s="73">
        <v>1</v>
      </c>
      <c r="G313" s="71" t="s">
        <v>386</v>
      </c>
      <c r="H313" s="71" t="s">
        <v>567</v>
      </c>
      <c r="I313" s="87" t="s">
        <v>587</v>
      </c>
      <c r="J313" s="71"/>
    </row>
    <row r="314" spans="1:10" customFormat="1" ht="35.1" hidden="1" customHeight="1">
      <c r="A314" s="69">
        <v>15</v>
      </c>
      <c r="B314" s="70" t="s">
        <v>598</v>
      </c>
      <c r="C314" s="71" t="s">
        <v>580</v>
      </c>
      <c r="D314" s="72"/>
      <c r="E314" s="73" t="s">
        <v>566</v>
      </c>
      <c r="F314" s="73">
        <v>1</v>
      </c>
      <c r="G314" s="71" t="s">
        <v>386</v>
      </c>
      <c r="H314" s="71" t="s">
        <v>567</v>
      </c>
      <c r="I314" s="87" t="s">
        <v>587</v>
      </c>
      <c r="J314" s="71"/>
    </row>
    <row r="315" spans="1:10" customFormat="1" ht="35.1" hidden="1" customHeight="1">
      <c r="A315" s="69">
        <v>16</v>
      </c>
      <c r="B315" s="70" t="s">
        <v>599</v>
      </c>
      <c r="C315" s="71" t="s">
        <v>582</v>
      </c>
      <c r="D315" s="72"/>
      <c r="E315" s="73" t="s">
        <v>566</v>
      </c>
      <c r="F315" s="73">
        <v>1</v>
      </c>
      <c r="G315" s="71" t="s">
        <v>386</v>
      </c>
      <c r="H315" s="71" t="s">
        <v>567</v>
      </c>
      <c r="I315" s="87" t="s">
        <v>587</v>
      </c>
      <c r="J315" s="71"/>
    </row>
    <row r="316" spans="1:10" customFormat="1" ht="35.1" hidden="1" customHeight="1">
      <c r="A316" s="69">
        <v>17</v>
      </c>
      <c r="B316" s="70" t="s">
        <v>600</v>
      </c>
      <c r="C316" s="71" t="s">
        <v>601</v>
      </c>
      <c r="D316" s="72"/>
      <c r="E316" s="73" t="s">
        <v>566</v>
      </c>
      <c r="F316" s="73">
        <v>1</v>
      </c>
      <c r="G316" s="71" t="s">
        <v>386</v>
      </c>
      <c r="H316" s="71" t="s">
        <v>567</v>
      </c>
      <c r="I316" s="87" t="s">
        <v>602</v>
      </c>
      <c r="J316" s="71"/>
    </row>
    <row r="317" spans="1:10" customFormat="1" ht="35.1" hidden="1" customHeight="1">
      <c r="A317" s="69">
        <v>18</v>
      </c>
      <c r="B317" s="70" t="s">
        <v>603</v>
      </c>
      <c r="C317" s="71" t="s">
        <v>601</v>
      </c>
      <c r="D317" s="72"/>
      <c r="E317" s="73" t="s">
        <v>566</v>
      </c>
      <c r="F317" s="73">
        <v>1</v>
      </c>
      <c r="G317" s="71" t="s">
        <v>386</v>
      </c>
      <c r="H317" s="71" t="s">
        <v>567</v>
      </c>
      <c r="I317" s="87" t="s">
        <v>602</v>
      </c>
      <c r="J317" s="71"/>
    </row>
    <row r="318" spans="1:10" customFormat="1" ht="35.1" hidden="1" customHeight="1">
      <c r="A318" s="69">
        <v>19</v>
      </c>
      <c r="B318" s="70" t="s">
        <v>604</v>
      </c>
      <c r="C318" s="71" t="s">
        <v>605</v>
      </c>
      <c r="D318" s="72"/>
      <c r="E318" s="73" t="s">
        <v>566</v>
      </c>
      <c r="F318" s="73">
        <v>1</v>
      </c>
      <c r="G318" s="71" t="s">
        <v>386</v>
      </c>
      <c r="H318" s="71" t="s">
        <v>567</v>
      </c>
      <c r="I318" s="87" t="s">
        <v>602</v>
      </c>
      <c r="J318" s="71"/>
    </row>
    <row r="319" spans="1:10" customFormat="1" ht="35.1" hidden="1" customHeight="1">
      <c r="A319" s="69">
        <v>20</v>
      </c>
      <c r="B319" s="70" t="s">
        <v>606</v>
      </c>
      <c r="C319" s="71" t="s">
        <v>605</v>
      </c>
      <c r="D319" s="72"/>
      <c r="E319" s="73" t="s">
        <v>566</v>
      </c>
      <c r="F319" s="73">
        <v>1</v>
      </c>
      <c r="G319" s="71" t="s">
        <v>386</v>
      </c>
      <c r="H319" s="71" t="s">
        <v>567</v>
      </c>
      <c r="I319" s="87" t="s">
        <v>602</v>
      </c>
      <c r="J319" s="71"/>
    </row>
    <row r="320" spans="1:10" customFormat="1" ht="35.1" hidden="1" customHeight="1">
      <c r="A320" s="69">
        <v>21</v>
      </c>
      <c r="B320" s="70" t="s">
        <v>607</v>
      </c>
      <c r="C320" s="71" t="s">
        <v>564</v>
      </c>
      <c r="D320" s="72" t="s">
        <v>608</v>
      </c>
      <c r="E320" s="73" t="s">
        <v>566</v>
      </c>
      <c r="F320" s="73">
        <v>1</v>
      </c>
      <c r="G320" s="71" t="s">
        <v>386</v>
      </c>
      <c r="H320" s="71" t="s">
        <v>567</v>
      </c>
      <c r="I320" s="87" t="s">
        <v>602</v>
      </c>
      <c r="J320" s="71"/>
    </row>
    <row r="321" spans="1:10" customFormat="1" ht="35.1" hidden="1" customHeight="1">
      <c r="A321" s="69">
        <v>22</v>
      </c>
      <c r="B321" s="70" t="s">
        <v>609</v>
      </c>
      <c r="C321" s="71" t="s">
        <v>610</v>
      </c>
      <c r="D321" s="72"/>
      <c r="E321" s="73" t="s">
        <v>566</v>
      </c>
      <c r="F321" s="73">
        <v>1</v>
      </c>
      <c r="G321" s="71" t="s">
        <v>386</v>
      </c>
      <c r="H321" s="71" t="s">
        <v>567</v>
      </c>
      <c r="I321" s="87" t="s">
        <v>602</v>
      </c>
      <c r="J321" s="71"/>
    </row>
    <row r="322" spans="1:10" customFormat="1" ht="35.1" hidden="1" customHeight="1">
      <c r="A322" s="69">
        <v>23</v>
      </c>
      <c r="B322" s="70" t="s">
        <v>611</v>
      </c>
      <c r="C322" s="71" t="s">
        <v>612</v>
      </c>
      <c r="D322" s="72" t="s">
        <v>613</v>
      </c>
      <c r="E322" s="73" t="s">
        <v>566</v>
      </c>
      <c r="F322" s="73">
        <v>1</v>
      </c>
      <c r="G322" s="71" t="s">
        <v>386</v>
      </c>
      <c r="H322" s="71" t="s">
        <v>567</v>
      </c>
      <c r="I322" s="87" t="s">
        <v>602</v>
      </c>
      <c r="J322" s="71"/>
    </row>
    <row r="323" spans="1:10" customFormat="1" ht="35.1" hidden="1" customHeight="1">
      <c r="A323" s="69">
        <v>24</v>
      </c>
      <c r="B323" s="70" t="s">
        <v>614</v>
      </c>
      <c r="C323" s="71" t="s">
        <v>615</v>
      </c>
      <c r="D323" s="72"/>
      <c r="E323" s="73" t="s">
        <v>566</v>
      </c>
      <c r="F323" s="73">
        <v>1</v>
      </c>
      <c r="G323" s="71" t="s">
        <v>386</v>
      </c>
      <c r="H323" s="71" t="s">
        <v>567</v>
      </c>
      <c r="I323" s="87" t="s">
        <v>602</v>
      </c>
      <c r="J323" s="71"/>
    </row>
    <row r="324" spans="1:10" customFormat="1" ht="35.1" hidden="1" customHeight="1">
      <c r="A324" s="69">
        <v>25</v>
      </c>
      <c r="B324" s="70" t="s">
        <v>616</v>
      </c>
      <c r="C324" s="71" t="s">
        <v>578</v>
      </c>
      <c r="D324" s="72"/>
      <c r="E324" s="73" t="s">
        <v>566</v>
      </c>
      <c r="F324" s="73">
        <v>1</v>
      </c>
      <c r="G324" s="71" t="s">
        <v>386</v>
      </c>
      <c r="H324" s="71" t="s">
        <v>567</v>
      </c>
      <c r="I324" s="87" t="s">
        <v>602</v>
      </c>
      <c r="J324" s="71"/>
    </row>
    <row r="325" spans="1:10" customFormat="1" ht="35.1" hidden="1" customHeight="1">
      <c r="A325" s="69">
        <v>26</v>
      </c>
      <c r="B325" s="70" t="s">
        <v>617</v>
      </c>
      <c r="C325" s="71" t="s">
        <v>580</v>
      </c>
      <c r="D325" s="72"/>
      <c r="E325" s="73" t="s">
        <v>566</v>
      </c>
      <c r="F325" s="73">
        <v>1</v>
      </c>
      <c r="G325" s="71" t="s">
        <v>386</v>
      </c>
      <c r="H325" s="71" t="s">
        <v>567</v>
      </c>
      <c r="I325" s="87" t="s">
        <v>602</v>
      </c>
      <c r="J325" s="71"/>
    </row>
    <row r="326" spans="1:10" customFormat="1" ht="35.1" hidden="1" customHeight="1">
      <c r="A326" s="69">
        <v>27</v>
      </c>
      <c r="B326" s="70" t="s">
        <v>618</v>
      </c>
      <c r="C326" s="71" t="s">
        <v>582</v>
      </c>
      <c r="D326" s="72"/>
      <c r="E326" s="73" t="s">
        <v>566</v>
      </c>
      <c r="F326" s="73">
        <v>1</v>
      </c>
      <c r="G326" s="71" t="s">
        <v>386</v>
      </c>
      <c r="H326" s="71" t="s">
        <v>567</v>
      </c>
      <c r="I326" s="87" t="s">
        <v>602</v>
      </c>
      <c r="J326" s="71"/>
    </row>
    <row r="327" spans="1:10" customFormat="1" ht="35.1" hidden="1" customHeight="1">
      <c r="A327" s="69">
        <v>28</v>
      </c>
      <c r="B327" s="70"/>
      <c r="C327" s="76" t="s">
        <v>583</v>
      </c>
      <c r="D327" s="72"/>
      <c r="E327" s="89" t="s">
        <v>584</v>
      </c>
      <c r="F327" s="73">
        <v>1</v>
      </c>
      <c r="G327" s="71" t="s">
        <v>386</v>
      </c>
      <c r="H327" s="71" t="s">
        <v>567</v>
      </c>
      <c r="I327" s="87" t="s">
        <v>602</v>
      </c>
      <c r="J327" s="75"/>
    </row>
    <row r="328" spans="1:10" customFormat="1" ht="35.1" hidden="1" customHeight="1">
      <c r="A328" s="69">
        <v>29</v>
      </c>
      <c r="B328" s="70" t="s">
        <v>619</v>
      </c>
      <c r="C328" s="71" t="s">
        <v>620</v>
      </c>
      <c r="D328" s="72" t="s">
        <v>621</v>
      </c>
      <c r="E328" s="73" t="s">
        <v>566</v>
      </c>
      <c r="F328" s="73">
        <v>1</v>
      </c>
      <c r="G328" s="71" t="s">
        <v>386</v>
      </c>
      <c r="H328" s="71" t="s">
        <v>567</v>
      </c>
      <c r="I328" s="87" t="s">
        <v>622</v>
      </c>
      <c r="J328" s="71"/>
    </row>
    <row r="329" spans="1:10" customFormat="1" ht="35.1" hidden="1" customHeight="1">
      <c r="A329" s="69">
        <v>30</v>
      </c>
      <c r="B329" s="70" t="s">
        <v>623</v>
      </c>
      <c r="C329" s="71" t="s">
        <v>115</v>
      </c>
      <c r="D329" s="72"/>
      <c r="E329" s="73" t="s">
        <v>624</v>
      </c>
      <c r="F329" s="73">
        <v>1</v>
      </c>
      <c r="G329" s="71" t="s">
        <v>386</v>
      </c>
      <c r="H329" s="71" t="s">
        <v>567</v>
      </c>
      <c r="I329" s="87" t="s">
        <v>622</v>
      </c>
      <c r="J329" s="71"/>
    </row>
    <row r="330" spans="1:10" customFormat="1" ht="35.1" hidden="1" customHeight="1">
      <c r="A330" s="69">
        <v>31</v>
      </c>
      <c r="B330" s="70" t="s">
        <v>625</v>
      </c>
      <c r="C330" s="71" t="s">
        <v>626</v>
      </c>
      <c r="D330" s="72"/>
      <c r="E330" s="73" t="s">
        <v>624</v>
      </c>
      <c r="F330" s="73">
        <v>1</v>
      </c>
      <c r="G330" s="71" t="s">
        <v>386</v>
      </c>
      <c r="H330" s="71" t="s">
        <v>567</v>
      </c>
      <c r="I330" s="87" t="s">
        <v>622</v>
      </c>
      <c r="J330" s="71"/>
    </row>
    <row r="331" spans="1:10" customFormat="1" ht="35.1" hidden="1" customHeight="1">
      <c r="A331" s="69">
        <v>32</v>
      </c>
      <c r="B331" s="70" t="s">
        <v>627</v>
      </c>
      <c r="C331" s="71" t="s">
        <v>578</v>
      </c>
      <c r="D331" s="72"/>
      <c r="E331" s="73" t="s">
        <v>566</v>
      </c>
      <c r="F331" s="73">
        <v>1</v>
      </c>
      <c r="G331" s="71" t="s">
        <v>386</v>
      </c>
      <c r="H331" s="71" t="s">
        <v>567</v>
      </c>
      <c r="I331" s="87" t="s">
        <v>622</v>
      </c>
      <c r="J331" s="71"/>
    </row>
    <row r="332" spans="1:10" customFormat="1" ht="35.1" hidden="1" customHeight="1">
      <c r="A332" s="69">
        <v>33</v>
      </c>
      <c r="B332" s="70" t="s">
        <v>628</v>
      </c>
      <c r="C332" s="71" t="s">
        <v>580</v>
      </c>
      <c r="D332" s="72"/>
      <c r="E332" s="73" t="s">
        <v>566</v>
      </c>
      <c r="F332" s="73">
        <v>1</v>
      </c>
      <c r="G332" s="71" t="s">
        <v>386</v>
      </c>
      <c r="H332" s="71" t="s">
        <v>567</v>
      </c>
      <c r="I332" s="87" t="s">
        <v>622</v>
      </c>
      <c r="J332" s="71"/>
    </row>
    <row r="333" spans="1:10" customFormat="1" ht="35.1" hidden="1" customHeight="1">
      <c r="A333" s="69">
        <v>34</v>
      </c>
      <c r="B333" s="70" t="s">
        <v>629</v>
      </c>
      <c r="C333" s="71" t="s">
        <v>582</v>
      </c>
      <c r="D333" s="72"/>
      <c r="E333" s="73" t="s">
        <v>566</v>
      </c>
      <c r="F333" s="73">
        <v>1</v>
      </c>
      <c r="G333" s="71" t="s">
        <v>386</v>
      </c>
      <c r="H333" s="71" t="s">
        <v>567</v>
      </c>
      <c r="I333" s="87" t="s">
        <v>622</v>
      </c>
      <c r="J333" s="71"/>
    </row>
    <row r="334" spans="1:10" customFormat="1" ht="35.1" hidden="1" customHeight="1">
      <c r="A334" s="69">
        <v>35</v>
      </c>
      <c r="B334" s="70"/>
      <c r="C334" s="76" t="s">
        <v>583</v>
      </c>
      <c r="D334" s="72"/>
      <c r="E334" s="89" t="s">
        <v>584</v>
      </c>
      <c r="F334" s="73">
        <v>1</v>
      </c>
      <c r="G334" s="71" t="s">
        <v>386</v>
      </c>
      <c r="H334" s="71" t="s">
        <v>567</v>
      </c>
      <c r="I334" s="87" t="s">
        <v>622</v>
      </c>
      <c r="J334" s="75"/>
    </row>
    <row r="335" spans="1:10" customFormat="1" ht="35.1" hidden="1" customHeight="1">
      <c r="A335" s="69">
        <v>36</v>
      </c>
      <c r="B335" s="70" t="s">
        <v>630</v>
      </c>
      <c r="C335" s="71" t="s">
        <v>564</v>
      </c>
      <c r="D335" s="72"/>
      <c r="E335" s="73" t="s">
        <v>566</v>
      </c>
      <c r="F335" s="73">
        <v>1</v>
      </c>
      <c r="G335" s="71" t="s">
        <v>386</v>
      </c>
      <c r="H335" s="71" t="s">
        <v>567</v>
      </c>
      <c r="I335" s="87" t="s">
        <v>631</v>
      </c>
      <c r="J335" s="71"/>
    </row>
    <row r="336" spans="1:10" customFormat="1" ht="35.1" hidden="1" customHeight="1">
      <c r="A336" s="69">
        <v>37</v>
      </c>
      <c r="B336" s="70" t="s">
        <v>632</v>
      </c>
      <c r="C336" s="76" t="s">
        <v>633</v>
      </c>
      <c r="D336" s="72" t="s">
        <v>634</v>
      </c>
      <c r="E336" s="73" t="s">
        <v>566</v>
      </c>
      <c r="F336" s="73">
        <v>1</v>
      </c>
      <c r="G336" s="71" t="s">
        <v>386</v>
      </c>
      <c r="H336" s="71" t="s">
        <v>567</v>
      </c>
      <c r="I336" s="87" t="s">
        <v>631</v>
      </c>
      <c r="J336" s="71"/>
    </row>
    <row r="337" spans="1:10" customFormat="1" ht="35.1" hidden="1" customHeight="1">
      <c r="A337" s="69">
        <v>38</v>
      </c>
      <c r="B337" s="70" t="s">
        <v>635</v>
      </c>
      <c r="C337" s="76" t="s">
        <v>120</v>
      </c>
      <c r="D337" s="72"/>
      <c r="E337" s="73" t="s">
        <v>566</v>
      </c>
      <c r="F337" s="73">
        <v>1</v>
      </c>
      <c r="G337" s="71" t="s">
        <v>386</v>
      </c>
      <c r="H337" s="71" t="s">
        <v>567</v>
      </c>
      <c r="I337" s="87" t="s">
        <v>631</v>
      </c>
      <c r="J337" s="71"/>
    </row>
    <row r="338" spans="1:10" customFormat="1" ht="35.1" hidden="1" customHeight="1">
      <c r="A338" s="69">
        <v>39</v>
      </c>
      <c r="B338" s="70" t="s">
        <v>636</v>
      </c>
      <c r="C338" s="71" t="s">
        <v>578</v>
      </c>
      <c r="D338" s="72"/>
      <c r="E338" s="73" t="s">
        <v>566</v>
      </c>
      <c r="F338" s="73">
        <v>1</v>
      </c>
      <c r="G338" s="71" t="s">
        <v>386</v>
      </c>
      <c r="H338" s="71" t="s">
        <v>567</v>
      </c>
      <c r="I338" s="87" t="s">
        <v>631</v>
      </c>
      <c r="J338" s="71"/>
    </row>
    <row r="339" spans="1:10" customFormat="1" ht="35.1" hidden="1" customHeight="1">
      <c r="A339" s="69">
        <v>40</v>
      </c>
      <c r="B339" s="70" t="s">
        <v>637</v>
      </c>
      <c r="C339" s="71" t="s">
        <v>580</v>
      </c>
      <c r="D339" s="72"/>
      <c r="E339" s="73" t="s">
        <v>566</v>
      </c>
      <c r="F339" s="73">
        <v>1</v>
      </c>
      <c r="G339" s="71" t="s">
        <v>386</v>
      </c>
      <c r="H339" s="71" t="s">
        <v>567</v>
      </c>
      <c r="I339" s="87" t="s">
        <v>631</v>
      </c>
      <c r="J339" s="71"/>
    </row>
    <row r="340" spans="1:10" customFormat="1" ht="35.1" hidden="1" customHeight="1">
      <c r="A340" s="69">
        <v>41</v>
      </c>
      <c r="B340" s="70" t="s">
        <v>638</v>
      </c>
      <c r="C340" s="71" t="s">
        <v>582</v>
      </c>
      <c r="D340" s="72"/>
      <c r="E340" s="73" t="s">
        <v>566</v>
      </c>
      <c r="F340" s="73">
        <v>1</v>
      </c>
      <c r="G340" s="71" t="s">
        <v>386</v>
      </c>
      <c r="H340" s="71" t="s">
        <v>567</v>
      </c>
      <c r="I340" s="87" t="s">
        <v>631</v>
      </c>
      <c r="J340" s="71"/>
    </row>
    <row r="341" spans="1:10" s="86" customFormat="1" ht="35.1" hidden="1" customHeight="1">
      <c r="A341" s="69">
        <v>42</v>
      </c>
      <c r="B341" s="78"/>
      <c r="C341" s="79" t="s">
        <v>583</v>
      </c>
      <c r="D341" s="80"/>
      <c r="E341" s="81" t="s">
        <v>584</v>
      </c>
      <c r="F341" s="82">
        <v>1</v>
      </c>
      <c r="G341" s="83" t="s">
        <v>386</v>
      </c>
      <c r="H341" s="83" t="s">
        <v>567</v>
      </c>
      <c r="I341" s="90" t="s">
        <v>631</v>
      </c>
      <c r="J341" s="85"/>
    </row>
    <row r="342" spans="1:10" customFormat="1" ht="35.1" hidden="1" customHeight="1">
      <c r="A342" s="69">
        <v>43</v>
      </c>
      <c r="B342" s="70" t="s">
        <v>639</v>
      </c>
      <c r="C342" s="76" t="s">
        <v>640</v>
      </c>
      <c r="D342" s="72"/>
      <c r="E342" s="73" t="s">
        <v>566</v>
      </c>
      <c r="F342" s="73">
        <v>1</v>
      </c>
      <c r="G342" s="71" t="s">
        <v>386</v>
      </c>
      <c r="H342" s="71" t="s">
        <v>567</v>
      </c>
      <c r="I342" s="87" t="s">
        <v>631</v>
      </c>
      <c r="J342" s="75"/>
    </row>
    <row r="343" spans="1:10" customFormat="1" ht="35.1" hidden="1" customHeight="1">
      <c r="A343" s="69">
        <v>44</v>
      </c>
      <c r="B343" s="70" t="s">
        <v>696</v>
      </c>
      <c r="C343" s="76" t="s">
        <v>641</v>
      </c>
      <c r="D343" s="91" t="s">
        <v>642</v>
      </c>
      <c r="E343" s="73" t="s">
        <v>566</v>
      </c>
      <c r="F343" s="73">
        <v>1</v>
      </c>
      <c r="G343" s="71" t="s">
        <v>386</v>
      </c>
      <c r="H343" s="71" t="s">
        <v>567</v>
      </c>
      <c r="I343" s="87" t="s">
        <v>631</v>
      </c>
      <c r="J343" s="75"/>
    </row>
    <row r="344" spans="1:10" customFormat="1" ht="35.1" hidden="1" customHeight="1">
      <c r="A344" s="69">
        <v>45</v>
      </c>
      <c r="B344" s="70" t="s">
        <v>643</v>
      </c>
      <c r="C344" s="76" t="s">
        <v>601</v>
      </c>
      <c r="D344" s="91"/>
      <c r="E344" s="73" t="s">
        <v>566</v>
      </c>
      <c r="F344" s="73">
        <v>1</v>
      </c>
      <c r="G344" s="71" t="s">
        <v>386</v>
      </c>
      <c r="H344" s="71" t="s">
        <v>567</v>
      </c>
      <c r="I344" s="87" t="s">
        <v>631</v>
      </c>
      <c r="J344" s="75"/>
    </row>
    <row r="345" spans="1:10" customFormat="1" ht="35.1" hidden="1" customHeight="1">
      <c r="A345" s="69">
        <v>46</v>
      </c>
      <c r="B345" s="70" t="s">
        <v>644</v>
      </c>
      <c r="C345" s="71" t="s">
        <v>451</v>
      </c>
      <c r="D345" s="72" t="s">
        <v>645</v>
      </c>
      <c r="E345" s="73" t="s">
        <v>566</v>
      </c>
      <c r="F345" s="73">
        <v>1</v>
      </c>
      <c r="G345" s="71" t="s">
        <v>386</v>
      </c>
      <c r="H345" s="71" t="s">
        <v>567</v>
      </c>
      <c r="I345" s="87" t="s">
        <v>646</v>
      </c>
      <c r="J345" s="71"/>
    </row>
    <row r="346" spans="1:10" customFormat="1" ht="35.1" hidden="1" customHeight="1">
      <c r="A346" s="69">
        <v>47</v>
      </c>
      <c r="B346" s="70" t="s">
        <v>647</v>
      </c>
      <c r="C346" s="76" t="s">
        <v>570</v>
      </c>
      <c r="D346" s="72" t="s">
        <v>648</v>
      </c>
      <c r="E346" s="73" t="s">
        <v>566</v>
      </c>
      <c r="F346" s="73">
        <v>1</v>
      </c>
      <c r="G346" s="71" t="s">
        <v>386</v>
      </c>
      <c r="H346" s="71" t="s">
        <v>567</v>
      </c>
      <c r="I346" s="92" t="s">
        <v>646</v>
      </c>
      <c r="J346" s="71"/>
    </row>
    <row r="347" spans="1:10" customFormat="1" ht="35.1" hidden="1" customHeight="1">
      <c r="A347" s="69">
        <v>48</v>
      </c>
      <c r="B347" s="70" t="s">
        <v>649</v>
      </c>
      <c r="C347" s="71" t="s">
        <v>575</v>
      </c>
      <c r="D347" s="72" t="s">
        <v>650</v>
      </c>
      <c r="E347" s="93" t="s">
        <v>566</v>
      </c>
      <c r="F347" s="94">
        <v>1</v>
      </c>
      <c r="G347" s="95" t="s">
        <v>386</v>
      </c>
      <c r="H347" s="71" t="s">
        <v>567</v>
      </c>
      <c r="I347" s="92" t="s">
        <v>646</v>
      </c>
      <c r="J347" s="71"/>
    </row>
    <row r="348" spans="1:10" customFormat="1" ht="35.1" hidden="1" customHeight="1">
      <c r="A348" s="69">
        <v>49</v>
      </c>
      <c r="B348" s="70" t="s">
        <v>651</v>
      </c>
      <c r="C348" s="71" t="s">
        <v>578</v>
      </c>
      <c r="D348" s="72"/>
      <c r="E348" s="73" t="s">
        <v>566</v>
      </c>
      <c r="F348" s="73">
        <v>1</v>
      </c>
      <c r="G348" s="71" t="s">
        <v>386</v>
      </c>
      <c r="H348" s="71" t="s">
        <v>567</v>
      </c>
      <c r="I348" s="92" t="s">
        <v>646</v>
      </c>
      <c r="J348" s="71"/>
    </row>
    <row r="349" spans="1:10" customFormat="1" ht="35.1" hidden="1" customHeight="1">
      <c r="A349" s="69">
        <v>50</v>
      </c>
      <c r="B349" s="70" t="s">
        <v>652</v>
      </c>
      <c r="C349" s="71" t="s">
        <v>580</v>
      </c>
      <c r="D349" s="72"/>
      <c r="E349" s="73" t="s">
        <v>566</v>
      </c>
      <c r="F349" s="73">
        <v>1</v>
      </c>
      <c r="G349" s="71" t="s">
        <v>386</v>
      </c>
      <c r="H349" s="71" t="s">
        <v>567</v>
      </c>
      <c r="I349" s="92" t="s">
        <v>646</v>
      </c>
      <c r="J349" s="71"/>
    </row>
    <row r="350" spans="1:10" customFormat="1" ht="35.1" hidden="1" customHeight="1">
      <c r="A350" s="69">
        <v>51</v>
      </c>
      <c r="B350" s="70" t="s">
        <v>653</v>
      </c>
      <c r="C350" s="71" t="s">
        <v>582</v>
      </c>
      <c r="D350" s="72"/>
      <c r="E350" s="73" t="s">
        <v>566</v>
      </c>
      <c r="F350" s="73">
        <v>1</v>
      </c>
      <c r="G350" s="71" t="s">
        <v>386</v>
      </c>
      <c r="H350" s="71" t="s">
        <v>567</v>
      </c>
      <c r="I350" s="92" t="s">
        <v>646</v>
      </c>
      <c r="J350" s="71"/>
    </row>
    <row r="351" spans="1:10" s="86" customFormat="1" ht="35.1" hidden="1" customHeight="1">
      <c r="A351" s="69">
        <v>52</v>
      </c>
      <c r="B351" s="78"/>
      <c r="C351" s="79" t="s">
        <v>583</v>
      </c>
      <c r="D351" s="80"/>
      <c r="E351" s="81" t="s">
        <v>584</v>
      </c>
      <c r="F351" s="82">
        <v>1</v>
      </c>
      <c r="G351" s="83" t="s">
        <v>386</v>
      </c>
      <c r="H351" s="83" t="s">
        <v>567</v>
      </c>
      <c r="I351" s="96" t="s">
        <v>646</v>
      </c>
      <c r="J351" s="85"/>
    </row>
    <row r="352" spans="1:10" customFormat="1" ht="35.1" hidden="1" customHeight="1">
      <c r="A352" s="69">
        <v>53</v>
      </c>
      <c r="B352" s="70" t="s">
        <v>654</v>
      </c>
      <c r="C352" s="71" t="s">
        <v>564</v>
      </c>
      <c r="D352" s="72" t="s">
        <v>655</v>
      </c>
      <c r="E352" s="73" t="s">
        <v>566</v>
      </c>
      <c r="F352" s="73">
        <v>1</v>
      </c>
      <c r="G352" s="71" t="s">
        <v>386</v>
      </c>
      <c r="H352" s="71" t="s">
        <v>567</v>
      </c>
      <c r="I352" s="87" t="s">
        <v>656</v>
      </c>
      <c r="J352" s="71"/>
    </row>
    <row r="353" spans="1:10" customFormat="1" ht="46.5" hidden="1" customHeight="1">
      <c r="A353" s="69">
        <v>54</v>
      </c>
      <c r="B353" s="70" t="s">
        <v>657</v>
      </c>
      <c r="C353" s="71" t="s">
        <v>620</v>
      </c>
      <c r="D353" s="72" t="s">
        <v>658</v>
      </c>
      <c r="E353" s="73" t="s">
        <v>566</v>
      </c>
      <c r="F353" s="73">
        <v>1</v>
      </c>
      <c r="G353" s="71" t="s">
        <v>386</v>
      </c>
      <c r="H353" s="71" t="s">
        <v>567</v>
      </c>
      <c r="I353" s="87" t="s">
        <v>656</v>
      </c>
      <c r="J353" s="71"/>
    </row>
    <row r="354" spans="1:10" customFormat="1" ht="46.5" hidden="1" customHeight="1">
      <c r="A354" s="69">
        <v>55</v>
      </c>
      <c r="B354" s="70" t="s">
        <v>659</v>
      </c>
      <c r="C354" s="71" t="s">
        <v>120</v>
      </c>
      <c r="D354" s="72"/>
      <c r="E354" s="73" t="s">
        <v>566</v>
      </c>
      <c r="F354" s="73">
        <v>1</v>
      </c>
      <c r="G354" s="71" t="s">
        <v>386</v>
      </c>
      <c r="H354" s="71" t="s">
        <v>567</v>
      </c>
      <c r="I354" s="87" t="s">
        <v>656</v>
      </c>
      <c r="J354" s="71"/>
    </row>
    <row r="355" spans="1:10" customFormat="1" ht="35.1" hidden="1" customHeight="1">
      <c r="A355" s="69">
        <v>56</v>
      </c>
      <c r="B355" s="70" t="s">
        <v>697</v>
      </c>
      <c r="C355" s="71" t="s">
        <v>661</v>
      </c>
      <c r="D355" s="91" t="s">
        <v>662</v>
      </c>
      <c r="E355" s="73" t="s">
        <v>566</v>
      </c>
      <c r="F355" s="73">
        <v>1</v>
      </c>
      <c r="G355" s="71" t="s">
        <v>386</v>
      </c>
      <c r="H355" s="71" t="s">
        <v>567</v>
      </c>
      <c r="I355" s="87" t="s">
        <v>656</v>
      </c>
      <c r="J355" s="71"/>
    </row>
    <row r="356" spans="1:10" s="131" customFormat="1" ht="35.1" hidden="1" customHeight="1">
      <c r="A356" s="125">
        <v>57</v>
      </c>
      <c r="B356" s="126" t="s">
        <v>711</v>
      </c>
      <c r="C356" s="127" t="s">
        <v>663</v>
      </c>
      <c r="D356" s="128" t="s">
        <v>662</v>
      </c>
      <c r="E356" s="129" t="s">
        <v>566</v>
      </c>
      <c r="F356" s="129">
        <v>1</v>
      </c>
      <c r="G356" s="127" t="s">
        <v>386</v>
      </c>
      <c r="H356" s="127" t="s">
        <v>567</v>
      </c>
      <c r="I356" s="130" t="s">
        <v>656</v>
      </c>
      <c r="J356" s="127"/>
    </row>
    <row r="357" spans="1:10" customFormat="1" ht="35.1" hidden="1" customHeight="1">
      <c r="A357" s="69">
        <v>58</v>
      </c>
      <c r="B357" s="70" t="s">
        <v>664</v>
      </c>
      <c r="C357" s="71" t="s">
        <v>578</v>
      </c>
      <c r="D357" s="72"/>
      <c r="E357" s="73" t="s">
        <v>566</v>
      </c>
      <c r="F357" s="73">
        <v>1</v>
      </c>
      <c r="G357" s="71" t="s">
        <v>386</v>
      </c>
      <c r="H357" s="71" t="s">
        <v>567</v>
      </c>
      <c r="I357" s="87" t="s">
        <v>656</v>
      </c>
      <c r="J357" s="71"/>
    </row>
    <row r="358" spans="1:10" customFormat="1" ht="35.1" hidden="1" customHeight="1">
      <c r="A358" s="69">
        <v>59</v>
      </c>
      <c r="B358" s="70" t="s">
        <v>665</v>
      </c>
      <c r="C358" s="71" t="s">
        <v>580</v>
      </c>
      <c r="D358" s="72"/>
      <c r="E358" s="73" t="s">
        <v>566</v>
      </c>
      <c r="F358" s="73">
        <v>1</v>
      </c>
      <c r="G358" s="71" t="s">
        <v>386</v>
      </c>
      <c r="H358" s="71" t="s">
        <v>567</v>
      </c>
      <c r="I358" s="87" t="s">
        <v>656</v>
      </c>
      <c r="J358" s="71"/>
    </row>
    <row r="359" spans="1:10" customFormat="1" ht="35.1" hidden="1" customHeight="1">
      <c r="A359" s="69">
        <v>60</v>
      </c>
      <c r="B359" s="70" t="s">
        <v>666</v>
      </c>
      <c r="C359" s="71" t="s">
        <v>582</v>
      </c>
      <c r="D359" s="72"/>
      <c r="E359" s="73" t="s">
        <v>566</v>
      </c>
      <c r="F359" s="73">
        <v>1</v>
      </c>
      <c r="G359" s="71" t="s">
        <v>386</v>
      </c>
      <c r="H359" s="71" t="s">
        <v>567</v>
      </c>
      <c r="I359" s="87" t="s">
        <v>656</v>
      </c>
      <c r="J359" s="71"/>
    </row>
    <row r="360" spans="1:10" customFormat="1" ht="35.1" hidden="1" customHeight="1">
      <c r="A360" s="69">
        <v>61</v>
      </c>
      <c r="B360" s="70" t="s">
        <v>667</v>
      </c>
      <c r="C360" s="71" t="s">
        <v>601</v>
      </c>
      <c r="D360" s="72"/>
      <c r="E360" s="73" t="s">
        <v>566</v>
      </c>
      <c r="F360" s="73">
        <v>1</v>
      </c>
      <c r="G360" s="71" t="s">
        <v>386</v>
      </c>
      <c r="H360" s="71" t="s">
        <v>567</v>
      </c>
      <c r="I360" s="87" t="s">
        <v>656</v>
      </c>
      <c r="J360" s="71"/>
    </row>
    <row r="361" spans="1:10" customFormat="1" ht="35.1" hidden="1" customHeight="1">
      <c r="A361" s="69">
        <v>62</v>
      </c>
      <c r="B361" s="70" t="s">
        <v>668</v>
      </c>
      <c r="C361" s="71" t="s">
        <v>605</v>
      </c>
      <c r="D361" s="72"/>
      <c r="E361" s="73" t="s">
        <v>566</v>
      </c>
      <c r="F361" s="73">
        <v>1</v>
      </c>
      <c r="G361" s="71" t="s">
        <v>386</v>
      </c>
      <c r="H361" s="71" t="s">
        <v>567</v>
      </c>
      <c r="I361" s="87" t="s">
        <v>656</v>
      </c>
      <c r="J361" s="71"/>
    </row>
    <row r="362" spans="1:10" customFormat="1" ht="35.1" hidden="1" customHeight="1">
      <c r="A362" s="69">
        <v>63</v>
      </c>
      <c r="B362" s="70" t="s">
        <v>669</v>
      </c>
      <c r="C362" s="76" t="s">
        <v>670</v>
      </c>
      <c r="D362" s="72"/>
      <c r="E362" s="73" t="s">
        <v>566</v>
      </c>
      <c r="F362" s="73">
        <v>1</v>
      </c>
      <c r="G362" s="71" t="s">
        <v>386</v>
      </c>
      <c r="H362" s="71" t="s">
        <v>567</v>
      </c>
      <c r="I362" s="87" t="s">
        <v>272</v>
      </c>
      <c r="J362" s="71"/>
    </row>
    <row r="363" spans="1:10" customFormat="1" ht="35.1" hidden="1" customHeight="1">
      <c r="A363" s="69"/>
      <c r="B363" s="70" t="s">
        <v>712</v>
      </c>
      <c r="C363" s="76" t="s">
        <v>713</v>
      </c>
      <c r="D363" s="97"/>
      <c r="E363" s="98" t="s">
        <v>566</v>
      </c>
      <c r="F363" s="98">
        <v>5</v>
      </c>
      <c r="G363" s="71" t="s">
        <v>386</v>
      </c>
      <c r="H363" s="71" t="s">
        <v>567</v>
      </c>
      <c r="I363" s="87" t="s">
        <v>272</v>
      </c>
      <c r="J363" s="71"/>
    </row>
    <row r="364" spans="1:10" customFormat="1" ht="35.1" hidden="1" customHeight="1">
      <c r="A364" s="69">
        <v>64</v>
      </c>
      <c r="B364" s="70" t="s">
        <v>671</v>
      </c>
      <c r="C364" s="71" t="s">
        <v>672</v>
      </c>
      <c r="D364" s="97"/>
      <c r="E364" s="98" t="s">
        <v>673</v>
      </c>
      <c r="F364" s="98">
        <v>1</v>
      </c>
      <c r="G364" s="99" t="s">
        <v>386</v>
      </c>
      <c r="H364" s="99" t="s">
        <v>567</v>
      </c>
      <c r="I364" s="100" t="s">
        <v>272</v>
      </c>
      <c r="J364" s="71"/>
    </row>
    <row r="365" spans="1:10" customFormat="1" ht="35.1" hidden="1" customHeight="1">
      <c r="A365" s="69">
        <v>65</v>
      </c>
      <c r="B365" s="101" t="s">
        <v>674</v>
      </c>
      <c r="C365" s="102" t="s">
        <v>675</v>
      </c>
      <c r="D365" s="103"/>
      <c r="E365" s="3" t="s">
        <v>624</v>
      </c>
      <c r="F365" s="3">
        <v>1</v>
      </c>
      <c r="G365" s="2" t="s">
        <v>386</v>
      </c>
      <c r="H365" s="2" t="s">
        <v>567</v>
      </c>
      <c r="I365" s="104" t="s">
        <v>272</v>
      </c>
      <c r="J365" s="105"/>
    </row>
    <row r="366" spans="1:10" customFormat="1" ht="35.1" hidden="1" customHeight="1">
      <c r="A366" s="69">
        <v>66</v>
      </c>
      <c r="B366" s="101" t="s">
        <v>676</v>
      </c>
      <c r="C366" s="102" t="s">
        <v>675</v>
      </c>
      <c r="D366" s="103"/>
      <c r="E366" s="3" t="s">
        <v>624</v>
      </c>
      <c r="F366" s="3">
        <v>1</v>
      </c>
      <c r="G366" s="2" t="s">
        <v>386</v>
      </c>
      <c r="H366" s="2" t="s">
        <v>567</v>
      </c>
      <c r="I366" s="104" t="s">
        <v>272</v>
      </c>
      <c r="J366" s="4"/>
    </row>
    <row r="367" spans="1:10" customFormat="1" ht="35.1" hidden="1" customHeight="1">
      <c r="A367" s="69">
        <v>67</v>
      </c>
      <c r="B367" s="106" t="s">
        <v>677</v>
      </c>
      <c r="C367" s="107" t="s">
        <v>675</v>
      </c>
      <c r="D367" s="108"/>
      <c r="E367" s="109" t="s">
        <v>624</v>
      </c>
      <c r="F367" s="3">
        <v>1</v>
      </c>
      <c r="G367" s="2" t="s">
        <v>386</v>
      </c>
      <c r="H367" s="2" t="s">
        <v>567</v>
      </c>
      <c r="I367" s="104" t="s">
        <v>272</v>
      </c>
      <c r="J367" s="4"/>
    </row>
    <row r="368" spans="1:10" customFormat="1" ht="35.1" hidden="1" customHeight="1">
      <c r="A368" s="69">
        <v>68</v>
      </c>
      <c r="B368" s="110" t="s">
        <v>678</v>
      </c>
      <c r="C368" s="2" t="s">
        <v>679</v>
      </c>
      <c r="D368" s="103"/>
      <c r="E368" s="3" t="s">
        <v>624</v>
      </c>
      <c r="F368" s="3">
        <v>1</v>
      </c>
      <c r="G368" s="2" t="s">
        <v>386</v>
      </c>
      <c r="H368" s="2" t="s">
        <v>567</v>
      </c>
      <c r="I368" s="104" t="s">
        <v>680</v>
      </c>
      <c r="J368" s="4"/>
    </row>
    <row r="369" spans="1:10" customFormat="1" ht="35.1" hidden="1" customHeight="1">
      <c r="A369" s="69">
        <v>69</v>
      </c>
      <c r="B369" s="1" t="s">
        <v>681</v>
      </c>
      <c r="C369" s="2" t="s">
        <v>582</v>
      </c>
      <c r="D369" s="103"/>
      <c r="E369" s="3" t="s">
        <v>624</v>
      </c>
      <c r="F369" s="3">
        <v>1</v>
      </c>
      <c r="G369" s="2" t="s">
        <v>386</v>
      </c>
      <c r="H369" s="2" t="s">
        <v>567</v>
      </c>
      <c r="I369" s="104" t="s">
        <v>680</v>
      </c>
      <c r="J369" s="4"/>
    </row>
    <row r="370" spans="1:10" customFormat="1" ht="35.1" hidden="1" customHeight="1">
      <c r="A370" s="69">
        <v>70</v>
      </c>
      <c r="B370" s="1" t="s">
        <v>682</v>
      </c>
      <c r="C370" s="2" t="s">
        <v>679</v>
      </c>
      <c r="D370" s="103"/>
      <c r="E370" s="3" t="s">
        <v>624</v>
      </c>
      <c r="F370" s="3">
        <v>1</v>
      </c>
      <c r="G370" s="2" t="s">
        <v>386</v>
      </c>
      <c r="H370" s="2" t="s">
        <v>567</v>
      </c>
      <c r="I370" s="104" t="s">
        <v>272</v>
      </c>
      <c r="J370" s="4"/>
    </row>
    <row r="371" spans="1:10" customFormat="1" ht="35.1" hidden="1" customHeight="1">
      <c r="A371" s="69">
        <v>71</v>
      </c>
      <c r="B371" s="1" t="s">
        <v>683</v>
      </c>
      <c r="C371" s="2" t="s">
        <v>679</v>
      </c>
      <c r="D371" s="103"/>
      <c r="E371" s="3" t="s">
        <v>624</v>
      </c>
      <c r="F371" s="3">
        <v>1</v>
      </c>
      <c r="G371" s="2" t="s">
        <v>386</v>
      </c>
      <c r="H371" s="2" t="s">
        <v>567</v>
      </c>
      <c r="I371" s="104" t="s">
        <v>272</v>
      </c>
      <c r="J371" s="4"/>
    </row>
    <row r="372" spans="1:10" customFormat="1" ht="28.5" hidden="1" customHeight="1">
      <c r="A372" s="69">
        <v>72</v>
      </c>
      <c r="B372" s="1" t="s">
        <v>684</v>
      </c>
      <c r="C372" s="2" t="s">
        <v>32</v>
      </c>
      <c r="D372" s="103"/>
      <c r="E372" s="3" t="s">
        <v>624</v>
      </c>
      <c r="F372" s="3">
        <v>1</v>
      </c>
      <c r="G372" s="2" t="s">
        <v>386</v>
      </c>
      <c r="H372" s="2" t="s">
        <v>567</v>
      </c>
      <c r="I372" s="104" t="s">
        <v>680</v>
      </c>
    </row>
  </sheetData>
  <autoFilter ref="A9:J372" xr:uid="{0170D713-1945-4EB9-97C8-AAA4F4AFCCFF}">
    <filterColumn colId="1">
      <filters>
        <filter val="HOP001"/>
        <filter val="HOP002"/>
        <filter val="HOP003"/>
        <filter val="HOP004"/>
        <filter val="HOP005"/>
        <filter val="HOP006"/>
        <filter val="HOP021-HOP026"/>
        <filter val="HOP027"/>
        <filter val="HOP028"/>
        <filter val="HOP029"/>
        <filter val="HOP030"/>
        <filter val="HOP031"/>
        <filter val="HOP032"/>
        <filter val="HOP033"/>
        <filter val="HOP034"/>
        <filter val="HOP094"/>
        <filter val="HOP096"/>
      </filters>
    </filterColumn>
  </autoFilter>
  <mergeCells count="6">
    <mergeCell ref="J295:J296"/>
    <mergeCell ref="A2:J2"/>
    <mergeCell ref="D6:E6"/>
    <mergeCell ref="D7:E7"/>
    <mergeCell ref="I206:J206"/>
    <mergeCell ref="J288:J294"/>
  </mergeCells>
  <conditionalFormatting sqref="B1:B179 B189:B190 B206:B208 B297:B1048576">
    <cfRule type="duplicateValues" dxfId="24" priority="12"/>
  </conditionalFormatting>
  <conditionalFormatting sqref="B10:B27 B49:B51 B56:B61">
    <cfRule type="duplicateValues" dxfId="23" priority="24"/>
  </conditionalFormatting>
  <conditionalFormatting sqref="B28:B42">
    <cfRule type="duplicateValues" dxfId="22" priority="22"/>
  </conditionalFormatting>
  <conditionalFormatting sqref="B43:B45">
    <cfRule type="duplicateValues" dxfId="21" priority="21"/>
  </conditionalFormatting>
  <conditionalFormatting sqref="B46">
    <cfRule type="duplicateValues" dxfId="20" priority="23"/>
  </conditionalFormatting>
  <conditionalFormatting sqref="B63">
    <cfRule type="duplicateValues" dxfId="19" priority="20"/>
  </conditionalFormatting>
  <conditionalFormatting sqref="B72:B74 B76:B77">
    <cfRule type="duplicateValues" dxfId="18" priority="19"/>
  </conditionalFormatting>
  <conditionalFormatting sqref="B82:B87 B89">
    <cfRule type="duplicateValues" dxfId="17" priority="18"/>
  </conditionalFormatting>
  <conditionalFormatting sqref="B90 B94:B96 B102:B109">
    <cfRule type="duplicateValues" dxfId="16" priority="17"/>
  </conditionalFormatting>
  <conditionalFormatting sqref="B91:B93">
    <cfRule type="duplicateValues" dxfId="15" priority="16"/>
  </conditionalFormatting>
  <conditionalFormatting sqref="B112:B119">
    <cfRule type="duplicateValues" dxfId="14" priority="15"/>
  </conditionalFormatting>
  <conditionalFormatting sqref="B120 B122:B179 B189">
    <cfRule type="duplicateValues" dxfId="13" priority="14"/>
  </conditionalFormatting>
  <conditionalFormatting sqref="B121">
    <cfRule type="duplicateValues" dxfId="12" priority="13"/>
  </conditionalFormatting>
  <conditionalFormatting sqref="B180:B188">
    <cfRule type="duplicateValues" dxfId="11" priority="9"/>
  </conditionalFormatting>
  <conditionalFormatting sqref="B191:B205">
    <cfRule type="duplicateValues" dxfId="10" priority="25"/>
  </conditionalFormatting>
  <conditionalFormatting sqref="B288:B294">
    <cfRule type="duplicateValues" dxfId="9" priority="11"/>
  </conditionalFormatting>
  <conditionalFormatting sqref="B296">
    <cfRule type="duplicateValues" dxfId="8" priority="10"/>
  </conditionalFormatting>
  <conditionalFormatting sqref="C185">
    <cfRule type="duplicateValues" dxfId="7" priority="7"/>
    <cfRule type="duplicateValues" dxfId="6" priority="8"/>
  </conditionalFormatting>
  <conditionalFormatting sqref="C186">
    <cfRule type="duplicateValues" dxfId="5" priority="5"/>
    <cfRule type="duplicateValues" dxfId="4" priority="6"/>
  </conditionalFormatting>
  <conditionalFormatting sqref="C187">
    <cfRule type="duplicateValues" dxfId="3" priority="3"/>
    <cfRule type="duplicateValues" dxfId="2" priority="4"/>
  </conditionalFormatting>
  <conditionalFormatting sqref="C188">
    <cfRule type="duplicateValues" dxfId="1" priority="1"/>
    <cfRule type="duplicateValues" dxfId="0" priority="2"/>
  </conditionalFormatting>
  <pageMargins left="0.39370078740157483" right="0.19685039370078741" top="0.39370078740157483" bottom="0.39370078740157483" header="0.31496062992125984" footer="0.31496062992125984"/>
  <pageSetup paperSize="9" scale="7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TỔNG HỢP </vt:lpstr>
      <vt:lpstr>TỔNG HỢP FINAL</vt:lpstr>
      <vt:lpstr>Sheet1</vt:lpstr>
      <vt:lpstr>Tổng hợp (3)</vt:lpstr>
      <vt:lpstr>Mã NV</vt:lpstr>
      <vt:lpstr>TỔNG HỢP cũ</vt:lpstr>
      <vt:lpstr>'TỔNG HỢP '!Print_Area</vt:lpstr>
      <vt:lpstr>'Tổng hợp (3)'!Print_Area</vt:lpstr>
      <vt:lpstr>'TỔNG HỢP cũ'!Print_Area</vt:lpstr>
      <vt:lpstr>'TỔNG HỢP FINAL'!Print_Area</vt:lpstr>
    </vt:vector>
  </TitlesOfParts>
  <Company>AST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Hanh Chinh</dc:creator>
  <cp:lastModifiedBy>Nguyễn Xuân Lương</cp:lastModifiedBy>
  <cp:lastPrinted>2023-02-07T01:28:26Z</cp:lastPrinted>
  <dcterms:created xsi:type="dcterms:W3CDTF">2015-04-24T01:08:45Z</dcterms:created>
  <dcterms:modified xsi:type="dcterms:W3CDTF">2025-11-06T11:34:49Z</dcterms:modified>
</cp:coreProperties>
</file>