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D:\LeTheAnh\RTC\Project\2022\RTC.22.003\SourceCode\RTC\BMS\bin\x86\Debug\"/>
    </mc:Choice>
  </mc:AlternateContent>
  <xr:revisionPtr revIDLastSave="0" documentId="13_ncr:1_{1C346A3D-25F6-4A69-A0DF-7A47D2634698}" xr6:coauthVersionLast="36" xr6:coauthVersionMax="47" xr10:uidLastSave="{00000000-0000-0000-0000-000000000000}"/>
  <bookViews>
    <workbookView xWindow="-120" yWindow="-120" windowWidth="29040" windowHeight="15840" xr2:uid="{D7357607-D849-4F32-9F9A-86B3E7B4C9DD}"/>
  </bookViews>
  <sheets>
    <sheet name="Danh mục vật tư" sheetId="1" r:id="rId1"/>
    <sheet name="Nhân công dự án" sheetId="2" r:id="rId2"/>
  </sheets>
  <externalReferences>
    <externalReference r:id="rId3"/>
    <externalReference r:id="rId4"/>
  </externalReferences>
  <definedNames>
    <definedName name="_xlnm._FilterDatabase" localSheetId="0" hidden="1">'Danh mục vật tư'!$A$7:$M$109</definedName>
    <definedName name="_xlnm.Print_Area" localSheetId="0">'Danh mục vật tư'!$A$1:$I$109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E159" i="2" l="1"/>
  <c r="G159" i="2" s="1"/>
  <c r="G158" i="2"/>
  <c r="E158" i="2"/>
  <c r="G157" i="2"/>
  <c r="E157" i="2"/>
  <c r="E156" i="2"/>
  <c r="G156" i="2" s="1"/>
  <c r="E155" i="2"/>
  <c r="G155" i="2" s="1"/>
  <c r="E154" i="2"/>
  <c r="G154" i="2" s="1"/>
  <c r="E153" i="2"/>
  <c r="G153" i="2" s="1"/>
  <c r="E152" i="2"/>
  <c r="G152" i="2" s="1"/>
  <c r="E151" i="2"/>
  <c r="G151" i="2" s="1"/>
  <c r="E150" i="2"/>
  <c r="G150" i="2" s="1"/>
  <c r="E149" i="2"/>
  <c r="G149" i="2" s="1"/>
  <c r="E148" i="2"/>
  <c r="G148" i="2" s="1"/>
  <c r="E147" i="2"/>
  <c r="G147" i="2" s="1"/>
  <c r="E146" i="2"/>
  <c r="G146" i="2" s="1"/>
  <c r="E145" i="2"/>
  <c r="G145" i="2" s="1"/>
  <c r="E144" i="2"/>
  <c r="G144" i="2" s="1"/>
  <c r="E143" i="2"/>
  <c r="G143" i="2" s="1"/>
  <c r="E142" i="2"/>
  <c r="G142" i="2" s="1"/>
  <c r="E141" i="2"/>
  <c r="G141" i="2" s="1"/>
  <c r="E140" i="2"/>
  <c r="G140" i="2" s="1"/>
  <c r="G139" i="2" s="1"/>
  <c r="E138" i="2"/>
  <c r="G138" i="2" s="1"/>
  <c r="G137" i="2"/>
  <c r="E137" i="2"/>
  <c r="E136" i="2"/>
  <c r="G136" i="2" s="1"/>
  <c r="G135" i="2"/>
  <c r="E135" i="2"/>
  <c r="B133" i="2"/>
  <c r="G132" i="2"/>
  <c r="E132" i="2"/>
  <c r="E131" i="2"/>
  <c r="G131" i="2" s="1"/>
  <c r="E130" i="2"/>
  <c r="G130" i="2" s="1"/>
  <c r="E129" i="2"/>
  <c r="G129" i="2" s="1"/>
  <c r="E128" i="2"/>
  <c r="G128" i="2" s="1"/>
  <c r="G127" i="2"/>
  <c r="E127" i="2"/>
  <c r="G126" i="2"/>
  <c r="E126" i="2"/>
  <c r="E125" i="2"/>
  <c r="G125" i="2" s="1"/>
  <c r="E124" i="2"/>
  <c r="G124" i="2" s="1"/>
  <c r="E123" i="2"/>
  <c r="G123" i="2" s="1"/>
  <c r="E122" i="2"/>
  <c r="G122" i="2" s="1"/>
  <c r="G121" i="2"/>
  <c r="E121" i="2"/>
  <c r="G120" i="2"/>
  <c r="E120" i="2"/>
  <c r="E119" i="2"/>
  <c r="G119" i="2" s="1"/>
  <c r="E118" i="2"/>
  <c r="G118" i="2" s="1"/>
  <c r="E117" i="2"/>
  <c r="G117" i="2" s="1"/>
  <c r="E116" i="2"/>
  <c r="G116" i="2" s="1"/>
  <c r="G115" i="2"/>
  <c r="E115" i="2"/>
  <c r="G114" i="2"/>
  <c r="E114" i="2"/>
  <c r="E113" i="2"/>
  <c r="G113" i="2" s="1"/>
  <c r="E111" i="2"/>
  <c r="G111" i="2" s="1"/>
  <c r="G110" i="2"/>
  <c r="E110" i="2"/>
  <c r="G109" i="2"/>
  <c r="E109" i="2"/>
  <c r="E108" i="2"/>
  <c r="G108" i="2" s="1"/>
  <c r="B106" i="2"/>
  <c r="G105" i="2"/>
  <c r="E105" i="2"/>
  <c r="E104" i="2"/>
  <c r="G104" i="2" s="1"/>
  <c r="E103" i="2"/>
  <c r="G103" i="2" s="1"/>
  <c r="G102" i="2"/>
  <c r="E102" i="2"/>
  <c r="E101" i="2"/>
  <c r="G101" i="2" s="1"/>
  <c r="G100" i="2"/>
  <c r="E100" i="2"/>
  <c r="G99" i="2"/>
  <c r="E99" i="2"/>
  <c r="E98" i="2"/>
  <c r="G98" i="2" s="1"/>
  <c r="E97" i="2"/>
  <c r="G97" i="2" s="1"/>
  <c r="G96" i="2"/>
  <c r="E96" i="2"/>
  <c r="E95" i="2"/>
  <c r="G95" i="2" s="1"/>
  <c r="G94" i="2"/>
  <c r="E94" i="2"/>
  <c r="G93" i="2"/>
  <c r="E93" i="2"/>
  <c r="E92" i="2"/>
  <c r="G92" i="2" s="1"/>
  <c r="E91" i="2"/>
  <c r="G91" i="2" s="1"/>
  <c r="G90" i="2"/>
  <c r="E90" i="2"/>
  <c r="E89" i="2"/>
  <c r="G89" i="2" s="1"/>
  <c r="G88" i="2"/>
  <c r="E88" i="2"/>
  <c r="G87" i="2"/>
  <c r="E87" i="2"/>
  <c r="E86" i="2"/>
  <c r="G86" i="2" s="1"/>
  <c r="G85" i="2" s="1"/>
  <c r="G84" i="2"/>
  <c r="E84" i="2"/>
  <c r="E83" i="2"/>
  <c r="G83" i="2" s="1"/>
  <c r="G82" i="2"/>
  <c r="E82" i="2"/>
  <c r="E81" i="2"/>
  <c r="G81" i="2" s="1"/>
  <c r="B79" i="2"/>
  <c r="E78" i="2"/>
  <c r="G78" i="2" s="1"/>
  <c r="G77" i="2"/>
  <c r="E77" i="2"/>
  <c r="E76" i="2"/>
  <c r="G76" i="2" s="1"/>
  <c r="G75" i="2"/>
  <c r="E75" i="2"/>
  <c r="E74" i="2"/>
  <c r="G74" i="2" s="1"/>
  <c r="E73" i="2"/>
  <c r="G73" i="2" s="1"/>
  <c r="E72" i="2"/>
  <c r="G72" i="2" s="1"/>
  <c r="E71" i="2"/>
  <c r="G71" i="2" s="1"/>
  <c r="E70" i="2"/>
  <c r="G70" i="2" s="1"/>
  <c r="G69" i="2"/>
  <c r="E69" i="2"/>
  <c r="E68" i="2"/>
  <c r="G68" i="2" s="1"/>
  <c r="E67" i="2"/>
  <c r="G67" i="2" s="1"/>
  <c r="E66" i="2"/>
  <c r="G66" i="2" s="1"/>
  <c r="G65" i="2"/>
  <c r="E65" i="2"/>
  <c r="E64" i="2"/>
  <c r="G64" i="2" s="1"/>
  <c r="E62" i="2"/>
  <c r="G62" i="2" s="1"/>
  <c r="E61" i="2"/>
  <c r="G61" i="2" s="1"/>
  <c r="G60" i="2"/>
  <c r="E60" i="2"/>
  <c r="G59" i="2"/>
  <c r="E59" i="2"/>
  <c r="E58" i="2"/>
  <c r="G58" i="2" s="1"/>
  <c r="E55" i="2"/>
  <c r="G55" i="2" s="1"/>
  <c r="E54" i="2"/>
  <c r="G54" i="2" s="1"/>
  <c r="G53" i="2"/>
  <c r="E53" i="2"/>
  <c r="G52" i="2"/>
  <c r="E52" i="2"/>
  <c r="E51" i="2"/>
  <c r="G51" i="2" s="1"/>
  <c r="G50" i="2"/>
  <c r="E50" i="2"/>
  <c r="E49" i="2"/>
  <c r="G49" i="2" s="1"/>
  <c r="E48" i="2"/>
  <c r="G48" i="2" s="1"/>
  <c r="E47" i="2"/>
  <c r="G47" i="2" s="1"/>
  <c r="E46" i="2"/>
  <c r="G46" i="2" s="1"/>
  <c r="E45" i="2"/>
  <c r="G45" i="2" s="1"/>
  <c r="G44" i="2"/>
  <c r="E44" i="2"/>
  <c r="E43" i="2"/>
  <c r="G43" i="2" s="1"/>
  <c r="E42" i="2"/>
  <c r="G42" i="2" s="1"/>
  <c r="G41" i="2"/>
  <c r="E41" i="2"/>
  <c r="G40" i="2"/>
  <c r="E40" i="2"/>
  <c r="E39" i="2"/>
  <c r="G39" i="2" s="1"/>
  <c r="G37" i="2"/>
  <c r="E37" i="2"/>
  <c r="E36" i="2"/>
  <c r="G36" i="2" s="1"/>
  <c r="E35" i="2"/>
  <c r="G35" i="2" s="1"/>
  <c r="E34" i="2"/>
  <c r="G34" i="2" s="1"/>
  <c r="E31" i="2"/>
  <c r="G31" i="2" s="1"/>
  <c r="G30" i="2"/>
  <c r="E30" i="2"/>
  <c r="E29" i="2"/>
  <c r="G29" i="2" s="1"/>
  <c r="E28" i="2"/>
  <c r="G28" i="2" s="1"/>
  <c r="E27" i="2"/>
  <c r="G27" i="2" s="1"/>
  <c r="G26" i="2"/>
  <c r="E26" i="2"/>
  <c r="E25" i="2"/>
  <c r="G25" i="2" s="1"/>
  <c r="E24" i="2"/>
  <c r="G24" i="2" s="1"/>
  <c r="E23" i="2"/>
  <c r="G23" i="2" s="1"/>
  <c r="E22" i="2"/>
  <c r="G22" i="2" s="1"/>
  <c r="E21" i="2"/>
  <c r="G21" i="2" s="1"/>
  <c r="G20" i="2"/>
  <c r="E20" i="2"/>
  <c r="E19" i="2"/>
  <c r="G19" i="2" s="1"/>
  <c r="G18" i="2"/>
  <c r="E18" i="2"/>
  <c r="E17" i="2"/>
  <c r="G17" i="2" s="1"/>
  <c r="E16" i="2"/>
  <c r="G16" i="2" s="1"/>
  <c r="E15" i="2"/>
  <c r="G15" i="2" s="1"/>
  <c r="G14" i="2"/>
  <c r="E14" i="2"/>
  <c r="E13" i="2"/>
  <c r="G13" i="2" s="1"/>
  <c r="G12" i="2"/>
  <c r="E12" i="2"/>
  <c r="E10" i="2"/>
  <c r="G10" i="2" s="1"/>
  <c r="G9" i="2"/>
  <c r="E9" i="2"/>
  <c r="G8" i="2"/>
  <c r="E8" i="2"/>
  <c r="E7" i="2"/>
  <c r="G7" i="2" s="1"/>
  <c r="G6" i="2" s="1"/>
  <c r="G63" i="2" l="1"/>
  <c r="G112" i="2"/>
  <c r="G38" i="2"/>
  <c r="G57" i="2"/>
  <c r="G56" i="2" s="1"/>
  <c r="G80" i="2"/>
  <c r="G79" i="2" s="1"/>
  <c r="G11" i="2"/>
  <c r="G5" i="2" s="1"/>
  <c r="G160" i="2" s="1"/>
  <c r="G107" i="2"/>
  <c r="G106" i="2" s="1"/>
  <c r="G134" i="2"/>
  <c r="G133" i="2" s="1"/>
  <c r="G33" i="2"/>
  <c r="G32" i="2" s="1"/>
  <c r="H105" i="1"/>
  <c r="K105" i="1" s="1"/>
  <c r="K100" i="1"/>
  <c r="H100" i="1"/>
  <c r="J98" i="1"/>
  <c r="H108" i="1" s="1"/>
  <c r="K108" i="1" s="1"/>
  <c r="B98" i="1"/>
  <c r="K96" i="1"/>
  <c r="H96" i="1"/>
  <c r="H91" i="1"/>
  <c r="K91" i="1" s="1"/>
  <c r="H88" i="1"/>
  <c r="K88" i="1" s="1"/>
  <c r="J86" i="1"/>
  <c r="H95" i="1" s="1"/>
  <c r="K95" i="1" s="1"/>
  <c r="B86" i="1"/>
  <c r="H84" i="1"/>
  <c r="K84" i="1" s="1"/>
  <c r="J71" i="1"/>
  <c r="H79" i="1" s="1"/>
  <c r="K79" i="1" s="1"/>
  <c r="B71" i="1"/>
  <c r="K70" i="1"/>
  <c r="H70" i="1"/>
  <c r="J68" i="1"/>
  <c r="H69" i="1" s="1"/>
  <c r="K69" i="1" s="1"/>
  <c r="K68" i="1" s="1"/>
  <c r="B68" i="1"/>
  <c r="K67" i="1"/>
  <c r="H67" i="1"/>
  <c r="J65" i="1"/>
  <c r="H66" i="1" s="1"/>
  <c r="K66" i="1" s="1"/>
  <c r="K65" i="1" s="1"/>
  <c r="B65" i="1"/>
  <c r="K64" i="1"/>
  <c r="H64" i="1"/>
  <c r="K63" i="1"/>
  <c r="K62" i="1" s="1"/>
  <c r="H63" i="1"/>
  <c r="J62" i="1"/>
  <c r="K61" i="1"/>
  <c r="H61" i="1"/>
  <c r="K60" i="1"/>
  <c r="K59" i="1" s="1"/>
  <c r="H60" i="1"/>
  <c r="J59" i="1"/>
  <c r="K57" i="1"/>
  <c r="H57" i="1"/>
  <c r="K55" i="1"/>
  <c r="H55" i="1"/>
  <c r="H53" i="1"/>
  <c r="K53" i="1" s="1"/>
  <c r="H52" i="1"/>
  <c r="K52" i="1" s="1"/>
  <c r="K51" i="1"/>
  <c r="H51" i="1"/>
  <c r="H49" i="1"/>
  <c r="K49" i="1" s="1"/>
  <c r="H48" i="1"/>
  <c r="K48" i="1" s="1"/>
  <c r="K47" i="1"/>
  <c r="H47" i="1"/>
  <c r="H45" i="1"/>
  <c r="K45" i="1" s="1"/>
  <c r="H44" i="1"/>
  <c r="K44" i="1" s="1"/>
  <c r="K43" i="1"/>
  <c r="H43" i="1"/>
  <c r="J41" i="1"/>
  <c r="H54" i="1" s="1"/>
  <c r="K54" i="1" s="1"/>
  <c r="B41" i="1"/>
  <c r="H40" i="1"/>
  <c r="K40" i="1" s="1"/>
  <c r="K39" i="1"/>
  <c r="H39" i="1"/>
  <c r="H37" i="1"/>
  <c r="K37" i="1" s="1"/>
  <c r="H36" i="1"/>
  <c r="K36" i="1" s="1"/>
  <c r="K35" i="1"/>
  <c r="H35" i="1"/>
  <c r="K31" i="1"/>
  <c r="H31" i="1"/>
  <c r="H28" i="1"/>
  <c r="K28" i="1" s="1"/>
  <c r="H27" i="1"/>
  <c r="K27" i="1" s="1"/>
  <c r="K26" i="1"/>
  <c r="H26" i="1"/>
  <c r="H24" i="1"/>
  <c r="K24" i="1" s="1"/>
  <c r="H23" i="1"/>
  <c r="K23" i="1" s="1"/>
  <c r="K22" i="1"/>
  <c r="H22" i="1"/>
  <c r="H19" i="1"/>
  <c r="K19" i="1" s="1"/>
  <c r="K18" i="1"/>
  <c r="H18" i="1"/>
  <c r="J8" i="1"/>
  <c r="H30" i="1" s="1"/>
  <c r="K30" i="1" s="1"/>
  <c r="B6" i="1"/>
  <c r="D3" i="1"/>
  <c r="H32" i="1" l="1"/>
  <c r="K32" i="1" s="1"/>
  <c r="K29" i="1" s="1"/>
  <c r="H76" i="1"/>
  <c r="K76" i="1" s="1"/>
  <c r="H93" i="1"/>
  <c r="K93" i="1" s="1"/>
  <c r="H97" i="1"/>
  <c r="K97" i="1" s="1"/>
  <c r="H101" i="1"/>
  <c r="K101" i="1" s="1"/>
  <c r="H81" i="1"/>
  <c r="K81" i="1" s="1"/>
  <c r="H85" i="1"/>
  <c r="K85" i="1" s="1"/>
  <c r="H89" i="1"/>
  <c r="K89" i="1" s="1"/>
  <c r="K87" i="1" s="1"/>
  <c r="H106" i="1"/>
  <c r="K106" i="1" s="1"/>
  <c r="K104" i="1" s="1"/>
  <c r="H16" i="1"/>
  <c r="K16" i="1" s="1"/>
  <c r="H33" i="1"/>
  <c r="K33" i="1" s="1"/>
  <c r="H58" i="1"/>
  <c r="K58" i="1" s="1"/>
  <c r="K56" i="1" s="1"/>
  <c r="H73" i="1"/>
  <c r="K73" i="1" s="1"/>
  <c r="H77" i="1"/>
  <c r="K77" i="1" s="1"/>
  <c r="H94" i="1"/>
  <c r="K94" i="1" s="1"/>
  <c r="H102" i="1"/>
  <c r="K102" i="1" s="1"/>
  <c r="K99" i="1" s="1"/>
  <c r="K98" i="1" s="1"/>
  <c r="K9" i="1"/>
  <c r="H21" i="1"/>
  <c r="K21" i="1" s="1"/>
  <c r="H25" i="1"/>
  <c r="K25" i="1" s="1"/>
  <c r="H38" i="1"/>
  <c r="K38" i="1" s="1"/>
  <c r="K34" i="1" s="1"/>
  <c r="H46" i="1"/>
  <c r="K46" i="1" s="1"/>
  <c r="K42" i="1" s="1"/>
  <c r="K41" i="1" s="1"/>
  <c r="H50" i="1"/>
  <c r="K50" i="1" s="1"/>
  <c r="H82" i="1"/>
  <c r="K82" i="1" s="1"/>
  <c r="H90" i="1"/>
  <c r="K90" i="1" s="1"/>
  <c r="H107" i="1"/>
  <c r="K107" i="1" s="1"/>
  <c r="H17" i="1"/>
  <c r="K17" i="1" s="1"/>
  <c r="H74" i="1"/>
  <c r="K74" i="1" s="1"/>
  <c r="H78" i="1"/>
  <c r="K78" i="1" s="1"/>
  <c r="H103" i="1"/>
  <c r="K103" i="1" s="1"/>
  <c r="H83" i="1"/>
  <c r="K83" i="1" s="1"/>
  <c r="H75" i="1"/>
  <c r="K75" i="1" s="1"/>
  <c r="K86" i="1" l="1"/>
  <c r="K8" i="1"/>
  <c r="K109" i="1" s="1"/>
  <c r="K80" i="1"/>
  <c r="K72" i="1"/>
  <c r="K71" i="1" s="1"/>
  <c r="K92" i="1"/>
  <c r="K20" i="1"/>
  <c r="K15" i="1"/>
</calcChain>
</file>

<file path=xl/sharedStrings.xml><?xml version="1.0" encoding="utf-8"?>
<sst xmlns="http://schemas.openxmlformats.org/spreadsheetml/2006/main" count="596" uniqueCount="333">
  <si>
    <t>DANH MỤC VẬT TƯ</t>
  </si>
  <si>
    <t>Mã dự án :</t>
  </si>
  <si>
    <t>Tên dự án :</t>
  </si>
  <si>
    <r>
      <rPr>
        <sz val="12"/>
        <color rgb="FF000000"/>
        <rFont val="Times New Roman"/>
      </rPr>
      <t xml:space="preserve">Người lập:
</t>
    </r>
    <r>
      <rPr>
        <sz val="10"/>
        <color rgb="FF000000"/>
        <rFont val="Times New Roman"/>
      </rPr>
      <t>(Ký và ghi rõ họ tên) Nguyễn Quang Huy</t>
    </r>
  </si>
  <si>
    <r>
      <t xml:space="preserve">Kiểm tra:
</t>
    </r>
    <r>
      <rPr>
        <sz val="10"/>
        <color theme="1"/>
        <rFont val="Times New Roman"/>
        <family val="1"/>
        <charset val="163"/>
      </rPr>
      <t>(Ký và ghi rõ họ tên)</t>
    </r>
  </si>
  <si>
    <r>
      <t xml:space="preserve">Phê duyệt:
</t>
    </r>
    <r>
      <rPr>
        <sz val="10"/>
        <color theme="1"/>
        <rFont val="Times New Roman"/>
        <family val="1"/>
        <charset val="163"/>
      </rPr>
      <t>(Ký và ghi rõ họ tên)</t>
    </r>
  </si>
  <si>
    <t xml:space="preserve">Ngày: </t>
  </si>
  <si>
    <t xml:space="preserve">Ngày:     </t>
  </si>
  <si>
    <t xml:space="preserve">Ngày:  </t>
  </si>
  <si>
    <t>TT</t>
  </si>
  <si>
    <t>Tên Vật Tư</t>
  </si>
  <si>
    <t>Mã thiết bị</t>
  </si>
  <si>
    <t>Mã đặt hàng</t>
  </si>
  <si>
    <t>Hãng SX</t>
  </si>
  <si>
    <t>Thông số kĩ thuật</t>
  </si>
  <si>
    <t>Số lượng/ 
1 máy</t>
  </si>
  <si>
    <t xml:space="preserve">Số lượng  tổng </t>
  </si>
  <si>
    <t>Đơn vị</t>
  </si>
  <si>
    <t>Đơn giá</t>
  </si>
  <si>
    <t>Thành tiền</t>
  </si>
  <si>
    <t>Tiến độ</t>
  </si>
  <si>
    <t>Nhà cung cấp</t>
  </si>
  <si>
    <t>Ngày yêu cầu đặt hàng</t>
  </si>
  <si>
    <t>Tiến độ yêu cầu</t>
  </si>
  <si>
    <t>SL đặt thực tế</t>
  </si>
  <si>
    <t>Nhà cung cấp mua</t>
  </si>
  <si>
    <t>Giá đặt mua</t>
  </si>
  <si>
    <t>Ngày đặt hàng thực tế</t>
  </si>
  <si>
    <t>Dự kiến hàng về</t>
  </si>
  <si>
    <t>Tình trạng</t>
  </si>
  <si>
    <t>Chất lượng</t>
  </si>
  <si>
    <t>Note</t>
  </si>
  <si>
    <t>Khung AGV</t>
  </si>
  <si>
    <t>1.1.1</t>
  </si>
  <si>
    <t>set</t>
  </si>
  <si>
    <t>1.1.2</t>
  </si>
  <si>
    <t>1.1.3</t>
  </si>
  <si>
    <t>1.1.4</t>
  </si>
  <si>
    <t>pcs</t>
  </si>
  <si>
    <t>Điều hướng</t>
  </si>
  <si>
    <t>1.3.1</t>
  </si>
  <si>
    <t>Bushing</t>
  </si>
  <si>
    <t>Misumi</t>
  </si>
  <si>
    <t>1.3.2</t>
  </si>
  <si>
    <t>Lò xo động cơ</t>
  </si>
  <si>
    <t>SWF40-60</t>
  </si>
  <si>
    <t>1.3.3</t>
  </si>
  <si>
    <t>Đồ gá gia công</t>
  </si>
  <si>
    <t>1.3.4</t>
  </si>
  <si>
    <t>Mở rộng  - Băng tải Loader</t>
  </si>
  <si>
    <t>Roller phụ</t>
  </si>
  <si>
    <t>Đai tròn</t>
  </si>
  <si>
    <t>Khung băng tải</t>
  </si>
  <si>
    <t>LM guide stopper</t>
  </si>
  <si>
    <t>1.3.5</t>
  </si>
  <si>
    <t>LM guide Align</t>
  </si>
  <si>
    <t>1.3.6</t>
  </si>
  <si>
    <t>Gia công align</t>
  </si>
  <si>
    <t>1.3.7</t>
  </si>
  <si>
    <t>Base cho băng tải</t>
  </si>
  <si>
    <t>1.3.8</t>
  </si>
  <si>
    <t>Mở rộng  - Tool gắp</t>
  </si>
  <si>
    <t>Gia công tool</t>
  </si>
  <si>
    <t>LM guide</t>
  </si>
  <si>
    <t>Tool hút</t>
  </si>
  <si>
    <t>Phụ kiện</t>
  </si>
  <si>
    <t>1.4.3</t>
  </si>
  <si>
    <t>Bánh xe free 75mm</t>
  </si>
  <si>
    <t>Kích thước như trong ảnh(note)</t>
  </si>
  <si>
    <t>Đường kính bánh xe 75mm, không giảm sóc</t>
  </si>
  <si>
    <t>1.4.4</t>
  </si>
  <si>
    <t>Tay nắm cửa</t>
  </si>
  <si>
    <t>C-NUWAUNS90</t>
  </si>
  <si>
    <t>1.4.5</t>
  </si>
  <si>
    <t>Bu lông cầu M16</t>
  </si>
  <si>
    <t>CHIC16</t>
  </si>
  <si>
    <t>1.4.7</t>
  </si>
  <si>
    <t>Lò xo sạc</t>
  </si>
  <si>
    <t>C-VUR5-25</t>
  </si>
  <si>
    <t>1.4.8</t>
  </si>
  <si>
    <t>Chặn pin</t>
  </si>
  <si>
    <t>ATBES10-R</t>
  </si>
  <si>
    <t>1.4.9</t>
  </si>
  <si>
    <t>Chi tiết tiêu chuẩn cơ khí</t>
  </si>
  <si>
    <t>2.1.1</t>
  </si>
  <si>
    <t>C-NUWANS10-110-27</t>
  </si>
  <si>
    <t>2.1.2</t>
  </si>
  <si>
    <t>Bản lề cửa</t>
  </si>
  <si>
    <t>SHHPSK5-2</t>
  </si>
  <si>
    <t>2.1.3</t>
  </si>
  <si>
    <t>E-LBFM10LUU</t>
  </si>
  <si>
    <t>2.1.4</t>
  </si>
  <si>
    <t>Lò xo nhún</t>
  </si>
  <si>
    <t>WF14-90</t>
  </si>
  <si>
    <t>2.1.5</t>
  </si>
  <si>
    <t>Ốc bắt lò xo</t>
  </si>
  <si>
    <t>C-AIPO5-25</t>
  </si>
  <si>
    <t>2.1.6</t>
  </si>
  <si>
    <t>Lò xo kéo lên</t>
  </si>
  <si>
    <t>C-AUT10-45</t>
  </si>
  <si>
    <t>2.1.7</t>
  </si>
  <si>
    <t>Lò xo kéo xuống</t>
  </si>
  <si>
    <t>C-AUS10-35</t>
  </si>
  <si>
    <t>2.1.8</t>
  </si>
  <si>
    <t>Lò xo kéo ngang</t>
  </si>
  <si>
    <t>AUU12-90</t>
  </si>
  <si>
    <t>2.1.9</t>
  </si>
  <si>
    <t>Lò xo kéo góc</t>
  </si>
  <si>
    <t>SWC12-80</t>
  </si>
  <si>
    <t>2.1.10</t>
  </si>
  <si>
    <t>Thanh dẫn hướng</t>
  </si>
  <si>
    <t>C-ELGSA20-170</t>
  </si>
  <si>
    <t>2.1.11</t>
  </si>
  <si>
    <t>Vòng bi</t>
  </si>
  <si>
    <t>C-SE6804ZZ</t>
  </si>
  <si>
    <t>2.1.12</t>
  </si>
  <si>
    <t>Chốt định vị</t>
  </si>
  <si>
    <t>MS5-10</t>
  </si>
  <si>
    <t>2.1.13</t>
  </si>
  <si>
    <t>Chi tiết gia công</t>
  </si>
  <si>
    <t>2.2.1</t>
  </si>
  <si>
    <t>Bộ sạc</t>
  </si>
  <si>
    <t>2.2.2</t>
  </si>
  <si>
    <t>Hệ thống</t>
  </si>
  <si>
    <t>3.1.1</t>
  </si>
  <si>
    <t>3.1.2</t>
  </si>
  <si>
    <t>Phụ kiện chung</t>
  </si>
  <si>
    <t>4.1.1</t>
  </si>
  <si>
    <t>4.1.2</t>
  </si>
  <si>
    <t>5.1.1</t>
  </si>
  <si>
    <t>5.1.2</t>
  </si>
  <si>
    <t>6.1.1</t>
  </si>
  <si>
    <t>6.1.2</t>
  </si>
  <si>
    <t>7.1.1</t>
  </si>
  <si>
    <t>7.1.2</t>
  </si>
  <si>
    <t>7.1.4</t>
  </si>
  <si>
    <t>7.1.5</t>
  </si>
  <si>
    <t>7.1.6</t>
  </si>
  <si>
    <t>Chân chỉnh</t>
  </si>
  <si>
    <t>7.1.7</t>
  </si>
  <si>
    <t>7.1.8</t>
  </si>
  <si>
    <t>7.2.1</t>
  </si>
  <si>
    <t>7.2.2</t>
  </si>
  <si>
    <t>7.2.3</t>
  </si>
  <si>
    <t>Khung Máy</t>
  </si>
  <si>
    <t>7.2.4</t>
  </si>
  <si>
    <t>7.2.5</t>
  </si>
  <si>
    <t>8.1.1</t>
  </si>
  <si>
    <t>8.1.2</t>
  </si>
  <si>
    <t>8.1.3</t>
  </si>
  <si>
    <t>8.1.4</t>
  </si>
  <si>
    <t>8.2.1</t>
  </si>
  <si>
    <t>8.2.2</t>
  </si>
  <si>
    <t>8.2.3</t>
  </si>
  <si>
    <t>8.2.4</t>
  </si>
  <si>
    <t>8.2.5</t>
  </si>
  <si>
    <t>9.1.1</t>
  </si>
  <si>
    <t>9.1.2</t>
  </si>
  <si>
    <t>9.1.3</t>
  </si>
  <si>
    <t>9.1.4</t>
  </si>
  <si>
    <t>9.2.1</t>
  </si>
  <si>
    <t>9.2.2</t>
  </si>
  <si>
    <t>9.2.3</t>
  </si>
  <si>
    <t>9.2.4</t>
  </si>
  <si>
    <t>TỔNG</t>
  </si>
  <si>
    <t>Tổng</t>
  </si>
  <si>
    <t>Lý do phát sinh</t>
  </si>
  <si>
    <t>RTC.22.003</t>
  </si>
  <si>
    <t>Nội dung công việc</t>
  </si>
  <si>
    <t>Số người</t>
  </si>
  <si>
    <t>Số ngày</t>
  </si>
  <si>
    <t>Tổng nhân công</t>
  </si>
  <si>
    <t>Đơn giá nhân công</t>
  </si>
  <si>
    <t>AGV</t>
  </si>
  <si>
    <t>Giải pháp</t>
  </si>
  <si>
    <t>Khảo sát dự án</t>
  </si>
  <si>
    <t>Lên giải pháp</t>
  </si>
  <si>
    <t>Lên Danh mục Vật tư</t>
  </si>
  <si>
    <t>Demo</t>
  </si>
  <si>
    <t>Triển khai</t>
  </si>
  <si>
    <t>1.2.1</t>
  </si>
  <si>
    <t>Lên Danh mục Vật tư đặt hàng</t>
  </si>
  <si>
    <t>1.2.2</t>
  </si>
  <si>
    <t>Thiết kế cơ khí</t>
  </si>
  <si>
    <t>1.2.3</t>
  </si>
  <si>
    <t>Thiết kế bản vẽ điện</t>
  </si>
  <si>
    <t>1.2.4</t>
  </si>
  <si>
    <t>Thiết kế sơ đồ nguyên lý</t>
  </si>
  <si>
    <t>1.2.5</t>
  </si>
  <si>
    <t>Thiết kế PCB</t>
  </si>
  <si>
    <t>1.2.6</t>
  </si>
  <si>
    <t>Viết lưu đồ thuật toán</t>
  </si>
  <si>
    <t>1.2.7</t>
  </si>
  <si>
    <t>Lập trình PLC</t>
  </si>
  <si>
    <t>1.2.8</t>
  </si>
  <si>
    <t>Lập trình HMI</t>
  </si>
  <si>
    <t>1.2.9</t>
  </si>
  <si>
    <t>Chương trình điều khiển PC</t>
  </si>
  <si>
    <t>1.2.10</t>
  </si>
  <si>
    <t>Lập trình MCU</t>
  </si>
  <si>
    <t>1.2.11</t>
  </si>
  <si>
    <t>Lập trình Robot, Phần mềm ….</t>
  </si>
  <si>
    <t>1.2.12</t>
  </si>
  <si>
    <t>Lắp ráp điện</t>
  </si>
  <si>
    <t>1.2.13</t>
  </si>
  <si>
    <t>Lắp ráp cơ</t>
  </si>
  <si>
    <t>1.2.14</t>
  </si>
  <si>
    <t>Hoàn thiện PCB</t>
  </si>
  <si>
    <t>1.2.15</t>
  </si>
  <si>
    <t>Setup các tham số …</t>
  </si>
  <si>
    <t>1.2.16</t>
  </si>
  <si>
    <t>Dán băng từ, thẻ RFID</t>
  </si>
  <si>
    <t>1.2.17</t>
  </si>
  <si>
    <t>Run chạy thử và follow</t>
  </si>
  <si>
    <t>1.2.18</t>
  </si>
  <si>
    <t>Viết tài liệu hướng dẫn vận hành</t>
  </si>
  <si>
    <t>1.2.19</t>
  </si>
  <si>
    <t>Training bàn giao khách hàng</t>
  </si>
  <si>
    <t>1.2.20</t>
  </si>
  <si>
    <t>Xử lý các vấn đề phát sinh</t>
  </si>
  <si>
    <t>Hệ thống AGV</t>
  </si>
  <si>
    <t>Test report</t>
  </si>
  <si>
    <t>2.2.3</t>
  </si>
  <si>
    <t>2.2.4</t>
  </si>
  <si>
    <t>2.2.5</t>
  </si>
  <si>
    <t>2.2.6</t>
  </si>
  <si>
    <t>2.2.7</t>
  </si>
  <si>
    <t>Lập trình Phần mềm ….</t>
  </si>
  <si>
    <t>2.2.8</t>
  </si>
  <si>
    <t>2.2.9</t>
  </si>
  <si>
    <t>2.2.10</t>
  </si>
  <si>
    <t>Cài đặt thiết bị.</t>
  </si>
  <si>
    <t>2.2.11</t>
  </si>
  <si>
    <t>Setup các tham số hệ thống…</t>
  </si>
  <si>
    <t>2.2.12</t>
  </si>
  <si>
    <t>Debug và test chương trình</t>
  </si>
  <si>
    <t>2.2.13</t>
  </si>
  <si>
    <t>2.2.14</t>
  </si>
  <si>
    <t>2.2.15</t>
  </si>
  <si>
    <t>2.2.16</t>
  </si>
  <si>
    <t>2.2.17</t>
  </si>
  <si>
    <t>Mở rộng  - Robot/Vison trên AGV</t>
  </si>
  <si>
    <t>3.1.3</t>
  </si>
  <si>
    <t>3.1.4</t>
  </si>
  <si>
    <t>3.1.5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</si>
  <si>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</si>
  <si>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</si>
  <si>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</si>
  <si>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</si>
  <si>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</si>
  <si>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</si>
  <si>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</si>
  <si>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</si>
  <si>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</si>
  <si>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</si>
  <si>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Setup các tham số Servo biến tần …</t>
  </si>
  <si>
    <t>3.2.11</t>
  </si>
  <si>
    <t>3.2.12</t>
  </si>
  <si>
    <t>3.2.13</t>
  </si>
  <si>
    <t>3.2.14</t>
  </si>
  <si>
    <t>3.2.15</t>
  </si>
  <si>
    <t>4.1.3</t>
  </si>
  <si>
    <t>4.1.4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</si>
  <si>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</si>
  <si>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</si>
  <si>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</si>
  <si>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</si>
  <si>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</si>
  <si>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</si>
  <si>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</si>
  <si>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</si>
  <si>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</si>
  <si>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</si>
  <si>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</si>
  <si>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</si>
  <si>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</si>
  <si>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</si>
  <si>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</si>
  <si>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</si>
  <si>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</si>
  <si>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</si>
  <si>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</si>
  <si>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</si>
  <si>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5.1.3</t>
  </si>
  <si>
    <t>5.1.4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</si>
  <si>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</si>
  <si>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</si>
  <si>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</si>
  <si>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</si>
  <si>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</si>
  <si>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</si>
  <si>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</si>
  <si>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</si>
  <si>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</si>
  <si>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</si>
  <si>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</si>
  <si>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</si>
  <si>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</si>
  <si>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</si>
  <si>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</si>
  <si>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</si>
  <si>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</si>
  <si>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</si>
  <si>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</si>
  <si>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</si>
  <si>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6.1.3</t>
  </si>
  <si>
    <t>6.1.4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</si>
  <si>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</si>
  <si>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</si>
  <si>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</si>
  <si>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</si>
  <si>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</si>
  <si>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</si>
  <si>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</si>
  <si>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</si>
  <si>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</si>
  <si>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</si>
  <si>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</si>
  <si>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</si>
  <si>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</si>
  <si>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</si>
  <si>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</si>
  <si>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</si>
  <si>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</si>
  <si>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</si>
  <si>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</si>
  <si>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</si>
  <si>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TỔNG NHÂN CÔNG</t>
  </si>
  <si>
    <t>x</t>
  </si>
  <si>
    <t>Cụm</t>
  </si>
  <si>
    <t>1.1</t>
  </si>
  <si>
    <t>1.2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</si>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</sst>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VND]\ * #,##0_);_([$VND]\ * \(#,##0\);_([$VND]\ * &quot;-&quot;_);_(@_)"/>
    <numFmt numFmtId="165" formatCode="_([$VND]\ * #,##0_);_([$VND]\ * \(#,##0\);_([$VND]\ * &quot;-&quot;??_);_(@_)"/>
    <numFmt numFmtId="166" formatCode="_-* #,##0.00_-;\-* #,##0.00_-;_-* &quot;-&quot;??_-;_-@_-"/>
    <numFmt numFmtId="167" formatCode="_-* #,##0_-;\-* #,##0_-;_-* &quot;-&quot;??_-;_-@_-"/>
    <numFmt numFmtId="168" formatCode="#,##0.0"/>
  </numFmts>
  <fonts count="17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charset val="163"/>
      <scheme val="minor"/>
    </font>
    <font>
      <sz val="12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rgb="FF000000"/>
      <name val="Times New Roman"/>
    </font>
    <font>
      <sz val="10"/>
      <color rgb="FF000000"/>
      <name val="Times New Roman"/>
    </font>
    <font>
      <sz val="12"/>
      <color theme="1"/>
      <name val="Times New Roman"/>
      <family val="2"/>
      <charset val="163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rgb="FF000000"/>
      <name val="Times New Roman"/>
      <family val="1"/>
      <charset val="1"/>
    </font>
    <font>
      <u/>
      <sz val="11"/>
      <color theme="10"/>
      <name val="Aptos Narrow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0" fontId="12" fillId="0" borderId="0"/>
    <xf numFmtId="165" fontId="1" fillId="0" borderId="0"/>
    <xf numFmtId="0" fontId="16" fillId="0" borderId="0" applyNumberFormat="0" applyFill="0" applyBorder="0" applyAlignment="0" applyProtection="0"/>
  </cellStyleXfs>
  <cellXfs count="98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" fontId="3" fillId="2" borderId="1" xfId="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13" fillId="6" borderId="1" xfId="3" applyNumberFormat="1" applyFont="1" applyFill="1" applyBorder="1" applyAlignment="1">
      <alignment horizontal="left" vertical="center"/>
    </xf>
    <xf numFmtId="0" fontId="13" fillId="7" borderId="1" xfId="3" applyNumberFormat="1" applyFont="1" applyFill="1" applyBorder="1" applyAlignment="1">
      <alignment horizontal="left" vertical="center"/>
    </xf>
    <xf numFmtId="165" fontId="13" fillId="6" borderId="1" xfId="3" applyFont="1" applyFill="1" applyBorder="1" applyAlignment="1">
      <alignment horizontal="center" vertical="center"/>
    </xf>
    <xf numFmtId="1" fontId="5" fillId="6" borderId="1" xfId="2" applyNumberFormat="1" applyFont="1" applyFill="1" applyBorder="1" applyAlignment="1">
      <alignment vertical="center" wrapText="1"/>
    </xf>
    <xf numFmtId="1" fontId="5" fillId="6" borderId="1" xfId="2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" fontId="5" fillId="6" borderId="1" xfId="2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5" borderId="1" xfId="2" applyNumberFormat="1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left" vertical="center" wrapText="1"/>
    </xf>
    <xf numFmtId="0" fontId="3" fillId="5" borderId="4" xfId="2" applyFont="1" applyFill="1" applyBorder="1" applyAlignment="1">
      <alignment horizontal="left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 wrapText="1"/>
    </xf>
    <xf numFmtId="164" fontId="5" fillId="7" borderId="1" xfId="1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" fontId="3" fillId="4" borderId="1" xfId="2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0" borderId="5" xfId="4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3" fillId="4" borderId="3" xfId="2" applyFont="1" applyFill="1" applyBorder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/>
    <xf numFmtId="168" fontId="5" fillId="6" borderId="1" xfId="0" applyNumberFormat="1" applyFont="1" applyFill="1" applyBorder="1" applyAlignment="1">
      <alignment horizontal="center" vertical="center" wrapText="1"/>
    </xf>
    <xf numFmtId="1" fontId="5" fillId="0" borderId="1" xfId="2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3" fillId="5" borderId="1" xfId="2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4" borderId="2" xfId="2" applyFont="1" applyFill="1" applyBorder="1" applyAlignment="1">
      <alignment vertical="center" wrapText="1"/>
    </xf>
    <xf numFmtId="0" fontId="3" fillId="4" borderId="4" xfId="2" applyFont="1" applyFill="1" applyBorder="1" applyAlignment="1">
      <alignment vertical="center" wrapText="1"/>
    </xf>
    <xf numFmtId="0" fontId="3" fillId="4" borderId="3" xfId="2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0" fontId="3" fillId="5" borderId="2" xfId="2" applyFont="1" applyFill="1" applyBorder="1" applyAlignment="1">
      <alignment vertical="center" wrapText="1"/>
    </xf>
    <xf numFmtId="0" fontId="3" fillId="5" borderId="4" xfId="2" applyFont="1" applyFill="1" applyBorder="1" applyAlignment="1">
      <alignment vertical="center" wrapText="1"/>
    </xf>
    <xf numFmtId="0" fontId="3" fillId="5" borderId="3" xfId="2" applyFont="1" applyFill="1" applyBorder="1" applyAlignment="1">
      <alignment vertical="center" wrapText="1"/>
    </xf>
    <xf numFmtId="0" fontId="3" fillId="5" borderId="2" xfId="2" applyFont="1" applyFill="1" applyBorder="1" applyAlignment="1">
      <alignment horizontal="left" vertical="center" wrapText="1"/>
    </xf>
    <xf numFmtId="0" fontId="3" fillId="5" borderId="4" xfId="2" applyFont="1" applyFill="1" applyBorder="1" applyAlignment="1">
      <alignment horizontal="left" vertical="center" wrapText="1"/>
    </xf>
    <xf numFmtId="0" fontId="3" fillId="5" borderId="3" xfId="2" applyFont="1" applyFill="1" applyBorder="1" applyAlignment="1">
      <alignment horizontal="left" vertical="center" wrapText="1"/>
    </xf>
    <xf numFmtId="1" fontId="3" fillId="0" borderId="1" xfId="2" applyNumberFormat="1" applyFont="1" applyBorder="1" applyAlignment="1">
      <alignment horizontal="center" vertical="center" wrapText="1"/>
    </xf>
    <xf numFmtId="0" fontId="3" fillId="4" borderId="2" xfId="2" applyFont="1" applyFill="1" applyBorder="1" applyAlignment="1">
      <alignment horizontal="left" vertical="center" wrapText="1"/>
    </xf>
    <xf numFmtId="0" fontId="3" fillId="4" borderId="4" xfId="2" applyFont="1" applyFill="1" applyBorder="1" applyAlignment="1">
      <alignment horizontal="left" vertical="center" wrapText="1"/>
    </xf>
    <xf numFmtId="1" fontId="3" fillId="0" borderId="2" xfId="2" applyNumberFormat="1" applyFont="1" applyBorder="1" applyAlignment="1">
      <alignment horizontal="center" vertical="center" wrapText="1"/>
    </xf>
    <xf numFmtId="1" fontId="3" fillId="0" borderId="4" xfId="2" applyNumberFormat="1" applyFont="1" applyBorder="1" applyAlignment="1">
      <alignment horizontal="center" vertical="center" wrapText="1"/>
    </xf>
    <xf numFmtId="1" fontId="3" fillId="0" borderId="3" xfId="2" applyNumberFormat="1" applyFont="1" applyBorder="1" applyAlignment="1">
      <alignment horizontal="center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2" xr:uid="{6B36F252-4A1E-46AF-9596-65E426349DD1}"/>
    <cellStyle name="Normal 77" xfId="3" xr:uid="{69C6249E-5243-4879-9D03-E8D3295731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138545</xdr:colOff>
      <xdr:row>0</xdr:row>
      <xdr:rowOff>69273</xdr:rowOff>
    </xdr:from>
    <xdr:to>
      <xdr:col>1</xdr:col>
      <xdr:colOff>1644783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C9ACF-2F71-4328-B510-D01BB68C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345" y="69273"/>
          <a:ext cx="1506238" cy="730827"/>
        </a:xfrm>
        <a:prstGeom prst="rect">
          <a:avLst/>
        </a:prstGeom>
      </xdr:spPr>
    </xdr:pic>
    <xdr:clientData/>
  </xdr:twoCellAnchor>
  <xdr:twoCellAnchor>
    <xdr:from>
      <xdr:col>7</xdr:col>
      <xdr:colOff>1</xdr:colOff>
      <xdr:row>1</xdr:row>
      <xdr:rowOff>30479</xdr:rowOff>
    </xdr:from>
    <xdr:to>
      <xdr:col>8</xdr:col>
      <xdr:colOff>556261</xdr:colOff>
      <xdr:row>2</xdr:row>
      <xdr:rowOff>495300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7DCED2-B913-4AEB-BC16-89144FC340D4}"/>
            </a:ext>
          </a:extLst>
        </xdr:cNvPr>
        <xdr:cNvSpPr txBox="1"/>
      </xdr:nvSpPr>
      <xdr:spPr>
        <a:xfrm>
          <a:off x="15744826" y="344804"/>
          <a:ext cx="1175385" cy="798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BM03-RTC.TE-QT01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 hành lần: 02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Ngày 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3D_05\Documents\Zalo%20Received%20Files\PDTVN.24.004-DMVT-GP1-C&#7843;i%20ti&#7871;n%20AMR%20(%20K&#7871;t%20h&#7907;p%20robot%20tr&#234;n%20l&#432;ng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Zalo%20Received%20Files\M&#227;%20d&#7921;%20&#225;n-DMVT-GP(&#272;&#225;nh%20s&#7889;)-T&#234;n%20d&#7921;%20&#225;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.Spec"/>
      <sheetName val="TongHop"/>
      <sheetName val="DMVT-Dien DA AGV"/>
      <sheetName val="DMVT-Co khi DA AGV"/>
      <sheetName val="DMVT-Dien DA MAY"/>
      <sheetName val="DMVT - Co khi DA MAY"/>
      <sheetName val="Electric spec"/>
      <sheetName val="NCDA-AGV"/>
      <sheetName val="NCDA-MAY"/>
    </sheetNames>
    <sheetDataSet>
      <sheetData sheetId="0" refreshError="1"/>
      <sheetData sheetId="1" refreshError="1">
        <row r="3">
          <cell r="C3" t="str">
            <v>PDTVN.24.004</v>
          </cell>
        </row>
        <row r="4">
          <cell r="C4" t="str">
            <v>Cải tiến AMR</v>
          </cell>
        </row>
        <row r="8">
          <cell r="B8" t="str">
            <v>Robot tự hành AGV</v>
          </cell>
          <cell r="D8">
            <v>1</v>
          </cell>
        </row>
        <row r="9">
          <cell r="B9" t="str">
            <v>Bộ sạc</v>
          </cell>
          <cell r="D9">
            <v>1</v>
          </cell>
        </row>
        <row r="10">
          <cell r="D10">
            <v>1</v>
          </cell>
        </row>
        <row r="12">
          <cell r="D12">
            <v>1</v>
          </cell>
        </row>
        <row r="13">
          <cell r="B13" t="str">
            <v>Bộ gọi</v>
          </cell>
          <cell r="D13">
            <v>0</v>
          </cell>
        </row>
        <row r="14">
          <cell r="B14" t="str">
            <v>Cửa tự động</v>
          </cell>
          <cell r="D14">
            <v>0</v>
          </cell>
        </row>
        <row r="15">
          <cell r="B15" t="str">
            <v>Buffer</v>
          </cell>
          <cell r="D15">
            <v>1</v>
          </cell>
        </row>
        <row r="16">
          <cell r="B16" t="str">
            <v>Khác 2  (Trolley/Giá đỡ/Xe hàng...)</v>
          </cell>
          <cell r="D16">
            <v>0</v>
          </cell>
        </row>
        <row r="17">
          <cell r="B17" t="str">
            <v>Khác 3  (Trolley/Giá đỡ/Xe hàng...)</v>
          </cell>
          <cell r="D1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.Spec"/>
      <sheetName val="TongHop"/>
      <sheetName val="DMVT-Dien DA AGV"/>
      <sheetName val="DMVT-Co khi DA AGV"/>
      <sheetName val="DMVT-Dien DA MAY"/>
      <sheetName val="DMVT - Co khi DA MAY"/>
      <sheetName val="Electric spec"/>
      <sheetName val="NCDA-AGV"/>
      <sheetName val="NCDA-MAY"/>
    </sheetNames>
    <sheetDataSet>
      <sheetData sheetId="0"/>
      <sheetData sheetId="1">
        <row r="8">
          <cell r="D8">
            <v>0</v>
          </cell>
        </row>
        <row r="10">
          <cell r="D10">
            <v>0</v>
          </cell>
        </row>
        <row r="15">
          <cell r="B15" t="str">
            <v>Khác 1  (Trolley/Giá đỡ/Xe hàng...)</v>
          </cell>
          <cell r="D15">
            <v>0</v>
          </cell>
        </row>
        <row r="16">
          <cell r="B16" t="str">
            <v>Khác 2  (Trolley/Giá đỡ/Xe hàng...)</v>
          </cell>
          <cell r="D16">
            <v>0</v>
          </cell>
        </row>
        <row r="17">
          <cell r="B17" t="str">
            <v>Khác 3  (Trolley/Giá đỡ/Xe hàng...)</v>
          </cell>
          <cell r="D1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8B23-F343-491F-9CEB-16648BE2FE33}">
  <sheetPr>
    <tabColor rgb="FFFF0000"/>
  </sheetPr>
  <dimension ref="A1:Y109"/>
  <sheetViews>
    <sheetView tabSelected="1" zoomScale="55" zoomScaleNormal="55" zoomScaleSheetLayoutView="5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W9" sqref="W9"/>
    </sheetView>
  </sheetViews>
  <sheetFormatPr defaultColWidth="9.125" defaultRowHeight="15.75"/>
  <cols>
    <col min="1" max="1" width="10.25" style="2" bestFit="1" customWidth="1"/>
    <col min="2" max="2" width="52.75" style="2" customWidth="1"/>
    <col min="3" max="3" width="43.75" style="2" customWidth="1"/>
    <col min="4" max="4" width="28.875" style="2" customWidth="1"/>
    <col min="5" max="5" width="29.75" style="60" customWidth="1"/>
    <col min="6" max="6" width="61.625" style="2" customWidth="1"/>
    <col min="7" max="9" width="9.25" style="2" customWidth="1"/>
    <col min="10" max="10" width="21.875" style="1" customWidth="1"/>
    <col min="11" max="11" width="29.75" style="1" customWidth="1"/>
    <col min="12" max="12" width="17.125" style="1" customWidth="1"/>
    <col min="13" max="13" width="18.375" style="61" customWidth="1"/>
    <col min="14" max="19" width="22.25" style="61" customWidth="1"/>
    <col min="20" max="21" width="18.375" style="61" customWidth="1"/>
    <col min="22" max="22" width="18.25" style="61" customWidth="1"/>
    <col min="23" max="24" width="51.75" style="61" customWidth="1"/>
    <col min="25" max="25" width="0" style="2" hidden="1" customWidth="1"/>
    <col min="26" max="16384" width="9.125" style="2"/>
  </cols>
  <sheetData>
    <row r="1" spans="1:25" ht="24.95" customHeight="1">
      <c r="A1" s="70"/>
      <c r="B1" s="70"/>
      <c r="C1" s="71" t="s">
        <v>0</v>
      </c>
      <c r="D1" s="71"/>
      <c r="E1" s="71"/>
      <c r="F1" s="71"/>
      <c r="G1" s="72"/>
      <c r="H1" s="72"/>
      <c r="I1" s="7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ht="26.25" customHeight="1">
      <c r="A2" s="70"/>
      <c r="B2" s="70"/>
      <c r="C2" s="3" t="s">
        <v>1</v>
      </c>
      <c r="D2" s="73" t="s">
        <v>167</v>
      </c>
      <c r="E2" s="74"/>
      <c r="F2" s="4"/>
      <c r="G2" s="75"/>
      <c r="H2" s="75"/>
      <c r="I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ht="43.9" customHeight="1">
      <c r="A3" s="70"/>
      <c r="B3" s="70"/>
      <c r="C3" s="3" t="s">
        <v>2</v>
      </c>
      <c r="D3" s="73" t="str">
        <f>[1]TongHop!C4</f>
        <v>Cải tiến AMR</v>
      </c>
      <c r="E3" s="74"/>
      <c r="F3" s="5"/>
      <c r="G3" s="75"/>
      <c r="H3" s="75"/>
      <c r="I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ht="47.25" customHeight="1">
      <c r="A4" s="79" t="s">
        <v>3</v>
      </c>
      <c r="B4" s="80"/>
      <c r="C4" s="81" t="s">
        <v>4</v>
      </c>
      <c r="D4" s="81"/>
      <c r="E4" s="81"/>
      <c r="F4" s="82" t="s">
        <v>5</v>
      </c>
      <c r="G4" s="82"/>
      <c r="H4" s="82"/>
      <c r="I4" s="8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20.25" customHeight="1">
      <c r="A5" s="83"/>
      <c r="B5" s="83"/>
      <c r="C5" s="84"/>
      <c r="D5" s="84"/>
      <c r="E5" s="84"/>
      <c r="F5" s="84"/>
      <c r="G5" s="84"/>
      <c r="H5" s="84"/>
      <c r="I5" s="8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8" customHeight="1">
      <c r="A6" s="6" t="s">
        <v>6</v>
      </c>
      <c r="B6" s="7">
        <f ca="1">NOW()</f>
        <v>45553.414174652775</v>
      </c>
      <c r="C6" s="85" t="s">
        <v>7</v>
      </c>
      <c r="D6" s="85"/>
      <c r="E6" s="85"/>
      <c r="F6" s="85" t="s">
        <v>8</v>
      </c>
      <c r="G6" s="85"/>
      <c r="H6" s="85"/>
      <c r="I6" s="8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ht="61.1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9" t="s">
        <v>18</v>
      </c>
      <c r="K7" s="9" t="s">
        <v>19</v>
      </c>
      <c r="L7" s="9" t="s">
        <v>20</v>
      </c>
      <c r="M7" s="9" t="s">
        <v>21</v>
      </c>
      <c r="N7" s="9" t="s">
        <v>22</v>
      </c>
      <c r="O7" s="9" t="s">
        <v>23</v>
      </c>
      <c r="P7" s="10" t="s">
        <v>24</v>
      </c>
      <c r="Q7" s="10" t="s">
        <v>25</v>
      </c>
      <c r="R7" s="10" t="s">
        <v>26</v>
      </c>
      <c r="S7" s="10" t="s">
        <v>27</v>
      </c>
      <c r="T7" s="10" t="s">
        <v>28</v>
      </c>
      <c r="U7" s="10" t="s">
        <v>29</v>
      </c>
      <c r="V7" s="9" t="s">
        <v>30</v>
      </c>
      <c r="W7" s="9" t="s">
        <v>31</v>
      </c>
      <c r="X7" s="9" t="s">
        <v>166</v>
      </c>
      <c r="Y7" s="9" t="s">
        <v>329</v>
      </c>
    </row>
    <row r="8" spans="1:25" ht="37.15" customHeight="1">
      <c r="A8" s="11">
        <v>1</v>
      </c>
      <c r="B8" s="76" t="str">
        <f>[1]TongHop!B8</f>
        <v>Robot tự hành AGV</v>
      </c>
      <c r="C8" s="77"/>
      <c r="D8" s="77"/>
      <c r="E8" s="77"/>
      <c r="F8" s="77"/>
      <c r="G8" s="77"/>
      <c r="H8" s="77"/>
      <c r="I8" s="77"/>
      <c r="J8" s="12">
        <f>[1]TongHop!$D$8</f>
        <v>1</v>
      </c>
      <c r="K8" s="13">
        <f>SUBTOTAL(9,K9:K40)</f>
        <v>112622968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 t="s">
        <v>328</v>
      </c>
    </row>
    <row r="9" spans="1:25" ht="25.5" customHeight="1">
      <c r="A9" s="15" t="s">
        <v>330</v>
      </c>
      <c r="B9" s="86" t="s">
        <v>32</v>
      </c>
      <c r="C9" s="87"/>
      <c r="D9" s="87"/>
      <c r="E9" s="87"/>
      <c r="F9" s="87"/>
      <c r="G9" s="87"/>
      <c r="H9" s="87"/>
      <c r="I9" s="87"/>
      <c r="J9" s="88"/>
      <c r="K9" s="16">
        <f>SUBTOTAL(9,K10:K14)</f>
        <v>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 t="s">
        <v>328</v>
      </c>
    </row>
    <row r="10" spans="1:25" ht="27" customHeight="1">
      <c r="A10" s="18"/>
      <c r="B10" s="19"/>
      <c r="C10" s="19"/>
      <c r="D10" s="20"/>
      <c r="E10" s="21"/>
      <c r="F10" s="22"/>
      <c r="G10" s="23"/>
      <c r="H10" s="24"/>
      <c r="I10" s="25"/>
      <c r="J10" s="26"/>
      <c r="K10" s="13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27" customHeight="1">
      <c r="A11" s="18"/>
      <c r="B11" s="19"/>
      <c r="C11" s="19"/>
      <c r="D11" s="20"/>
      <c r="E11" s="21"/>
      <c r="F11" s="22"/>
      <c r="G11" s="23"/>
      <c r="H11" s="24"/>
      <c r="I11" s="25"/>
      <c r="J11" s="26"/>
      <c r="K11" s="13"/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27" customHeight="1">
      <c r="A12" s="18"/>
      <c r="B12" s="19"/>
      <c r="C12" s="19"/>
      <c r="D12" s="20"/>
      <c r="E12" s="21"/>
      <c r="F12" s="22"/>
      <c r="G12" s="23"/>
      <c r="H12" s="24"/>
      <c r="I12" s="25"/>
      <c r="J12" s="26"/>
      <c r="K12" s="13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27" customHeight="1">
      <c r="A13" s="18"/>
      <c r="B13" s="19"/>
      <c r="C13" s="19"/>
      <c r="D13" s="20"/>
      <c r="E13" s="21"/>
      <c r="F13" s="22"/>
      <c r="G13" s="23"/>
      <c r="H13" s="24"/>
      <c r="I13" s="25"/>
      <c r="J13" s="26"/>
      <c r="K13" s="13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27" customHeight="1">
      <c r="A14" s="18"/>
      <c r="B14" s="19"/>
      <c r="C14" s="19"/>
      <c r="D14" s="20"/>
      <c r="E14" s="21"/>
      <c r="F14" s="22"/>
      <c r="G14" s="23"/>
      <c r="H14" s="24"/>
      <c r="I14" s="25"/>
      <c r="J14" s="29"/>
      <c r="K14" s="30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25.5" customHeight="1">
      <c r="A15" s="15" t="s">
        <v>331</v>
      </c>
      <c r="B15" s="89" t="s">
        <v>39</v>
      </c>
      <c r="C15" s="90"/>
      <c r="D15" s="90"/>
      <c r="E15" s="90"/>
      <c r="F15" s="90"/>
      <c r="G15" s="90"/>
      <c r="H15" s="90"/>
      <c r="I15" s="91"/>
      <c r="J15" s="31"/>
      <c r="K15" s="16">
        <f>SUBTOTAL(9,K16:K19)</f>
        <v>9992960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 t="s">
        <v>328</v>
      </c>
    </row>
    <row r="16" spans="1:25" ht="25.5" customHeight="1">
      <c r="A16" s="18" t="s">
        <v>40</v>
      </c>
      <c r="B16" s="32" t="s">
        <v>41</v>
      </c>
      <c r="C16" s="33"/>
      <c r="D16" s="34"/>
      <c r="E16" s="35" t="s">
        <v>42</v>
      </c>
      <c r="F16" s="22"/>
      <c r="G16" s="23">
        <v>8</v>
      </c>
      <c r="H16" s="24">
        <f>G16*$J$8</f>
        <v>8</v>
      </c>
      <c r="I16" s="25" t="s">
        <v>38</v>
      </c>
      <c r="J16" s="26">
        <v>163715</v>
      </c>
      <c r="K16" s="13">
        <f>J16*H16</f>
        <v>1309720</v>
      </c>
      <c r="L16" s="27"/>
      <c r="M16" s="28"/>
      <c r="N16" s="28"/>
      <c r="O16" s="28"/>
      <c r="P16" s="28"/>
      <c r="Q16" s="36"/>
      <c r="R16" s="28"/>
      <c r="S16" s="28"/>
      <c r="T16" s="28"/>
      <c r="U16" s="2"/>
      <c r="V16" s="2"/>
      <c r="W16" s="2"/>
      <c r="X16" s="2"/>
    </row>
    <row r="17" spans="1:25" ht="25.5" customHeight="1">
      <c r="A17" s="18" t="s">
        <v>43</v>
      </c>
      <c r="B17" s="37" t="s">
        <v>44</v>
      </c>
      <c r="C17" s="38" t="s">
        <v>45</v>
      </c>
      <c r="D17" s="39"/>
      <c r="E17" s="35" t="s">
        <v>42</v>
      </c>
      <c r="F17" s="22"/>
      <c r="G17" s="23">
        <v>8</v>
      </c>
      <c r="H17" s="24">
        <f>G17*$J$8</f>
        <v>8</v>
      </c>
      <c r="I17" s="25" t="s">
        <v>38</v>
      </c>
      <c r="J17" s="26">
        <v>85405</v>
      </c>
      <c r="K17" s="13">
        <f>J17*H17</f>
        <v>683240</v>
      </c>
      <c r="L17" s="27"/>
      <c r="M17" s="28"/>
      <c r="N17" s="28"/>
      <c r="O17" s="28"/>
      <c r="P17" s="28"/>
      <c r="Q17" s="36"/>
      <c r="R17" s="28"/>
      <c r="S17" s="28"/>
      <c r="T17" s="2"/>
      <c r="U17" s="2"/>
      <c r="V17" s="2"/>
      <c r="W17" s="2"/>
      <c r="X17" s="2"/>
    </row>
    <row r="18" spans="1:25" ht="25.5" customHeight="1">
      <c r="A18" s="18" t="s">
        <v>46</v>
      </c>
      <c r="B18" s="32" t="s">
        <v>47</v>
      </c>
      <c r="C18" s="40"/>
      <c r="D18" s="41"/>
      <c r="E18" s="42" t="s">
        <v>42</v>
      </c>
      <c r="F18" s="22"/>
      <c r="G18" s="23">
        <v>2</v>
      </c>
      <c r="H18" s="24">
        <f t="shared" ref="H18:H28" si="0">G18*$J$8</f>
        <v>2</v>
      </c>
      <c r="I18" s="25" t="s">
        <v>38</v>
      </c>
      <c r="J18" s="26">
        <v>4000000</v>
      </c>
      <c r="K18" s="13">
        <f t="shared" ref="K18:K19" si="1">J18*H18</f>
        <v>8000000</v>
      </c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25.5" customHeight="1">
      <c r="A19" s="18" t="s">
        <v>48</v>
      </c>
      <c r="B19" s="32"/>
      <c r="C19" s="40"/>
      <c r="D19" s="41"/>
      <c r="E19" s="42"/>
      <c r="F19" s="22"/>
      <c r="G19" s="23">
        <v>0</v>
      </c>
      <c r="H19" s="24">
        <f t="shared" si="0"/>
        <v>0</v>
      </c>
      <c r="I19" s="25" t="s">
        <v>38</v>
      </c>
      <c r="J19" s="29">
        <v>0</v>
      </c>
      <c r="K19" s="30">
        <f t="shared" si="1"/>
        <v>0</v>
      </c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42" customHeight="1">
      <c r="A20" s="15" t="s">
        <v>332</v>
      </c>
      <c r="B20" s="43" t="s">
        <v>49</v>
      </c>
      <c r="C20" s="44"/>
      <c r="D20" s="44"/>
      <c r="E20" s="45"/>
      <c r="F20" s="44"/>
      <c r="G20" s="44"/>
      <c r="H20" s="44"/>
      <c r="I20" s="46"/>
      <c r="J20" s="31"/>
      <c r="K20" s="16">
        <f>SUBTOTAL(9,K21:K28)</f>
        <v>70000000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 t="s">
        <v>328</v>
      </c>
    </row>
    <row r="21" spans="1:25" ht="25.5" customHeight="1">
      <c r="A21" s="18" t="s">
        <v>40</v>
      </c>
      <c r="B21" s="32" t="s">
        <v>50</v>
      </c>
      <c r="C21" s="33"/>
      <c r="D21" s="34"/>
      <c r="E21" s="35"/>
      <c r="F21" s="22"/>
      <c r="G21" s="23">
        <v>20</v>
      </c>
      <c r="H21" s="24">
        <f t="shared" ref="H21:H25" si="2">G21*$J$8</f>
        <v>20</v>
      </c>
      <c r="I21" s="25" t="s">
        <v>38</v>
      </c>
      <c r="J21" s="26">
        <v>800000</v>
      </c>
      <c r="K21" s="13">
        <f>J21*H21</f>
        <v>16000000</v>
      </c>
      <c r="L21" s="27"/>
      <c r="M21" s="28"/>
      <c r="N21" s="28"/>
      <c r="O21" s="28"/>
      <c r="P21" s="28"/>
      <c r="Q21" s="36"/>
      <c r="R21" s="28"/>
      <c r="S21" s="28"/>
      <c r="T21" s="28"/>
      <c r="U21" s="28"/>
      <c r="V21" s="28"/>
      <c r="W21" s="28"/>
      <c r="X21" s="28"/>
      <c r="Y21" s="28"/>
    </row>
    <row r="22" spans="1:25" ht="25.5" customHeight="1">
      <c r="A22" s="18" t="s">
        <v>43</v>
      </c>
      <c r="B22" s="32" t="s">
        <v>51</v>
      </c>
      <c r="C22" s="33"/>
      <c r="D22" s="34"/>
      <c r="E22" s="35"/>
      <c r="F22" s="22"/>
      <c r="G22" s="23">
        <v>20</v>
      </c>
      <c r="H22" s="24">
        <f t="shared" si="2"/>
        <v>20</v>
      </c>
      <c r="I22" s="25" t="s">
        <v>38</v>
      </c>
      <c r="J22" s="26">
        <v>200000</v>
      </c>
      <c r="K22" s="13">
        <f t="shared" ref="K22:K25" si="3">J22*H22</f>
        <v>4000000</v>
      </c>
      <c r="L22" s="27"/>
      <c r="M22" s="28"/>
      <c r="N22" s="28"/>
      <c r="O22" s="28"/>
      <c r="P22" s="28"/>
      <c r="Q22" s="36"/>
      <c r="R22" s="28"/>
      <c r="S22" s="28"/>
      <c r="T22" s="28"/>
      <c r="U22" s="28"/>
      <c r="V22" s="28"/>
      <c r="W22" s="28"/>
      <c r="X22" s="28"/>
      <c r="Y22" s="28"/>
    </row>
    <row r="23" spans="1:25" ht="25.5" customHeight="1">
      <c r="A23" s="18" t="s">
        <v>46</v>
      </c>
      <c r="B23" s="37" t="s">
        <v>52</v>
      </c>
      <c r="C23" s="38"/>
      <c r="D23" s="39"/>
      <c r="E23" s="35"/>
      <c r="F23" s="22"/>
      <c r="G23" s="23">
        <v>2</v>
      </c>
      <c r="H23" s="24">
        <f t="shared" si="2"/>
        <v>2</v>
      </c>
      <c r="I23" s="25" t="s">
        <v>38</v>
      </c>
      <c r="J23" s="26">
        <v>10000000</v>
      </c>
      <c r="K23" s="13">
        <f t="shared" si="3"/>
        <v>20000000</v>
      </c>
      <c r="L23" s="27"/>
      <c r="M23" s="28"/>
      <c r="N23" s="28"/>
      <c r="O23" s="28"/>
      <c r="P23" s="28"/>
      <c r="Q23" s="36"/>
      <c r="R23" s="28"/>
      <c r="S23" s="28"/>
      <c r="T23" s="28"/>
      <c r="U23" s="28"/>
      <c r="V23" s="28"/>
      <c r="W23" s="28"/>
      <c r="X23" s="28"/>
      <c r="Y23" s="28"/>
    </row>
    <row r="24" spans="1:25" ht="25.5" customHeight="1">
      <c r="A24" s="18" t="s">
        <v>48</v>
      </c>
      <c r="B24" s="37" t="s">
        <v>53</v>
      </c>
      <c r="C24" s="38"/>
      <c r="D24" s="39"/>
      <c r="E24" s="35"/>
      <c r="F24" s="22"/>
      <c r="G24" s="23">
        <v>4</v>
      </c>
      <c r="H24" s="24">
        <f t="shared" si="2"/>
        <v>4</v>
      </c>
      <c r="I24" s="25" t="s">
        <v>38</v>
      </c>
      <c r="J24" s="26">
        <v>1500000</v>
      </c>
      <c r="K24" s="13">
        <f t="shared" si="3"/>
        <v>6000000</v>
      </c>
      <c r="L24" s="27"/>
      <c r="M24" s="28"/>
      <c r="N24" s="28"/>
      <c r="O24" s="28"/>
      <c r="P24" s="28"/>
      <c r="Q24" s="36"/>
      <c r="R24" s="28"/>
      <c r="S24" s="28"/>
      <c r="T24" s="28"/>
      <c r="U24" s="28"/>
      <c r="V24" s="28"/>
      <c r="W24" s="28"/>
      <c r="X24" s="28"/>
      <c r="Y24" s="28"/>
    </row>
    <row r="25" spans="1:25" ht="25.5" customHeight="1">
      <c r="A25" s="18" t="s">
        <v>54</v>
      </c>
      <c r="B25" s="37" t="s">
        <v>55</v>
      </c>
      <c r="C25" s="38"/>
      <c r="D25" s="39"/>
      <c r="E25" s="35"/>
      <c r="F25" s="22"/>
      <c r="G25" s="23">
        <v>4</v>
      </c>
      <c r="H25" s="24">
        <f t="shared" si="2"/>
        <v>4</v>
      </c>
      <c r="I25" s="25" t="s">
        <v>38</v>
      </c>
      <c r="J25" s="26">
        <v>3000000</v>
      </c>
      <c r="K25" s="13">
        <f t="shared" si="3"/>
        <v>12000000</v>
      </c>
      <c r="L25" s="27"/>
      <c r="M25" s="28"/>
      <c r="N25" s="28"/>
      <c r="O25" s="28"/>
      <c r="P25" s="28"/>
      <c r="Q25" s="36"/>
      <c r="R25" s="28"/>
      <c r="S25" s="28"/>
      <c r="T25" s="28"/>
      <c r="U25" s="28"/>
      <c r="V25" s="28"/>
      <c r="W25" s="28"/>
      <c r="X25" s="28"/>
      <c r="Y25" s="28"/>
    </row>
    <row r="26" spans="1:25" ht="25.5" customHeight="1">
      <c r="A26" s="18" t="s">
        <v>56</v>
      </c>
      <c r="B26" s="47" t="s">
        <v>57</v>
      </c>
      <c r="C26" s="48"/>
      <c r="D26" s="39"/>
      <c r="E26" s="35"/>
      <c r="F26" s="22"/>
      <c r="G26" s="23">
        <v>4</v>
      </c>
      <c r="H26" s="24">
        <f>G26*$J$8</f>
        <v>4</v>
      </c>
      <c r="I26" s="25" t="s">
        <v>38</v>
      </c>
      <c r="J26" s="26">
        <v>2000000</v>
      </c>
      <c r="K26" s="13">
        <f>J26*H26</f>
        <v>8000000</v>
      </c>
      <c r="L26" s="27"/>
      <c r="M26" s="28"/>
      <c r="N26" s="28"/>
      <c r="O26" s="28"/>
      <c r="P26" s="28"/>
      <c r="Q26" s="36"/>
      <c r="R26" s="28"/>
      <c r="S26" s="28"/>
      <c r="T26" s="28"/>
      <c r="U26" s="28"/>
      <c r="V26" s="28"/>
      <c r="W26" s="28"/>
      <c r="X26" s="28"/>
      <c r="Y26" s="28"/>
    </row>
    <row r="27" spans="1:25" ht="25.5" customHeight="1">
      <c r="A27" s="18" t="s">
        <v>58</v>
      </c>
      <c r="B27" s="32" t="s">
        <v>59</v>
      </c>
      <c r="C27" s="40"/>
      <c r="D27" s="34"/>
      <c r="E27" s="35"/>
      <c r="F27" s="22"/>
      <c r="G27" s="23">
        <v>1</v>
      </c>
      <c r="H27" s="24">
        <f t="shared" si="0"/>
        <v>1</v>
      </c>
      <c r="I27" s="25" t="s">
        <v>34</v>
      </c>
      <c r="J27" s="26">
        <v>4000000</v>
      </c>
      <c r="K27" s="13">
        <f>J27*H27</f>
        <v>4000000</v>
      </c>
      <c r="L27" s="27"/>
      <c r="M27" s="28"/>
      <c r="N27" s="28"/>
      <c r="O27" s="28"/>
      <c r="P27" s="28"/>
      <c r="Q27" s="36"/>
      <c r="R27" s="28"/>
      <c r="S27" s="28"/>
      <c r="T27" s="28"/>
      <c r="U27" s="28"/>
      <c r="V27" s="28"/>
      <c r="W27" s="28"/>
      <c r="X27" s="28"/>
      <c r="Y27" s="28"/>
    </row>
    <row r="28" spans="1:25" ht="25.5" customHeight="1">
      <c r="A28" s="18" t="s">
        <v>60</v>
      </c>
      <c r="B28" s="32"/>
      <c r="C28" s="33"/>
      <c r="D28" s="34"/>
      <c r="E28" s="35"/>
      <c r="F28" s="22"/>
      <c r="G28" s="23">
        <v>0</v>
      </c>
      <c r="H28" s="24">
        <f t="shared" si="0"/>
        <v>0</v>
      </c>
      <c r="I28" s="25" t="s">
        <v>38</v>
      </c>
      <c r="J28" s="29">
        <v>0</v>
      </c>
      <c r="K28" s="30">
        <f t="shared" ref="K28" si="4">J28*H28</f>
        <v>0</v>
      </c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25.5" customHeight="1">
      <c r="A29" s="15" t="s">
        <v>332</v>
      </c>
      <c r="B29" s="43" t="s">
        <v>61</v>
      </c>
      <c r="C29" s="44"/>
      <c r="D29" s="44"/>
      <c r="E29" s="45"/>
      <c r="F29" s="44"/>
      <c r="G29" s="44"/>
      <c r="H29" s="44"/>
      <c r="I29" s="46"/>
      <c r="J29" s="31"/>
      <c r="K29" s="16">
        <f>SUBTOTAL(9,K30:K33)</f>
        <v>28800000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25.5" customHeight="1">
      <c r="A30" s="18" t="s">
        <v>40</v>
      </c>
      <c r="B30" s="32" t="s">
        <v>62</v>
      </c>
      <c r="C30" s="33"/>
      <c r="D30" s="34"/>
      <c r="E30" s="35"/>
      <c r="F30" s="22"/>
      <c r="G30" s="23">
        <v>1</v>
      </c>
      <c r="H30" s="24">
        <f>G30*$J$8</f>
        <v>1</v>
      </c>
      <c r="I30" s="25" t="s">
        <v>34</v>
      </c>
      <c r="J30" s="26">
        <v>10000000</v>
      </c>
      <c r="K30" s="13">
        <f>J30*H30</f>
        <v>10000000</v>
      </c>
      <c r="L30" s="27"/>
      <c r="M30" s="28"/>
      <c r="N30" s="28"/>
      <c r="O30" s="28"/>
      <c r="P30" s="28"/>
      <c r="Q30" s="36"/>
      <c r="R30" s="28"/>
      <c r="S30" s="28"/>
      <c r="T30" s="28"/>
      <c r="U30" s="28"/>
      <c r="V30" s="28"/>
      <c r="W30" s="28"/>
      <c r="X30" s="28"/>
      <c r="Y30" s="28"/>
    </row>
    <row r="31" spans="1:25" ht="25.5" customHeight="1">
      <c r="A31" s="18" t="s">
        <v>43</v>
      </c>
      <c r="B31" s="32" t="s">
        <v>63</v>
      </c>
      <c r="C31" s="33"/>
      <c r="D31" s="34"/>
      <c r="E31" s="35"/>
      <c r="F31" s="22"/>
      <c r="G31" s="23">
        <v>4</v>
      </c>
      <c r="H31" s="24">
        <f>G31*$J$8</f>
        <v>4</v>
      </c>
      <c r="I31" s="25" t="s">
        <v>38</v>
      </c>
      <c r="J31" s="26">
        <v>1200000</v>
      </c>
      <c r="K31" s="13">
        <f>J31*H31</f>
        <v>4800000</v>
      </c>
      <c r="L31" s="27"/>
      <c r="M31" s="28"/>
      <c r="N31" s="28"/>
      <c r="O31" s="28"/>
      <c r="P31" s="28"/>
      <c r="Q31" s="36"/>
      <c r="R31" s="28"/>
      <c r="S31" s="28"/>
      <c r="T31" s="28"/>
      <c r="U31" s="28"/>
      <c r="V31" s="28"/>
      <c r="W31" s="28"/>
      <c r="X31" s="28"/>
      <c r="Y31" s="28"/>
    </row>
    <row r="32" spans="1:25" ht="25.5" customHeight="1">
      <c r="A32" s="18" t="s">
        <v>46</v>
      </c>
      <c r="B32" s="37" t="s">
        <v>64</v>
      </c>
      <c r="C32" s="38"/>
      <c r="D32" s="39"/>
      <c r="E32" s="35"/>
      <c r="F32" s="22"/>
      <c r="G32" s="23">
        <v>4</v>
      </c>
      <c r="H32" s="24">
        <f>G32*$J$8</f>
        <v>4</v>
      </c>
      <c r="I32" s="25" t="s">
        <v>38</v>
      </c>
      <c r="J32" s="26">
        <v>3500000</v>
      </c>
      <c r="K32" s="13">
        <f>J32*H32</f>
        <v>14000000</v>
      </c>
      <c r="L32" s="27"/>
      <c r="M32" s="28"/>
      <c r="N32" s="28"/>
      <c r="O32" s="28"/>
      <c r="P32" s="28"/>
      <c r="Q32" s="36"/>
      <c r="R32" s="28"/>
      <c r="S32" s="28"/>
      <c r="T32" s="28"/>
      <c r="U32" s="28"/>
      <c r="V32" s="28"/>
      <c r="W32" s="28"/>
      <c r="X32" s="28"/>
      <c r="Y32" s="28"/>
    </row>
    <row r="33" spans="1:25" ht="25.5" customHeight="1">
      <c r="A33" s="18" t="s">
        <v>48</v>
      </c>
      <c r="B33" s="37"/>
      <c r="C33" s="38"/>
      <c r="D33" s="39"/>
      <c r="E33" s="35"/>
      <c r="F33" s="22"/>
      <c r="G33" s="23">
        <v>0</v>
      </c>
      <c r="H33" s="24">
        <f>G33*$J$8</f>
        <v>0</v>
      </c>
      <c r="I33" s="25" t="s">
        <v>38</v>
      </c>
      <c r="J33" s="49">
        <v>0</v>
      </c>
      <c r="K33" s="50">
        <f>J33*H33</f>
        <v>0</v>
      </c>
      <c r="L33" s="27"/>
      <c r="M33" s="28"/>
      <c r="N33" s="28"/>
      <c r="O33" s="28"/>
      <c r="P33" s="28"/>
      <c r="Q33" s="36"/>
      <c r="R33" s="28"/>
      <c r="S33" s="28"/>
      <c r="T33" s="28"/>
      <c r="U33" s="28"/>
      <c r="V33" s="28"/>
      <c r="W33" s="28"/>
      <c r="X33" s="28"/>
      <c r="Y33" s="28"/>
    </row>
    <row r="34" spans="1:25" ht="25.5" customHeight="1">
      <c r="A34" s="15">
        <v>1.4</v>
      </c>
      <c r="B34" s="43" t="s">
        <v>65</v>
      </c>
      <c r="C34" s="44"/>
      <c r="D34" s="44"/>
      <c r="E34" s="45"/>
      <c r="F34" s="44"/>
      <c r="G34" s="44"/>
      <c r="H34" s="44"/>
      <c r="I34" s="46"/>
      <c r="J34" s="31"/>
      <c r="K34" s="16">
        <f>SUBTOTAL(9,K36:K40)</f>
        <v>630008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25.5" customHeight="1">
      <c r="A35" s="18" t="s">
        <v>66</v>
      </c>
      <c r="B35" s="37" t="s">
        <v>67</v>
      </c>
      <c r="C35" s="38" t="s">
        <v>68</v>
      </c>
      <c r="D35" s="39"/>
      <c r="E35" s="35"/>
      <c r="F35" s="22" t="s">
        <v>69</v>
      </c>
      <c r="G35" s="23">
        <v>4</v>
      </c>
      <c r="H35" s="24">
        <f t="shared" ref="H35:H40" si="5">G35*$J$8</f>
        <v>4</v>
      </c>
      <c r="I35" s="25" t="s">
        <v>38</v>
      </c>
      <c r="J35" s="26">
        <v>800000</v>
      </c>
      <c r="K35" s="13">
        <f t="shared" ref="K35" si="6">J35*H35</f>
        <v>3200000</v>
      </c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25.5" customHeight="1">
      <c r="A36" s="18" t="s">
        <v>70</v>
      </c>
      <c r="B36" s="37" t="s">
        <v>71</v>
      </c>
      <c r="C36" s="38" t="s">
        <v>72</v>
      </c>
      <c r="D36" s="39"/>
      <c r="E36" s="35" t="s">
        <v>42</v>
      </c>
      <c r="F36" s="22"/>
      <c r="G36" s="23">
        <v>2</v>
      </c>
      <c r="H36" s="24">
        <f t="shared" si="5"/>
        <v>2</v>
      </c>
      <c r="I36" s="25" t="s">
        <v>38</v>
      </c>
      <c r="J36" s="26">
        <v>30731</v>
      </c>
      <c r="K36" s="13">
        <f>J36*H36</f>
        <v>61462</v>
      </c>
      <c r="L36" s="27"/>
      <c r="M36" s="28"/>
      <c r="N36" s="28"/>
      <c r="O36" s="28"/>
      <c r="P36" s="28"/>
      <c r="Q36" s="36"/>
      <c r="R36" s="28"/>
      <c r="S36" s="28"/>
      <c r="T36" s="28"/>
      <c r="U36" s="28"/>
      <c r="V36" s="28"/>
      <c r="W36" s="28"/>
      <c r="X36" s="28"/>
      <c r="Y36" s="28"/>
    </row>
    <row r="37" spans="1:25" ht="25.5" customHeight="1">
      <c r="A37" s="18" t="s">
        <v>73</v>
      </c>
      <c r="B37" s="37" t="s">
        <v>74</v>
      </c>
      <c r="C37" s="38" t="s">
        <v>75</v>
      </c>
      <c r="D37" s="39"/>
      <c r="E37" s="35" t="s">
        <v>42</v>
      </c>
      <c r="F37" s="22"/>
      <c r="G37" s="23">
        <v>2</v>
      </c>
      <c r="H37" s="24">
        <f t="shared" si="5"/>
        <v>2</v>
      </c>
      <c r="I37" s="25" t="s">
        <v>38</v>
      </c>
      <c r="J37" s="26">
        <v>84368</v>
      </c>
      <c r="K37" s="13">
        <f>J37*H37</f>
        <v>168736</v>
      </c>
      <c r="L37" s="27"/>
      <c r="M37" s="28"/>
      <c r="N37" s="28"/>
      <c r="O37" s="28"/>
      <c r="P37" s="28"/>
      <c r="Q37" s="36"/>
      <c r="R37" s="28"/>
      <c r="S37" s="28"/>
      <c r="T37" s="28"/>
      <c r="U37" s="28"/>
      <c r="V37" s="28"/>
      <c r="W37" s="28"/>
      <c r="X37" s="28"/>
      <c r="Y37" s="28"/>
    </row>
    <row r="38" spans="1:25" ht="25.5" customHeight="1">
      <c r="A38" s="18" t="s">
        <v>76</v>
      </c>
      <c r="B38" s="37" t="s">
        <v>77</v>
      </c>
      <c r="C38" s="38" t="s">
        <v>78</v>
      </c>
      <c r="D38" s="39"/>
      <c r="E38" s="35" t="s">
        <v>42</v>
      </c>
      <c r="F38" s="22"/>
      <c r="G38" s="23">
        <v>8</v>
      </c>
      <c r="H38" s="24">
        <f t="shared" si="5"/>
        <v>8</v>
      </c>
      <c r="I38" s="25" t="s">
        <v>38</v>
      </c>
      <c r="J38" s="26">
        <v>4269</v>
      </c>
      <c r="K38" s="13">
        <f>J38*H38</f>
        <v>34152</v>
      </c>
      <c r="L38" s="27"/>
      <c r="M38" s="28"/>
      <c r="N38" s="28"/>
      <c r="O38" s="28"/>
      <c r="P38" s="28"/>
      <c r="Q38" s="36"/>
      <c r="R38" s="28"/>
      <c r="S38" s="28"/>
      <c r="T38" s="28"/>
      <c r="U38" s="28"/>
      <c r="V38" s="28"/>
      <c r="W38" s="28"/>
      <c r="X38" s="28"/>
      <c r="Y38" s="28"/>
    </row>
    <row r="39" spans="1:25" ht="25.5" customHeight="1">
      <c r="A39" s="18" t="s">
        <v>79</v>
      </c>
      <c r="B39" s="37" t="s">
        <v>80</v>
      </c>
      <c r="C39" s="38" t="s">
        <v>81</v>
      </c>
      <c r="D39" s="39"/>
      <c r="E39" s="35" t="s">
        <v>42</v>
      </c>
      <c r="F39" s="22"/>
      <c r="G39" s="23">
        <v>1</v>
      </c>
      <c r="H39" s="24">
        <f t="shared" si="5"/>
        <v>1</v>
      </c>
      <c r="I39" s="25" t="s">
        <v>38</v>
      </c>
      <c r="J39" s="26">
        <v>365658</v>
      </c>
      <c r="K39" s="13">
        <f>J39*H39</f>
        <v>365658</v>
      </c>
      <c r="L39" s="27"/>
      <c r="M39" s="28"/>
      <c r="N39" s="28"/>
      <c r="O39" s="28"/>
      <c r="P39" s="28"/>
      <c r="Q39" s="36"/>
      <c r="R39" s="28"/>
      <c r="S39" s="28"/>
      <c r="T39" s="28"/>
      <c r="U39" s="28"/>
      <c r="V39" s="28"/>
      <c r="W39" s="28"/>
      <c r="X39" s="28"/>
      <c r="Y39" s="28"/>
    </row>
    <row r="40" spans="1:25" ht="25.5" customHeight="1">
      <c r="A40" s="18" t="s">
        <v>82</v>
      </c>
      <c r="B40" s="37"/>
      <c r="C40" s="38"/>
      <c r="D40" s="39"/>
      <c r="E40" s="35"/>
      <c r="F40" s="22"/>
      <c r="G40" s="23">
        <v>0</v>
      </c>
      <c r="H40" s="24">
        <f t="shared" si="5"/>
        <v>0</v>
      </c>
      <c r="I40" s="25" t="s">
        <v>34</v>
      </c>
      <c r="J40" s="26">
        <v>0</v>
      </c>
      <c r="K40" s="13">
        <f t="shared" ref="K40" si="7">J40*H40</f>
        <v>0</v>
      </c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20.45" customHeight="1">
      <c r="A41" s="11">
        <v>2</v>
      </c>
      <c r="B41" s="76" t="str">
        <f>[1]TongHop!B9</f>
        <v>Bộ sạc</v>
      </c>
      <c r="C41" s="77"/>
      <c r="D41" s="77"/>
      <c r="E41" s="77"/>
      <c r="F41" s="77"/>
      <c r="G41" s="77"/>
      <c r="H41" s="77"/>
      <c r="I41" s="78"/>
      <c r="J41" s="51">
        <f>[1]TongHop!$D$9</f>
        <v>1</v>
      </c>
      <c r="K41" s="52">
        <f>SUBTOTAL(9,K42:K58)</f>
        <v>10735650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24" customHeight="1">
      <c r="A42" s="15">
        <v>2.1</v>
      </c>
      <c r="B42" s="43" t="s">
        <v>83</v>
      </c>
      <c r="C42" s="44"/>
      <c r="D42" s="44"/>
      <c r="E42" s="45"/>
      <c r="F42" s="44"/>
      <c r="G42" s="44"/>
      <c r="H42" s="44"/>
      <c r="I42" s="46"/>
      <c r="J42" s="31"/>
      <c r="K42" s="16">
        <f>SUBTOTAL(9,K43:K55)</f>
        <v>2235650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25.5" customHeight="1">
      <c r="A43" s="18" t="s">
        <v>84</v>
      </c>
      <c r="B43" s="37" t="s">
        <v>71</v>
      </c>
      <c r="C43" s="38" t="s">
        <v>85</v>
      </c>
      <c r="D43" s="53"/>
      <c r="E43" s="35" t="s">
        <v>42</v>
      </c>
      <c r="F43" s="22"/>
      <c r="G43" s="23">
        <v>1</v>
      </c>
      <c r="H43" s="24">
        <f>G43*$J$41</f>
        <v>1</v>
      </c>
      <c r="I43" s="25" t="s">
        <v>38</v>
      </c>
      <c r="J43" s="26">
        <v>30433</v>
      </c>
      <c r="K43" s="13">
        <f>J43*H43</f>
        <v>30433</v>
      </c>
      <c r="L43" s="27"/>
      <c r="M43" s="28" t="s">
        <v>42</v>
      </c>
      <c r="N43" s="28"/>
      <c r="O43" s="28"/>
      <c r="P43" s="28"/>
      <c r="Q43" s="36"/>
      <c r="R43" s="28"/>
      <c r="S43" s="28"/>
      <c r="T43" s="28"/>
      <c r="U43" s="28"/>
      <c r="V43" s="28"/>
      <c r="W43" s="28"/>
      <c r="X43" s="28"/>
      <c r="Y43" s="28"/>
    </row>
    <row r="44" spans="1:25" ht="25.5" customHeight="1">
      <c r="A44" s="18" t="s">
        <v>86</v>
      </c>
      <c r="B44" s="37" t="s">
        <v>87</v>
      </c>
      <c r="C44" s="38" t="s">
        <v>88</v>
      </c>
      <c r="D44" s="53"/>
      <c r="E44" s="35" t="s">
        <v>42</v>
      </c>
      <c r="F44" s="22"/>
      <c r="G44" s="23">
        <v>2</v>
      </c>
      <c r="H44" s="24">
        <f t="shared" ref="H44:H58" si="8">G44*$J$41</f>
        <v>2</v>
      </c>
      <c r="I44" s="25" t="s">
        <v>38</v>
      </c>
      <c r="J44" s="26">
        <v>119400</v>
      </c>
      <c r="K44" s="13">
        <f t="shared" ref="K44:K54" si="9">J44*H44</f>
        <v>238800</v>
      </c>
      <c r="L44" s="27"/>
      <c r="M44" s="28" t="s">
        <v>42</v>
      </c>
      <c r="N44" s="28"/>
      <c r="O44" s="28"/>
      <c r="P44" s="28"/>
      <c r="Q44" s="36"/>
      <c r="R44" s="28"/>
      <c r="S44" s="28"/>
      <c r="T44" s="28"/>
      <c r="U44" s="28"/>
      <c r="V44" s="28"/>
      <c r="W44" s="28"/>
      <c r="X44" s="28"/>
      <c r="Y44" s="28"/>
    </row>
    <row r="45" spans="1:25" ht="25.5" customHeight="1">
      <c r="A45" s="18" t="s">
        <v>89</v>
      </c>
      <c r="B45" s="37" t="s">
        <v>41</v>
      </c>
      <c r="C45" s="38" t="s">
        <v>90</v>
      </c>
      <c r="D45" s="53"/>
      <c r="E45" s="35" t="s">
        <v>42</v>
      </c>
      <c r="F45" s="22"/>
      <c r="G45" s="23">
        <v>2</v>
      </c>
      <c r="H45" s="24">
        <f t="shared" si="8"/>
        <v>2</v>
      </c>
      <c r="I45" s="25" t="s">
        <v>38</v>
      </c>
      <c r="J45" s="26">
        <v>114034</v>
      </c>
      <c r="K45" s="13">
        <f t="shared" si="9"/>
        <v>228068</v>
      </c>
      <c r="L45" s="27"/>
      <c r="M45" s="28" t="s">
        <v>42</v>
      </c>
      <c r="N45" s="28"/>
      <c r="O45" s="28"/>
      <c r="P45" s="28"/>
      <c r="Q45" s="36"/>
      <c r="R45" s="28"/>
      <c r="S45" s="28"/>
      <c r="T45" s="28"/>
      <c r="U45" s="28"/>
      <c r="V45" s="28"/>
      <c r="W45" s="28"/>
      <c r="X45" s="28"/>
      <c r="Y45" s="28"/>
    </row>
    <row r="46" spans="1:25" ht="25.5" customHeight="1">
      <c r="A46" s="18" t="s">
        <v>91</v>
      </c>
      <c r="B46" s="37" t="s">
        <v>92</v>
      </c>
      <c r="C46" s="38" t="s">
        <v>93</v>
      </c>
      <c r="D46" s="53"/>
      <c r="E46" s="35" t="s">
        <v>42</v>
      </c>
      <c r="F46" s="22"/>
      <c r="G46" s="23">
        <v>2</v>
      </c>
      <c r="H46" s="24">
        <f t="shared" si="8"/>
        <v>2</v>
      </c>
      <c r="I46" s="25" t="s">
        <v>38</v>
      </c>
      <c r="J46" s="26">
        <v>37966</v>
      </c>
      <c r="K46" s="13">
        <f t="shared" si="9"/>
        <v>75932</v>
      </c>
      <c r="L46" s="27"/>
      <c r="M46" s="28" t="s">
        <v>42</v>
      </c>
      <c r="N46" s="28"/>
      <c r="O46" s="28"/>
      <c r="P46" s="28"/>
      <c r="Q46" s="36"/>
      <c r="R46" s="28"/>
      <c r="S46" s="28"/>
      <c r="T46" s="28"/>
      <c r="U46" s="28"/>
      <c r="V46" s="28"/>
      <c r="W46" s="28"/>
      <c r="X46" s="28"/>
      <c r="Y46" s="28"/>
    </row>
    <row r="47" spans="1:25" ht="25.5" customHeight="1">
      <c r="A47" s="18" t="s">
        <v>94</v>
      </c>
      <c r="B47" s="37" t="s">
        <v>95</v>
      </c>
      <c r="C47" s="38" t="s">
        <v>96</v>
      </c>
      <c r="D47" s="53"/>
      <c r="E47" s="35" t="s">
        <v>42</v>
      </c>
      <c r="F47" s="22"/>
      <c r="G47" s="23">
        <v>2</v>
      </c>
      <c r="H47" s="24">
        <f t="shared" si="8"/>
        <v>2</v>
      </c>
      <c r="I47" s="25" t="s">
        <v>38</v>
      </c>
      <c r="J47" s="26">
        <v>19144</v>
      </c>
      <c r="K47" s="13">
        <f t="shared" si="9"/>
        <v>38288</v>
      </c>
      <c r="L47" s="27"/>
      <c r="M47" s="28" t="s">
        <v>42</v>
      </c>
      <c r="N47" s="28"/>
      <c r="O47" s="28"/>
      <c r="P47" s="28"/>
      <c r="Q47" s="36"/>
      <c r="R47" s="28"/>
      <c r="S47" s="28"/>
      <c r="T47" s="28"/>
      <c r="U47" s="28"/>
      <c r="V47" s="28"/>
      <c r="W47" s="28"/>
      <c r="X47" s="28"/>
      <c r="Y47" s="28"/>
    </row>
    <row r="48" spans="1:25" ht="25.5" customHeight="1">
      <c r="A48" s="18" t="s">
        <v>97</v>
      </c>
      <c r="B48" s="37" t="s">
        <v>98</v>
      </c>
      <c r="C48" s="38" t="s">
        <v>99</v>
      </c>
      <c r="D48" s="53"/>
      <c r="E48" s="35" t="s">
        <v>42</v>
      </c>
      <c r="F48" s="22"/>
      <c r="G48" s="23">
        <v>1</v>
      </c>
      <c r="H48" s="24">
        <f t="shared" si="8"/>
        <v>1</v>
      </c>
      <c r="I48" s="25" t="s">
        <v>38</v>
      </c>
      <c r="J48" s="26">
        <v>15058</v>
      </c>
      <c r="K48" s="13">
        <f t="shared" si="9"/>
        <v>15058</v>
      </c>
      <c r="L48" s="27"/>
      <c r="M48" s="28" t="s">
        <v>42</v>
      </c>
      <c r="N48" s="28"/>
      <c r="O48" s="28"/>
      <c r="P48" s="28"/>
      <c r="Q48" s="36"/>
      <c r="R48" s="28"/>
      <c r="S48" s="28"/>
      <c r="T48" s="28"/>
      <c r="U48" s="28"/>
      <c r="V48" s="28"/>
      <c r="W48" s="28"/>
      <c r="X48" s="28"/>
      <c r="Y48" s="28"/>
    </row>
    <row r="49" spans="1:25" ht="25.5" customHeight="1">
      <c r="A49" s="18" t="s">
        <v>100</v>
      </c>
      <c r="B49" s="37" t="s">
        <v>101</v>
      </c>
      <c r="C49" s="38" t="s">
        <v>102</v>
      </c>
      <c r="D49" s="53"/>
      <c r="E49" s="35" t="s">
        <v>42</v>
      </c>
      <c r="F49" s="22"/>
      <c r="G49" s="23">
        <v>1</v>
      </c>
      <c r="H49" s="24">
        <f t="shared" si="8"/>
        <v>1</v>
      </c>
      <c r="I49" s="25" t="s">
        <v>38</v>
      </c>
      <c r="J49" s="26">
        <v>12767</v>
      </c>
      <c r="K49" s="13">
        <f t="shared" si="9"/>
        <v>12767</v>
      </c>
      <c r="L49" s="27"/>
      <c r="M49" s="28" t="s">
        <v>42</v>
      </c>
      <c r="N49" s="28"/>
      <c r="O49" s="28"/>
      <c r="P49" s="28"/>
      <c r="Q49" s="36"/>
      <c r="R49" s="28"/>
      <c r="S49" s="28"/>
      <c r="T49" s="28"/>
      <c r="U49" s="28"/>
      <c r="V49" s="28"/>
      <c r="W49" s="28"/>
      <c r="X49" s="28"/>
      <c r="Y49" s="28"/>
    </row>
    <row r="50" spans="1:25" ht="25.5" customHeight="1">
      <c r="A50" s="18" t="s">
        <v>103</v>
      </c>
      <c r="B50" s="37" t="s">
        <v>104</v>
      </c>
      <c r="C50" s="38" t="s">
        <v>105</v>
      </c>
      <c r="D50" s="53"/>
      <c r="E50" s="35" t="s">
        <v>42</v>
      </c>
      <c r="F50" s="22"/>
      <c r="G50" s="23">
        <v>2</v>
      </c>
      <c r="H50" s="24">
        <f t="shared" si="8"/>
        <v>2</v>
      </c>
      <c r="I50" s="25" t="s">
        <v>38</v>
      </c>
      <c r="J50" s="26">
        <v>47515</v>
      </c>
      <c r="K50" s="13">
        <f t="shared" si="9"/>
        <v>95030</v>
      </c>
      <c r="L50" s="27"/>
      <c r="M50" s="28" t="s">
        <v>42</v>
      </c>
      <c r="N50" s="28"/>
      <c r="O50" s="28"/>
      <c r="P50" s="28"/>
      <c r="Q50" s="36"/>
      <c r="R50" s="28"/>
      <c r="S50" s="28"/>
      <c r="T50" s="28"/>
      <c r="U50" s="28"/>
      <c r="V50" s="28"/>
      <c r="W50" s="28"/>
      <c r="X50" s="28"/>
      <c r="Y50" s="28"/>
    </row>
    <row r="51" spans="1:25" ht="25.5" customHeight="1">
      <c r="A51" s="18" t="s">
        <v>106</v>
      </c>
      <c r="B51" s="37" t="s">
        <v>107</v>
      </c>
      <c r="C51" s="38" t="s">
        <v>108</v>
      </c>
      <c r="D51" s="53"/>
      <c r="E51" s="35" t="s">
        <v>42</v>
      </c>
      <c r="F51" s="22"/>
      <c r="G51" s="23">
        <v>2</v>
      </c>
      <c r="H51" s="24">
        <f t="shared" si="8"/>
        <v>2</v>
      </c>
      <c r="I51" s="25" t="s">
        <v>38</v>
      </c>
      <c r="J51" s="26">
        <v>62498</v>
      </c>
      <c r="K51" s="13">
        <f t="shared" si="9"/>
        <v>124996</v>
      </c>
      <c r="L51" s="27"/>
      <c r="M51" s="28" t="s">
        <v>42</v>
      </c>
      <c r="N51" s="28"/>
      <c r="O51" s="28"/>
      <c r="P51" s="28"/>
      <c r="Q51" s="36"/>
      <c r="R51" s="28"/>
      <c r="S51" s="28"/>
      <c r="T51" s="28"/>
      <c r="U51" s="28"/>
      <c r="V51" s="28"/>
      <c r="W51" s="28"/>
      <c r="X51" s="28"/>
      <c r="Y51" s="28"/>
    </row>
    <row r="52" spans="1:25" ht="25.5" customHeight="1">
      <c r="A52" s="18" t="s">
        <v>109</v>
      </c>
      <c r="B52" s="37" t="s">
        <v>110</v>
      </c>
      <c r="C52" s="38" t="s">
        <v>111</v>
      </c>
      <c r="D52" s="53"/>
      <c r="E52" s="35" t="s">
        <v>42</v>
      </c>
      <c r="F52" s="22"/>
      <c r="G52" s="23">
        <v>2</v>
      </c>
      <c r="H52" s="24">
        <f t="shared" si="8"/>
        <v>2</v>
      </c>
      <c r="I52" s="25" t="s">
        <v>38</v>
      </c>
      <c r="J52" s="26">
        <v>645535</v>
      </c>
      <c r="K52" s="13">
        <f t="shared" si="9"/>
        <v>1291070</v>
      </c>
      <c r="L52" s="27"/>
      <c r="M52" s="28" t="s">
        <v>42</v>
      </c>
      <c r="N52" s="28"/>
      <c r="O52" s="28"/>
      <c r="P52" s="28"/>
      <c r="Q52" s="36"/>
      <c r="R52" s="28"/>
      <c r="S52" s="28"/>
      <c r="T52" s="28"/>
      <c r="U52" s="28"/>
      <c r="V52" s="28"/>
      <c r="W52" s="28"/>
      <c r="X52" s="28"/>
      <c r="Y52" s="28"/>
    </row>
    <row r="53" spans="1:25" ht="25.5" customHeight="1">
      <c r="A53" s="18" t="s">
        <v>112</v>
      </c>
      <c r="B53" s="37" t="s">
        <v>113</v>
      </c>
      <c r="C53" s="38" t="s">
        <v>114</v>
      </c>
      <c r="D53" s="53"/>
      <c r="E53" s="35" t="s">
        <v>42</v>
      </c>
      <c r="F53" s="22"/>
      <c r="G53" s="23">
        <v>2</v>
      </c>
      <c r="H53" s="24">
        <f t="shared" si="8"/>
        <v>2</v>
      </c>
      <c r="I53" s="25" t="s">
        <v>38</v>
      </c>
      <c r="J53" s="26">
        <v>37412</v>
      </c>
      <c r="K53" s="13">
        <f t="shared" si="9"/>
        <v>74824</v>
      </c>
      <c r="L53" s="27"/>
      <c r="M53" s="28" t="s">
        <v>42</v>
      </c>
      <c r="N53" s="28"/>
      <c r="O53" s="28"/>
      <c r="P53" s="28"/>
      <c r="Q53" s="36"/>
      <c r="R53" s="28"/>
      <c r="S53" s="28"/>
      <c r="T53" s="28"/>
      <c r="U53" s="28"/>
      <c r="V53" s="28"/>
      <c r="W53" s="28"/>
      <c r="X53" s="28"/>
      <c r="Y53" s="28"/>
    </row>
    <row r="54" spans="1:25" ht="25.5" customHeight="1">
      <c r="A54" s="18" t="s">
        <v>115</v>
      </c>
      <c r="B54" s="37" t="s">
        <v>116</v>
      </c>
      <c r="C54" s="38" t="s">
        <v>117</v>
      </c>
      <c r="D54" s="53"/>
      <c r="E54" s="35" t="s">
        <v>42</v>
      </c>
      <c r="F54" s="22"/>
      <c r="G54" s="23">
        <v>4</v>
      </c>
      <c r="H54" s="24">
        <f t="shared" si="8"/>
        <v>4</v>
      </c>
      <c r="I54" s="25" t="s">
        <v>38</v>
      </c>
      <c r="J54" s="26">
        <v>2596</v>
      </c>
      <c r="K54" s="13">
        <f t="shared" si="9"/>
        <v>10384</v>
      </c>
      <c r="L54" s="27"/>
      <c r="M54" s="28" t="s">
        <v>42</v>
      </c>
      <c r="N54" s="28"/>
      <c r="O54" s="28"/>
      <c r="P54" s="28"/>
      <c r="Q54" s="36"/>
      <c r="R54" s="28"/>
      <c r="S54" s="28"/>
      <c r="T54" s="28"/>
      <c r="U54" s="28"/>
      <c r="V54" s="28"/>
      <c r="W54" s="28"/>
      <c r="X54" s="28"/>
      <c r="Y54" s="28"/>
    </row>
    <row r="55" spans="1:25" ht="24" customHeight="1">
      <c r="A55" s="18" t="s">
        <v>118</v>
      </c>
      <c r="B55" s="40"/>
      <c r="C55" s="40"/>
      <c r="D55" s="41"/>
      <c r="E55" s="42"/>
      <c r="F55" s="22"/>
      <c r="G55" s="23">
        <v>0</v>
      </c>
      <c r="H55" s="24">
        <f t="shared" si="8"/>
        <v>0</v>
      </c>
      <c r="I55" s="25" t="s">
        <v>38</v>
      </c>
      <c r="J55" s="29">
        <v>0</v>
      </c>
      <c r="K55" s="30">
        <f>J55*H55</f>
        <v>0</v>
      </c>
      <c r="L55" s="27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54"/>
      <c r="X55" s="54"/>
      <c r="Y55" s="54"/>
    </row>
    <row r="56" spans="1:25" ht="24" customHeight="1">
      <c r="A56" s="15">
        <v>2.2000000000000002</v>
      </c>
      <c r="B56" s="43" t="s">
        <v>119</v>
      </c>
      <c r="C56" s="44"/>
      <c r="D56" s="44"/>
      <c r="E56" s="45"/>
      <c r="F56" s="44"/>
      <c r="G56" s="44"/>
      <c r="H56" s="44"/>
      <c r="I56" s="46"/>
      <c r="J56" s="31"/>
      <c r="K56" s="16">
        <f>SUBTOTAL(9,K57:K58)</f>
        <v>8500000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24" customHeight="1">
      <c r="A57" s="18" t="s">
        <v>120</v>
      </c>
      <c r="B57" s="32" t="s">
        <v>121</v>
      </c>
      <c r="C57" s="40"/>
      <c r="D57" s="41"/>
      <c r="E57" s="42"/>
      <c r="F57" s="22"/>
      <c r="G57" s="23">
        <v>1</v>
      </c>
      <c r="H57" s="24">
        <f t="shared" si="8"/>
        <v>1</v>
      </c>
      <c r="I57" s="25" t="s">
        <v>38</v>
      </c>
      <c r="J57" s="26">
        <v>8500000</v>
      </c>
      <c r="K57" s="13">
        <f t="shared" ref="K57:K58" si="10">J57*H57</f>
        <v>8500000</v>
      </c>
      <c r="L57" s="27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54"/>
      <c r="X57" s="54"/>
      <c r="Y57" s="54"/>
    </row>
    <row r="58" spans="1:25" ht="24" customHeight="1">
      <c r="A58" s="18" t="s">
        <v>122</v>
      </c>
      <c r="B58" s="32"/>
      <c r="C58" s="40"/>
      <c r="D58" s="41"/>
      <c r="E58" s="42"/>
      <c r="F58" s="22"/>
      <c r="G58" s="23">
        <v>0</v>
      </c>
      <c r="H58" s="24">
        <f t="shared" si="8"/>
        <v>0</v>
      </c>
      <c r="I58" s="25" t="s">
        <v>38</v>
      </c>
      <c r="J58" s="29">
        <v>0</v>
      </c>
      <c r="K58" s="30">
        <f t="shared" si="10"/>
        <v>0</v>
      </c>
      <c r="L58" s="27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54"/>
      <c r="X58" s="54"/>
      <c r="Y58" s="54"/>
    </row>
    <row r="59" spans="1:25" ht="22.9" customHeight="1">
      <c r="A59" s="11">
        <v>3</v>
      </c>
      <c r="B59" s="76" t="s">
        <v>123</v>
      </c>
      <c r="C59" s="77"/>
      <c r="D59" s="77"/>
      <c r="E59" s="77"/>
      <c r="F59" s="77"/>
      <c r="G59" s="77"/>
      <c r="H59" s="77"/>
      <c r="I59" s="78"/>
      <c r="J59" s="51">
        <f>[1]TongHop!$D$10</f>
        <v>1</v>
      </c>
      <c r="K59" s="52">
        <f>SUBTOTAL(9,K60:K61)</f>
        <v>11000000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22.9" customHeight="1">
      <c r="A60" s="18" t="s">
        <v>124</v>
      </c>
      <c r="B60" s="37"/>
      <c r="C60" s="38"/>
      <c r="D60" s="39"/>
      <c r="E60" s="35"/>
      <c r="F60" s="22"/>
      <c r="G60" s="23">
        <v>2</v>
      </c>
      <c r="H60" s="24">
        <f>G60*$J$59</f>
        <v>2</v>
      </c>
      <c r="I60" s="25" t="s">
        <v>38</v>
      </c>
      <c r="J60" s="26">
        <v>5500000</v>
      </c>
      <c r="K60" s="13">
        <f t="shared" ref="K60:K61" si="11">J60*H60</f>
        <v>11000000</v>
      </c>
      <c r="L60" s="27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2.9" customHeight="1">
      <c r="A61" s="18" t="s">
        <v>125</v>
      </c>
      <c r="B61" s="37"/>
      <c r="C61" s="38"/>
      <c r="D61" s="39"/>
      <c r="E61" s="35"/>
      <c r="F61" s="22"/>
      <c r="G61" s="23">
        <v>0</v>
      </c>
      <c r="H61" s="24">
        <f>G61*$J$59</f>
        <v>0</v>
      </c>
      <c r="I61" s="25" t="s">
        <v>38</v>
      </c>
      <c r="J61" s="29">
        <v>0</v>
      </c>
      <c r="K61" s="30">
        <f t="shared" si="11"/>
        <v>0</v>
      </c>
      <c r="L61" s="2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22.9" customHeight="1">
      <c r="A62" s="11">
        <v>4</v>
      </c>
      <c r="B62" s="76" t="s">
        <v>126</v>
      </c>
      <c r="C62" s="77"/>
      <c r="D62" s="77"/>
      <c r="E62" s="77"/>
      <c r="F62" s="77"/>
      <c r="G62" s="77"/>
      <c r="H62" s="77"/>
      <c r="I62" s="78"/>
      <c r="J62" s="51">
        <f>[1]TongHop!$D$12</f>
        <v>1</v>
      </c>
      <c r="K62" s="52">
        <f>SUBTOTAL(9,K63:K64)</f>
        <v>0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22.9" customHeight="1">
      <c r="A63" s="18" t="s">
        <v>127</v>
      </c>
      <c r="B63" s="37"/>
      <c r="C63" s="38"/>
      <c r="D63" s="39"/>
      <c r="E63" s="35"/>
      <c r="F63" s="22"/>
      <c r="G63" s="23">
        <v>0</v>
      </c>
      <c r="H63" s="24">
        <f>G63*$J$62</f>
        <v>0</v>
      </c>
      <c r="I63" s="25" t="s">
        <v>34</v>
      </c>
      <c r="J63" s="29">
        <v>0</v>
      </c>
      <c r="K63" s="30">
        <f>J63*H63</f>
        <v>0</v>
      </c>
      <c r="L63" s="27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22.9" customHeight="1">
      <c r="A64" s="18" t="s">
        <v>128</v>
      </c>
      <c r="B64" s="37"/>
      <c r="C64" s="38"/>
      <c r="D64" s="39"/>
      <c r="E64" s="35"/>
      <c r="F64" s="22"/>
      <c r="G64" s="23">
        <v>0</v>
      </c>
      <c r="H64" s="24">
        <f t="shared" ref="H64" si="12">G64*$J$62</f>
        <v>0</v>
      </c>
      <c r="I64" s="25" t="s">
        <v>38</v>
      </c>
      <c r="J64" s="29">
        <v>0</v>
      </c>
      <c r="K64" s="30">
        <f>J64*H64</f>
        <v>0</v>
      </c>
      <c r="L64" s="27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22.9" customHeight="1">
      <c r="A65" s="11">
        <v>5</v>
      </c>
      <c r="B65" s="76" t="str">
        <f>[1]TongHop!$B$13</f>
        <v>Bộ gọi</v>
      </c>
      <c r="C65" s="77"/>
      <c r="D65" s="77"/>
      <c r="E65" s="77"/>
      <c r="F65" s="77"/>
      <c r="G65" s="77"/>
      <c r="H65" s="77"/>
      <c r="I65" s="78"/>
      <c r="J65" s="51">
        <f>[1]TongHop!$D$13</f>
        <v>0</v>
      </c>
      <c r="K65" s="52">
        <f>SUBTOTAL(9,K66:K67)</f>
        <v>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21.6" customHeight="1">
      <c r="A66" s="18" t="s">
        <v>129</v>
      </c>
      <c r="B66" s="37"/>
      <c r="C66" s="38"/>
      <c r="D66" s="39"/>
      <c r="E66" s="35"/>
      <c r="F66" s="22"/>
      <c r="G66" s="23">
        <v>0</v>
      </c>
      <c r="H66" s="24">
        <f>G66*$J$65</f>
        <v>0</v>
      </c>
      <c r="I66" s="25" t="s">
        <v>34</v>
      </c>
      <c r="J66" s="29">
        <v>0</v>
      </c>
      <c r="K66" s="50">
        <f>J66*H66</f>
        <v>0</v>
      </c>
      <c r="L66" s="27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21.6" customHeight="1">
      <c r="A67" s="18" t="s">
        <v>130</v>
      </c>
      <c r="B67" s="37"/>
      <c r="C67" s="38"/>
      <c r="D67" s="39"/>
      <c r="E67" s="35"/>
      <c r="F67" s="22"/>
      <c r="G67" s="23">
        <v>0</v>
      </c>
      <c r="H67" s="24">
        <f>G67*$J$65</f>
        <v>0</v>
      </c>
      <c r="I67" s="25" t="s">
        <v>38</v>
      </c>
      <c r="J67" s="29">
        <v>0</v>
      </c>
      <c r="K67" s="30">
        <f>J67*H67</f>
        <v>0</v>
      </c>
      <c r="L67" s="27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22.9" customHeight="1">
      <c r="A68" s="11">
        <v>6</v>
      </c>
      <c r="B68" s="76" t="str">
        <f>[1]TongHop!B14</f>
        <v>Cửa tự động</v>
      </c>
      <c r="C68" s="77"/>
      <c r="D68" s="77"/>
      <c r="E68" s="77"/>
      <c r="F68" s="77"/>
      <c r="G68" s="77"/>
      <c r="H68" s="77"/>
      <c r="I68" s="78"/>
      <c r="J68" s="51">
        <f>[1]TongHop!$D$14</f>
        <v>0</v>
      </c>
      <c r="K68" s="52">
        <f>SUBTOTAL(9,K69:K70)</f>
        <v>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21.6" customHeight="1">
      <c r="A69" s="18" t="s">
        <v>131</v>
      </c>
      <c r="B69" s="37"/>
      <c r="C69" s="38"/>
      <c r="D69" s="39"/>
      <c r="E69" s="35"/>
      <c r="F69" s="22"/>
      <c r="G69" s="23">
        <v>0</v>
      </c>
      <c r="H69" s="24">
        <f>G69*$J$68</f>
        <v>0</v>
      </c>
      <c r="I69" s="25" t="s">
        <v>34</v>
      </c>
      <c r="J69" s="49">
        <v>0</v>
      </c>
      <c r="K69" s="50">
        <f>J69*H69</f>
        <v>0</v>
      </c>
      <c r="L69" s="27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21.6" customHeight="1">
      <c r="A70" s="18" t="s">
        <v>132</v>
      </c>
      <c r="B70" s="37"/>
      <c r="C70" s="38"/>
      <c r="D70" s="39"/>
      <c r="E70" s="35"/>
      <c r="F70" s="22"/>
      <c r="G70" s="23">
        <v>0</v>
      </c>
      <c r="H70" s="24">
        <f>G70*$J$68</f>
        <v>0</v>
      </c>
      <c r="I70" s="25" t="s">
        <v>38</v>
      </c>
      <c r="J70" s="29">
        <v>0</v>
      </c>
      <c r="K70" s="30">
        <f>J70*H70</f>
        <v>0</v>
      </c>
      <c r="L70" s="27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4" customHeight="1">
      <c r="A71" s="11">
        <v>7</v>
      </c>
      <c r="B71" s="76" t="str">
        <f>[1]TongHop!$B$15</f>
        <v>Buffer</v>
      </c>
      <c r="C71" s="77"/>
      <c r="D71" s="77"/>
      <c r="E71" s="77"/>
      <c r="F71" s="77"/>
      <c r="G71" s="77"/>
      <c r="H71" s="77"/>
      <c r="I71" s="78"/>
      <c r="J71" s="51">
        <f>[1]TongHop!$D$15</f>
        <v>1</v>
      </c>
      <c r="K71" s="52">
        <f>SUBTOTAL(9,K72:K85)</f>
        <v>100000000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24" customHeight="1">
      <c r="A72" s="15">
        <v>7.1</v>
      </c>
      <c r="B72" s="43" t="s">
        <v>83</v>
      </c>
      <c r="C72" s="44"/>
      <c r="D72" s="44"/>
      <c r="E72" s="45"/>
      <c r="F72" s="44"/>
      <c r="G72" s="44"/>
      <c r="H72" s="44"/>
      <c r="I72" s="46"/>
      <c r="J72" s="31"/>
      <c r="K72" s="16">
        <f>SUBTOTAL(9,K73:K79)</f>
        <v>42000000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24" customHeight="1">
      <c r="A73" s="18" t="s">
        <v>133</v>
      </c>
      <c r="B73" s="32" t="s">
        <v>50</v>
      </c>
      <c r="C73" s="33"/>
      <c r="D73" s="34"/>
      <c r="E73" s="35"/>
      <c r="F73" s="22"/>
      <c r="G73" s="23">
        <v>20</v>
      </c>
      <c r="H73" s="24">
        <f t="shared" ref="H73:H79" si="13">G73*$J$71</f>
        <v>20</v>
      </c>
      <c r="I73" s="25" t="s">
        <v>38</v>
      </c>
      <c r="J73" s="26">
        <v>800000</v>
      </c>
      <c r="K73" s="13">
        <f t="shared" ref="K73:K79" si="14">J73*H73</f>
        <v>16000000</v>
      </c>
      <c r="L73" s="27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54"/>
      <c r="X73" s="54"/>
      <c r="Y73" s="54"/>
    </row>
    <row r="74" spans="1:25" ht="24" customHeight="1">
      <c r="A74" s="18" t="s">
        <v>134</v>
      </c>
      <c r="B74" s="32" t="s">
        <v>51</v>
      </c>
      <c r="C74" s="33"/>
      <c r="D74" s="34"/>
      <c r="E74" s="35"/>
      <c r="F74" s="22"/>
      <c r="G74" s="23">
        <v>20</v>
      </c>
      <c r="H74" s="24">
        <f t="shared" si="13"/>
        <v>20</v>
      </c>
      <c r="I74" s="25" t="s">
        <v>38</v>
      </c>
      <c r="J74" s="26">
        <v>200000</v>
      </c>
      <c r="K74" s="13">
        <f t="shared" si="14"/>
        <v>4000000</v>
      </c>
      <c r="L74" s="2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54"/>
      <c r="X74" s="54"/>
      <c r="Y74" s="54"/>
    </row>
    <row r="75" spans="1:25" ht="24" customHeight="1">
      <c r="A75" s="18" t="s">
        <v>135</v>
      </c>
      <c r="B75" s="37" t="s">
        <v>53</v>
      </c>
      <c r="C75" s="38"/>
      <c r="D75" s="39"/>
      <c r="E75" s="35"/>
      <c r="F75" s="22"/>
      <c r="G75" s="23">
        <v>4</v>
      </c>
      <c r="H75" s="24">
        <f t="shared" si="13"/>
        <v>4</v>
      </c>
      <c r="I75" s="25" t="s">
        <v>38</v>
      </c>
      <c r="J75" s="26">
        <v>1500000</v>
      </c>
      <c r="K75" s="13">
        <f t="shared" si="14"/>
        <v>6000000</v>
      </c>
      <c r="L75" s="27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54"/>
      <c r="X75" s="54"/>
      <c r="Y75" s="54"/>
    </row>
    <row r="76" spans="1:25" ht="24" customHeight="1">
      <c r="A76" s="18" t="s">
        <v>136</v>
      </c>
      <c r="B76" s="37" t="s">
        <v>55</v>
      </c>
      <c r="C76" s="38"/>
      <c r="D76" s="39"/>
      <c r="E76" s="35"/>
      <c r="F76" s="22"/>
      <c r="G76" s="23">
        <v>4</v>
      </c>
      <c r="H76" s="24">
        <f t="shared" si="13"/>
        <v>4</v>
      </c>
      <c r="I76" s="25" t="s">
        <v>38</v>
      </c>
      <c r="J76" s="26">
        <v>3000000</v>
      </c>
      <c r="K76" s="13">
        <f t="shared" si="14"/>
        <v>12000000</v>
      </c>
      <c r="L76" s="27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54"/>
      <c r="X76" s="54"/>
      <c r="Y76" s="54"/>
    </row>
    <row r="77" spans="1:25" ht="24" customHeight="1">
      <c r="A77" s="18" t="s">
        <v>137</v>
      </c>
      <c r="B77" s="47" t="s">
        <v>138</v>
      </c>
      <c r="C77" s="38"/>
      <c r="D77" s="55"/>
      <c r="E77" s="35"/>
      <c r="F77" s="22"/>
      <c r="G77" s="23">
        <v>4</v>
      </c>
      <c r="H77" s="24">
        <f t="shared" si="13"/>
        <v>4</v>
      </c>
      <c r="I77" s="25" t="s">
        <v>38</v>
      </c>
      <c r="J77" s="26">
        <v>1000000</v>
      </c>
      <c r="K77" s="13">
        <f t="shared" si="14"/>
        <v>4000000</v>
      </c>
      <c r="L77" s="2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54"/>
      <c r="X77" s="54"/>
      <c r="Y77" s="54"/>
    </row>
    <row r="78" spans="1:25" ht="24" customHeight="1">
      <c r="A78" s="18" t="s">
        <v>139</v>
      </c>
      <c r="B78" s="32"/>
      <c r="C78" s="56"/>
      <c r="D78" s="34"/>
      <c r="E78" s="35"/>
      <c r="F78" s="22"/>
      <c r="G78" s="23">
        <v>0</v>
      </c>
      <c r="H78" s="24">
        <f t="shared" si="13"/>
        <v>0</v>
      </c>
      <c r="I78" s="25" t="s">
        <v>38</v>
      </c>
      <c r="J78" s="26">
        <v>0</v>
      </c>
      <c r="K78" s="13">
        <f t="shared" si="14"/>
        <v>0</v>
      </c>
      <c r="L78" s="2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54"/>
      <c r="X78" s="54"/>
      <c r="Y78" s="54"/>
    </row>
    <row r="79" spans="1:25" ht="24" customHeight="1">
      <c r="A79" s="18" t="s">
        <v>140</v>
      </c>
      <c r="B79" s="32"/>
      <c r="C79" s="40"/>
      <c r="D79" s="57"/>
      <c r="E79" s="42"/>
      <c r="F79" s="22"/>
      <c r="G79" s="23">
        <v>0</v>
      </c>
      <c r="H79" s="24">
        <f t="shared" si="13"/>
        <v>0</v>
      </c>
      <c r="I79" s="25" t="s">
        <v>38</v>
      </c>
      <c r="J79" s="26">
        <v>0</v>
      </c>
      <c r="K79" s="13">
        <f t="shared" si="14"/>
        <v>0</v>
      </c>
      <c r="L79" s="27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54"/>
      <c r="X79" s="54"/>
      <c r="Y79" s="54"/>
    </row>
    <row r="80" spans="1:25" ht="24" customHeight="1">
      <c r="A80" s="15">
        <v>7.2</v>
      </c>
      <c r="B80" s="43" t="s">
        <v>119</v>
      </c>
      <c r="C80" s="44"/>
      <c r="D80" s="44"/>
      <c r="E80" s="45"/>
      <c r="F80" s="44"/>
      <c r="G80" s="44"/>
      <c r="H80" s="44"/>
      <c r="I80" s="46"/>
      <c r="J80" s="31"/>
      <c r="K80" s="16">
        <f>SUBTOTAL(9,K81:K85)</f>
        <v>58000000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24" customHeight="1">
      <c r="A81" s="18" t="s">
        <v>141</v>
      </c>
      <c r="B81" s="47" t="s">
        <v>57</v>
      </c>
      <c r="C81" s="40"/>
      <c r="D81" s="41"/>
      <c r="E81" s="42"/>
      <c r="F81" s="22"/>
      <c r="G81" s="23">
        <v>4</v>
      </c>
      <c r="H81" s="24">
        <f t="shared" ref="H81:H85" si="15">G81*$J$71</f>
        <v>4</v>
      </c>
      <c r="I81" s="25" t="s">
        <v>38</v>
      </c>
      <c r="J81" s="26">
        <v>2000000</v>
      </c>
      <c r="K81" s="13">
        <f t="shared" ref="K81:K85" si="16">J81*H81</f>
        <v>8000000</v>
      </c>
      <c r="L81" s="2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54"/>
      <c r="X81" s="54"/>
      <c r="Y81" s="54"/>
    </row>
    <row r="82" spans="1:25" ht="24" customHeight="1">
      <c r="A82" s="18" t="s">
        <v>142</v>
      </c>
      <c r="B82" s="32" t="s">
        <v>59</v>
      </c>
      <c r="C82" s="40"/>
      <c r="D82" s="41"/>
      <c r="E82" s="42"/>
      <c r="F82" s="22"/>
      <c r="G82" s="23">
        <v>1</v>
      </c>
      <c r="H82" s="24">
        <f t="shared" si="15"/>
        <v>1</v>
      </c>
      <c r="I82" s="25" t="s">
        <v>38</v>
      </c>
      <c r="J82" s="26">
        <v>4000000</v>
      </c>
      <c r="K82" s="13">
        <f t="shared" si="16"/>
        <v>4000000</v>
      </c>
      <c r="L82" s="2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54"/>
      <c r="X82" s="54"/>
      <c r="Y82" s="54"/>
    </row>
    <row r="83" spans="1:25" ht="24" customHeight="1">
      <c r="A83" s="18" t="s">
        <v>143</v>
      </c>
      <c r="B83" s="37" t="s">
        <v>144</v>
      </c>
      <c r="C83" s="40"/>
      <c r="D83" s="41"/>
      <c r="E83" s="42"/>
      <c r="F83" s="22"/>
      <c r="G83" s="23">
        <v>1</v>
      </c>
      <c r="H83" s="24">
        <f>G83*$J$71</f>
        <v>1</v>
      </c>
      <c r="I83" s="25" t="s">
        <v>38</v>
      </c>
      <c r="J83" s="26">
        <v>40000000</v>
      </c>
      <c r="K83" s="13">
        <f>J83*H83</f>
        <v>40000000</v>
      </c>
      <c r="L83" s="27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54"/>
      <c r="X83" s="54"/>
      <c r="Y83" s="54"/>
    </row>
    <row r="84" spans="1:25" ht="24" customHeight="1">
      <c r="A84" s="18" t="s">
        <v>145</v>
      </c>
      <c r="B84" s="32" t="s">
        <v>52</v>
      </c>
      <c r="C84" s="40"/>
      <c r="D84" s="41"/>
      <c r="E84" s="42"/>
      <c r="F84" s="22"/>
      <c r="G84" s="23">
        <v>2</v>
      </c>
      <c r="H84" s="24">
        <f t="shared" si="15"/>
        <v>2</v>
      </c>
      <c r="I84" s="25" t="s">
        <v>38</v>
      </c>
      <c r="J84" s="26">
        <v>3000000</v>
      </c>
      <c r="K84" s="13">
        <f t="shared" si="16"/>
        <v>6000000</v>
      </c>
      <c r="L84" s="27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54"/>
      <c r="X84" s="54"/>
      <c r="Y84" s="54"/>
    </row>
    <row r="85" spans="1:25" ht="24" customHeight="1">
      <c r="A85" s="18" t="s">
        <v>146</v>
      </c>
      <c r="B85" s="32"/>
      <c r="C85" s="40"/>
      <c r="D85" s="41"/>
      <c r="E85" s="42"/>
      <c r="F85" s="22"/>
      <c r="G85" s="23">
        <v>0</v>
      </c>
      <c r="H85" s="24">
        <f t="shared" si="15"/>
        <v>0</v>
      </c>
      <c r="I85" s="25" t="s">
        <v>38</v>
      </c>
      <c r="J85" s="29">
        <v>0</v>
      </c>
      <c r="K85" s="30">
        <f t="shared" si="16"/>
        <v>0</v>
      </c>
      <c r="L85" s="27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54"/>
      <c r="X85" s="54"/>
      <c r="Y85" s="54"/>
    </row>
    <row r="86" spans="1:25" ht="24" hidden="1" customHeight="1">
      <c r="A86" s="11">
        <v>8</v>
      </c>
      <c r="B86" s="76" t="str">
        <f>[1]TongHop!$B$16</f>
        <v>Khác 2  (Trolley/Giá đỡ/Xe hàng...)</v>
      </c>
      <c r="C86" s="77"/>
      <c r="D86" s="77"/>
      <c r="E86" s="77"/>
      <c r="F86" s="77"/>
      <c r="G86" s="77"/>
      <c r="H86" s="77"/>
      <c r="I86" s="78"/>
      <c r="J86" s="51">
        <f>[1]TongHop!$D$16</f>
        <v>0</v>
      </c>
      <c r="K86" s="52">
        <f>SUBTOTAL(9,K87:K97)</f>
        <v>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24" hidden="1" customHeight="1">
      <c r="A87" s="15">
        <v>8.1</v>
      </c>
      <c r="B87" s="43" t="s">
        <v>83</v>
      </c>
      <c r="C87" s="44"/>
      <c r="D87" s="44"/>
      <c r="E87" s="45"/>
      <c r="F87" s="44"/>
      <c r="G87" s="44"/>
      <c r="H87" s="44"/>
      <c r="I87" s="46"/>
      <c r="J87" s="31"/>
      <c r="K87" s="16">
        <f>SUBTOTAL(9,K88:K91)</f>
        <v>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25.15" hidden="1" customHeight="1">
      <c r="A88" s="18" t="s">
        <v>147</v>
      </c>
      <c r="B88" s="32"/>
      <c r="C88" s="40"/>
      <c r="D88" s="41"/>
      <c r="E88" s="42"/>
      <c r="F88" s="22"/>
      <c r="G88" s="23">
        <v>0</v>
      </c>
      <c r="H88" s="24">
        <f>G88*$J$86</f>
        <v>0</v>
      </c>
      <c r="I88" s="25" t="s">
        <v>38</v>
      </c>
      <c r="J88" s="29">
        <v>0</v>
      </c>
      <c r="K88" s="30">
        <f>J88*H88</f>
        <v>0</v>
      </c>
      <c r="L88" s="27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54"/>
      <c r="X88" s="54"/>
      <c r="Y88" s="54"/>
    </row>
    <row r="89" spans="1:25" ht="25.15" hidden="1" customHeight="1">
      <c r="A89" s="18" t="s">
        <v>148</v>
      </c>
      <c r="B89" s="32"/>
      <c r="C89" s="40"/>
      <c r="D89" s="57"/>
      <c r="E89" s="42"/>
      <c r="F89" s="22"/>
      <c r="G89" s="23">
        <v>0</v>
      </c>
      <c r="H89" s="24">
        <f t="shared" ref="H89:H91" si="17">G89*$J$86</f>
        <v>0</v>
      </c>
      <c r="I89" s="25" t="s">
        <v>38</v>
      </c>
      <c r="J89" s="29">
        <v>0</v>
      </c>
      <c r="K89" s="30">
        <f t="shared" ref="K89:K91" si="18">J89*H89</f>
        <v>0</v>
      </c>
      <c r="L89" s="27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4"/>
      <c r="X89" s="54"/>
      <c r="Y89" s="54"/>
    </row>
    <row r="90" spans="1:25" ht="24" hidden="1" customHeight="1">
      <c r="A90" s="18" t="s">
        <v>149</v>
      </c>
      <c r="B90" s="32"/>
      <c r="C90" s="40"/>
      <c r="D90" s="41"/>
      <c r="E90" s="42"/>
      <c r="F90" s="22"/>
      <c r="G90" s="23">
        <v>0</v>
      </c>
      <c r="H90" s="24">
        <f t="shared" si="17"/>
        <v>0</v>
      </c>
      <c r="I90" s="25" t="s">
        <v>38</v>
      </c>
      <c r="J90" s="29">
        <v>0</v>
      </c>
      <c r="K90" s="30">
        <f t="shared" si="18"/>
        <v>0</v>
      </c>
      <c r="L90" s="27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4"/>
      <c r="X90" s="54"/>
      <c r="Y90" s="54"/>
    </row>
    <row r="91" spans="1:25" ht="24" hidden="1" customHeight="1">
      <c r="A91" s="18" t="s">
        <v>150</v>
      </c>
      <c r="B91" s="32"/>
      <c r="C91" s="40"/>
      <c r="D91" s="41"/>
      <c r="E91" s="42"/>
      <c r="F91" s="22"/>
      <c r="G91" s="23">
        <v>0</v>
      </c>
      <c r="H91" s="24">
        <f t="shared" si="17"/>
        <v>0</v>
      </c>
      <c r="I91" s="25" t="s">
        <v>38</v>
      </c>
      <c r="J91" s="29">
        <v>0</v>
      </c>
      <c r="K91" s="30">
        <f t="shared" si="18"/>
        <v>0</v>
      </c>
      <c r="L91" s="27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4"/>
      <c r="X91" s="54"/>
      <c r="Y91" s="54"/>
    </row>
    <row r="92" spans="1:25" ht="22.9" hidden="1" customHeight="1">
      <c r="A92" s="15">
        <v>8.1999999999999993</v>
      </c>
      <c r="B92" s="43" t="s">
        <v>119</v>
      </c>
      <c r="C92" s="44"/>
      <c r="D92" s="44"/>
      <c r="E92" s="45"/>
      <c r="F92" s="44"/>
      <c r="G92" s="44"/>
      <c r="H92" s="44"/>
      <c r="I92" s="46"/>
      <c r="J92" s="31"/>
      <c r="K92" s="16">
        <f>SUBTOTAL(9,K93:K97)</f>
        <v>0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25.15" hidden="1" customHeight="1">
      <c r="A93" s="18" t="s">
        <v>151</v>
      </c>
      <c r="B93" s="32"/>
      <c r="C93" s="40"/>
      <c r="D93" s="41"/>
      <c r="E93" s="42"/>
      <c r="F93" s="22"/>
      <c r="G93" s="23">
        <v>0</v>
      </c>
      <c r="H93" s="24">
        <f>G93*$J$86</f>
        <v>0</v>
      </c>
      <c r="I93" s="25" t="s">
        <v>34</v>
      </c>
      <c r="J93" s="29">
        <v>0</v>
      </c>
      <c r="K93" s="50">
        <f t="shared" ref="K93:K97" si="19">J93*H93</f>
        <v>0</v>
      </c>
      <c r="L93" s="27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4"/>
      <c r="X93" s="54"/>
      <c r="Y93" s="54"/>
    </row>
    <row r="94" spans="1:25" ht="25.15" hidden="1" customHeight="1">
      <c r="A94" s="18" t="s">
        <v>152</v>
      </c>
      <c r="B94" s="32"/>
      <c r="C94" s="40"/>
      <c r="D94" s="41"/>
      <c r="E94" s="42"/>
      <c r="F94" s="22"/>
      <c r="G94" s="23">
        <v>0</v>
      </c>
      <c r="H94" s="24">
        <f t="shared" ref="H94:H97" si="20">G94*$J$86</f>
        <v>0</v>
      </c>
      <c r="I94" s="25" t="s">
        <v>38</v>
      </c>
      <c r="J94" s="29">
        <v>0</v>
      </c>
      <c r="K94" s="30">
        <f t="shared" si="19"/>
        <v>0</v>
      </c>
      <c r="L94" s="27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4"/>
      <c r="X94" s="54"/>
      <c r="Y94" s="54"/>
    </row>
    <row r="95" spans="1:25" ht="25.15" hidden="1" customHeight="1">
      <c r="A95" s="18" t="s">
        <v>153</v>
      </c>
      <c r="B95" s="32"/>
      <c r="C95" s="40"/>
      <c r="D95" s="41"/>
      <c r="E95" s="42"/>
      <c r="F95" s="22"/>
      <c r="G95" s="23">
        <v>0</v>
      </c>
      <c r="H95" s="24">
        <f t="shared" si="20"/>
        <v>0</v>
      </c>
      <c r="I95" s="25" t="s">
        <v>38</v>
      </c>
      <c r="J95" s="29">
        <v>0</v>
      </c>
      <c r="K95" s="30">
        <f t="shared" si="19"/>
        <v>0</v>
      </c>
      <c r="L95" s="27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25.15" hidden="1" customHeight="1">
      <c r="A96" s="18" t="s">
        <v>154</v>
      </c>
      <c r="B96" s="37"/>
      <c r="C96" s="38"/>
      <c r="D96" s="39"/>
      <c r="E96" s="35"/>
      <c r="F96" s="22"/>
      <c r="G96" s="23">
        <v>0</v>
      </c>
      <c r="H96" s="24">
        <f t="shared" si="20"/>
        <v>0</v>
      </c>
      <c r="I96" s="25" t="s">
        <v>38</v>
      </c>
      <c r="J96" s="29">
        <v>0</v>
      </c>
      <c r="K96" s="30">
        <f t="shared" si="19"/>
        <v>0</v>
      </c>
      <c r="L96" s="27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25.15" hidden="1" customHeight="1">
      <c r="A97" s="18" t="s">
        <v>155</v>
      </c>
      <c r="B97" s="37"/>
      <c r="C97" s="38"/>
      <c r="D97" s="39"/>
      <c r="E97" s="35"/>
      <c r="F97" s="22"/>
      <c r="G97" s="23">
        <v>0</v>
      </c>
      <c r="H97" s="24">
        <f t="shared" si="20"/>
        <v>0</v>
      </c>
      <c r="I97" s="25" t="s">
        <v>38</v>
      </c>
      <c r="J97" s="29">
        <v>0</v>
      </c>
      <c r="K97" s="30">
        <f t="shared" si="19"/>
        <v>0</v>
      </c>
      <c r="L97" s="27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22.9" hidden="1" customHeight="1">
      <c r="A98" s="11">
        <v>9</v>
      </c>
      <c r="B98" s="76" t="str">
        <f>[1]TongHop!$B$17</f>
        <v>Khác 3  (Trolley/Giá đỡ/Xe hàng...)</v>
      </c>
      <c r="C98" s="77"/>
      <c r="D98" s="77"/>
      <c r="E98" s="77"/>
      <c r="F98" s="77"/>
      <c r="G98" s="77"/>
      <c r="H98" s="77"/>
      <c r="I98" s="78"/>
      <c r="J98" s="51">
        <f>[1]TongHop!$D$17</f>
        <v>0</v>
      </c>
      <c r="K98" s="52">
        <f>SUBTOTAL(9,K99:K108)</f>
        <v>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22.9" hidden="1" customHeight="1">
      <c r="A99" s="15">
        <v>9.1</v>
      </c>
      <c r="B99" s="43" t="s">
        <v>83</v>
      </c>
      <c r="C99" s="44"/>
      <c r="D99" s="44"/>
      <c r="E99" s="45"/>
      <c r="F99" s="44"/>
      <c r="G99" s="44"/>
      <c r="H99" s="44"/>
      <c r="I99" s="46"/>
      <c r="J99" s="31"/>
      <c r="K99" s="16">
        <f>SUBTOTAL(9,K100:K103)</f>
        <v>0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25.15" hidden="1" customHeight="1">
      <c r="A100" s="18" t="s">
        <v>156</v>
      </c>
      <c r="B100" s="32"/>
      <c r="C100" s="40"/>
      <c r="D100" s="41"/>
      <c r="E100" s="42"/>
      <c r="F100" s="22"/>
      <c r="G100" s="23">
        <v>0</v>
      </c>
      <c r="H100" s="24">
        <f>G100*$J$98</f>
        <v>0</v>
      </c>
      <c r="I100" s="25" t="s">
        <v>38</v>
      </c>
      <c r="J100" s="29">
        <v>0</v>
      </c>
      <c r="K100" s="30">
        <f>J100*H100</f>
        <v>0</v>
      </c>
      <c r="L100" s="27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54"/>
      <c r="X100" s="54"/>
      <c r="Y100" s="54"/>
    </row>
    <row r="101" spans="1:25" ht="25.15" hidden="1" customHeight="1">
      <c r="A101" s="18" t="s">
        <v>157</v>
      </c>
      <c r="B101" s="32"/>
      <c r="C101" s="40"/>
      <c r="D101" s="57"/>
      <c r="E101" s="42"/>
      <c r="F101" s="22"/>
      <c r="G101" s="23">
        <v>0</v>
      </c>
      <c r="H101" s="24">
        <f t="shared" ref="H101:H103" si="21">G101*$J$98</f>
        <v>0</v>
      </c>
      <c r="I101" s="25" t="s">
        <v>38</v>
      </c>
      <c r="J101" s="29">
        <v>0</v>
      </c>
      <c r="K101" s="30">
        <f t="shared" ref="K101:K103" si="22">J101*H101</f>
        <v>0</v>
      </c>
      <c r="L101" s="27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54"/>
      <c r="X101" s="54"/>
      <c r="Y101" s="54"/>
    </row>
    <row r="102" spans="1:25" ht="25.15" hidden="1" customHeight="1">
      <c r="A102" s="18" t="s">
        <v>158</v>
      </c>
      <c r="B102" s="32"/>
      <c r="C102" s="40"/>
      <c r="D102" s="41"/>
      <c r="E102" s="42"/>
      <c r="F102" s="22"/>
      <c r="G102" s="23">
        <v>0</v>
      </c>
      <c r="H102" s="24">
        <f t="shared" si="21"/>
        <v>0</v>
      </c>
      <c r="I102" s="25" t="s">
        <v>38</v>
      </c>
      <c r="J102" s="29">
        <v>0</v>
      </c>
      <c r="K102" s="30">
        <f t="shared" si="22"/>
        <v>0</v>
      </c>
      <c r="L102" s="27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54"/>
      <c r="X102" s="54"/>
      <c r="Y102" s="54"/>
    </row>
    <row r="103" spans="1:25" ht="25.15" hidden="1" customHeight="1">
      <c r="A103" s="18" t="s">
        <v>159</v>
      </c>
      <c r="B103" s="32"/>
      <c r="C103" s="40"/>
      <c r="D103" s="41"/>
      <c r="E103" s="42"/>
      <c r="F103" s="22"/>
      <c r="G103" s="23">
        <v>0</v>
      </c>
      <c r="H103" s="24">
        <f t="shared" si="21"/>
        <v>0</v>
      </c>
      <c r="I103" s="25" t="s">
        <v>38</v>
      </c>
      <c r="J103" s="29">
        <v>0</v>
      </c>
      <c r="K103" s="30">
        <f t="shared" si="22"/>
        <v>0</v>
      </c>
      <c r="L103" s="27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54"/>
      <c r="X103" s="54"/>
      <c r="Y103" s="54"/>
    </row>
    <row r="104" spans="1:25" ht="22.9" hidden="1" customHeight="1">
      <c r="A104" s="15">
        <v>9.1999999999999993</v>
      </c>
      <c r="B104" s="43" t="s">
        <v>119</v>
      </c>
      <c r="C104" s="44"/>
      <c r="D104" s="44"/>
      <c r="E104" s="45"/>
      <c r="F104" s="44"/>
      <c r="G104" s="44"/>
      <c r="H104" s="44"/>
      <c r="I104" s="46"/>
      <c r="J104" s="31"/>
      <c r="K104" s="16">
        <f>SUBTOTAL(9,K105:K108)</f>
        <v>0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25.15" hidden="1" customHeight="1">
      <c r="A105" s="18" t="s">
        <v>160</v>
      </c>
      <c r="B105" s="32"/>
      <c r="C105" s="40"/>
      <c r="D105" s="41"/>
      <c r="E105" s="42"/>
      <c r="F105" s="22"/>
      <c r="G105" s="23">
        <v>0</v>
      </c>
      <c r="H105" s="24">
        <f>G105*$J$98</f>
        <v>0</v>
      </c>
      <c r="I105" s="25" t="s">
        <v>38</v>
      </c>
      <c r="J105" s="29">
        <v>0</v>
      </c>
      <c r="K105" s="30">
        <f t="shared" ref="K105:K108" si="23">J105*H105</f>
        <v>0</v>
      </c>
      <c r="L105" s="27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54"/>
      <c r="X105" s="54"/>
      <c r="Y105" s="54"/>
    </row>
    <row r="106" spans="1:25" ht="25.15" hidden="1" customHeight="1">
      <c r="A106" s="18" t="s">
        <v>161</v>
      </c>
      <c r="B106" s="32"/>
      <c r="C106" s="40"/>
      <c r="D106" s="41"/>
      <c r="E106" s="42"/>
      <c r="F106" s="22"/>
      <c r="G106" s="23">
        <v>0</v>
      </c>
      <c r="H106" s="24">
        <f t="shared" ref="H106:H108" si="24">G106*$J$98</f>
        <v>0</v>
      </c>
      <c r="I106" s="25" t="s">
        <v>38</v>
      </c>
      <c r="J106" s="29">
        <v>0</v>
      </c>
      <c r="K106" s="30">
        <f t="shared" si="23"/>
        <v>0</v>
      </c>
      <c r="L106" s="27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54"/>
      <c r="X106" s="54"/>
      <c r="Y106" s="54"/>
    </row>
    <row r="107" spans="1:25" ht="25.15" hidden="1" customHeight="1">
      <c r="A107" s="18" t="s">
        <v>162</v>
      </c>
      <c r="B107" s="32"/>
      <c r="C107" s="40"/>
      <c r="D107" s="41"/>
      <c r="E107" s="42"/>
      <c r="F107" s="22"/>
      <c r="G107" s="23">
        <v>0</v>
      </c>
      <c r="H107" s="24">
        <f t="shared" si="24"/>
        <v>0</v>
      </c>
      <c r="I107" s="25" t="s">
        <v>38</v>
      </c>
      <c r="J107" s="29">
        <v>0</v>
      </c>
      <c r="K107" s="30">
        <f t="shared" si="23"/>
        <v>0</v>
      </c>
      <c r="L107" s="27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5.15" hidden="1" customHeight="1">
      <c r="A108" s="18" t="s">
        <v>163</v>
      </c>
      <c r="B108" s="37"/>
      <c r="C108" s="38"/>
      <c r="D108" s="39"/>
      <c r="E108" s="35"/>
      <c r="F108" s="22"/>
      <c r="G108" s="23">
        <v>0</v>
      </c>
      <c r="H108" s="24">
        <f t="shared" si="24"/>
        <v>0</v>
      </c>
      <c r="I108" s="25" t="s">
        <v>38</v>
      </c>
      <c r="J108" s="29">
        <v>0</v>
      </c>
      <c r="K108" s="30">
        <f t="shared" si="23"/>
        <v>0</v>
      </c>
      <c r="L108" s="27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28.5" customHeight="1">
      <c r="A109" s="92" t="s">
        <v>164</v>
      </c>
      <c r="B109" s="92"/>
      <c r="C109" s="92"/>
      <c r="D109" s="92"/>
      <c r="E109" s="92"/>
      <c r="F109" s="92"/>
      <c r="G109" s="92"/>
      <c r="H109" s="92"/>
      <c r="I109" s="92"/>
      <c r="J109" s="58" t="s">
        <v>165</v>
      </c>
      <c r="K109" s="59">
        <f>SUBTOTAL(9,K8:K108)</f>
        <v>234358618</v>
      </c>
      <c r="L109" s="27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</sheetData>
  <autoFilter ref="A7:M109" xr:uid="{00000000-0009-0000-0000-000000000000}"/>
  <mergeCells count="27">
    <mergeCell ref="B98:I98"/>
    <mergeCell ref="A109:I109"/>
    <mergeCell ref="B59:I59"/>
    <mergeCell ref="B62:I62"/>
    <mergeCell ref="B65:I65"/>
    <mergeCell ref="B68:I68"/>
    <mergeCell ref="B71:I71"/>
    <mergeCell ref="B86:I86"/>
    <mergeCell ref="B41:I41"/>
    <mergeCell ref="A4:B4"/>
    <mergeCell ref="C4:E4"/>
    <mergeCell ref="F4:I4"/>
    <mergeCell ref="A5:B5"/>
    <mergeCell ref="C5:E5"/>
    <mergeCell ref="F5:I5"/>
    <mergeCell ref="C6:E6"/>
    <mergeCell ref="F6:I6"/>
    <mergeCell ref="B8:I8"/>
    <mergeCell ref="B9:J9"/>
    <mergeCell ref="B15:I15"/>
    <mergeCell ref="A1:B3"/>
    <mergeCell ref="C1:F1"/>
    <mergeCell ref="G1:I1"/>
    <mergeCell ref="D2:E2"/>
    <mergeCell ref="G2:G3"/>
    <mergeCell ref="H2:I3"/>
    <mergeCell ref="D3:E3"/>
  </mergeCells>
  <dataValidations count="2">
    <dataValidation type="whole" allowBlank="1" showInputMessage="1" showErrorMessage="1" errorTitle="Nhập sai" error="Chỉ nhập chữ số 0~100000" sqref="G43:G55 G88:G91 G60:G61 G63:G64 G69:G70 G81:G85 G105:G108 G93:G97 G100:G103 G66:G67 G35:G40 G10:G14 G57:G58 G16:G19 G21:G28 G30:G33 G73:G79" xr:uid="{F882F2ED-19E8-4728-8245-5DA9B56A7317}">
      <formula1>0</formula1>
      <formula2>100000</formula2>
    </dataValidation>
    <dataValidation type="list" allowBlank="1" showInputMessage="1" showErrorMessage="1" sqref="I100:I103 I10:I14 I60:I61 I63:I64 I35:I40 I73:I79 I105:I108 I93:I97 I88:I91 I66:I67 I69:I70 I43:I55 I57:I58 I16:I19 I21:I28 I30:I33 I81:I85" xr:uid="{521138EB-157C-4C6A-B99B-03091C0F3487}">
      <formula1>"set,pcs,key,m,pack,công,box"</formula1>
    </dataValidation>
  </dataValidations>
  <printOptions horizontalCentered="1" verticalCentered="1"/>
  <pageMargins left="0" right="0" top="0" bottom="0" header="0" footer="0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2F02-AB06-415F-AEFD-E61D9715926B}">
  <dimension ref="A4:G160"/>
  <sheetViews>
    <sheetView workbookViewId="0">
      <selection sqref="A1:XFD1048576"/>
    </sheetView>
  </sheetViews>
  <sheetFormatPr defaultColWidth="8" defaultRowHeight="15.75"/>
  <cols>
    <col min="1" max="1" width="9" style="69" bestFit="1" customWidth="1"/>
    <col min="2" max="2" width="39.25" style="2" bestFit="1" customWidth="1"/>
    <col min="3" max="3" width="9.375" style="2" bestFit="1" customWidth="1"/>
    <col min="4" max="4" width="7.25" style="2" bestFit="1" customWidth="1"/>
    <col min="5" max="5" width="13.75" style="2" bestFit="1" customWidth="1"/>
    <col min="6" max="6" width="25.125" style="1" customWidth="1"/>
    <col min="7" max="7" width="21.625" style="1" customWidth="1"/>
    <col min="8" max="16384" width="8" style="2"/>
  </cols>
  <sheetData>
    <row r="4" spans="1:7" ht="31.5">
      <c r="A4" s="8" t="s">
        <v>9</v>
      </c>
      <c r="B4" s="8" t="s">
        <v>168</v>
      </c>
      <c r="C4" s="8" t="s">
        <v>169</v>
      </c>
      <c r="D4" s="8" t="s">
        <v>170</v>
      </c>
      <c r="E4" s="8" t="s">
        <v>171</v>
      </c>
      <c r="F4" s="9" t="s">
        <v>172</v>
      </c>
      <c r="G4" s="9" t="s">
        <v>19</v>
      </c>
    </row>
    <row r="5" spans="1:7">
      <c r="A5" s="11">
        <v>1</v>
      </c>
      <c r="B5" s="93" t="s">
        <v>173</v>
      </c>
      <c r="C5" s="94"/>
      <c r="D5" s="94"/>
      <c r="E5" s="94"/>
      <c r="F5" s="62"/>
      <c r="G5" s="52">
        <f>SUBTOTAL(9,G6:G31)</f>
        <v>5000000</v>
      </c>
    </row>
    <row r="6" spans="1:7">
      <c r="A6" s="15">
        <v>1.1000000000000001</v>
      </c>
      <c r="B6" s="89" t="s">
        <v>174</v>
      </c>
      <c r="C6" s="90"/>
      <c r="D6" s="90"/>
      <c r="E6" s="91"/>
      <c r="F6" s="31"/>
      <c r="G6" s="16">
        <f>SUBTOTAL(9,G7:G10)</f>
        <v>5000000</v>
      </c>
    </row>
    <row r="7" spans="1:7">
      <c r="A7" s="63" t="s">
        <v>33</v>
      </c>
      <c r="B7" s="64" t="s">
        <v>175</v>
      </c>
      <c r="C7" s="23">
        <v>1</v>
      </c>
      <c r="D7" s="65">
        <v>2</v>
      </c>
      <c r="E7" s="66">
        <f>D7*C7</f>
        <v>2</v>
      </c>
      <c r="F7" s="29">
        <v>500000</v>
      </c>
      <c r="G7" s="30">
        <f>F7*E7</f>
        <v>1000000</v>
      </c>
    </row>
    <row r="8" spans="1:7">
      <c r="A8" s="63" t="s">
        <v>35</v>
      </c>
      <c r="B8" s="64" t="s">
        <v>176</v>
      </c>
      <c r="C8" s="23">
        <v>1</v>
      </c>
      <c r="D8" s="65">
        <v>2</v>
      </c>
      <c r="E8" s="66">
        <f t="shared" ref="E8:E10" si="0">D8*C8</f>
        <v>2</v>
      </c>
      <c r="F8" s="29">
        <v>500000</v>
      </c>
      <c r="G8" s="30">
        <f t="shared" ref="G8:G10" si="1">F8*E8</f>
        <v>1000000</v>
      </c>
    </row>
    <row r="9" spans="1:7">
      <c r="A9" s="63" t="s">
        <v>36</v>
      </c>
      <c r="B9" s="64" t="s">
        <v>177</v>
      </c>
      <c r="C9" s="23">
        <v>1</v>
      </c>
      <c r="D9" s="65">
        <v>2</v>
      </c>
      <c r="E9" s="66">
        <f t="shared" si="0"/>
        <v>2</v>
      </c>
      <c r="F9" s="29">
        <v>500000</v>
      </c>
      <c r="G9" s="30">
        <f t="shared" si="1"/>
        <v>1000000</v>
      </c>
    </row>
    <row r="10" spans="1:7">
      <c r="A10" s="63" t="s">
        <v>37</v>
      </c>
      <c r="B10" s="64" t="s">
        <v>178</v>
      </c>
      <c r="C10" s="23">
        <v>1</v>
      </c>
      <c r="D10" s="65">
        <v>2</v>
      </c>
      <c r="E10" s="66">
        <f t="shared" si="0"/>
        <v>2</v>
      </c>
      <c r="F10" s="29">
        <v>1000000</v>
      </c>
      <c r="G10" s="30">
        <f t="shared" si="1"/>
        <v>2000000</v>
      </c>
    </row>
    <row r="11" spans="1:7">
      <c r="A11" s="15">
        <v>1.2</v>
      </c>
      <c r="B11" s="89" t="s">
        <v>179</v>
      </c>
      <c r="C11" s="90"/>
      <c r="D11" s="90"/>
      <c r="E11" s="91"/>
      <c r="F11" s="31"/>
      <c r="G11" s="16">
        <f>SUBTOTAL(9,G12:G31)</f>
        <v>0</v>
      </c>
    </row>
    <row r="12" spans="1:7">
      <c r="A12" s="63" t="s">
        <v>180</v>
      </c>
      <c r="B12" s="64" t="s">
        <v>181</v>
      </c>
      <c r="C12" s="23"/>
      <c r="D12" s="65"/>
      <c r="E12" s="66">
        <f>D12*C12</f>
        <v>0</v>
      </c>
      <c r="F12" s="67">
        <v>500000</v>
      </c>
      <c r="G12" s="30">
        <f>F12*E12</f>
        <v>0</v>
      </c>
    </row>
    <row r="13" spans="1:7">
      <c r="A13" s="63" t="s">
        <v>182</v>
      </c>
      <c r="B13" s="64" t="s">
        <v>183</v>
      </c>
      <c r="C13" s="23"/>
      <c r="D13" s="65"/>
      <c r="E13" s="66">
        <f>D13*C13</f>
        <v>0</v>
      </c>
      <c r="F13" s="67">
        <v>500000</v>
      </c>
      <c r="G13" s="30">
        <f t="shared" ref="G13:G31" si="2">F13*E13</f>
        <v>0</v>
      </c>
    </row>
    <row r="14" spans="1:7">
      <c r="A14" s="63" t="s">
        <v>184</v>
      </c>
      <c r="B14" s="64" t="s">
        <v>185</v>
      </c>
      <c r="C14" s="23"/>
      <c r="D14" s="65"/>
      <c r="E14" s="66">
        <f t="shared" ref="E14:E31" si="3">D14*C14</f>
        <v>0</v>
      </c>
      <c r="F14" s="67">
        <v>500000</v>
      </c>
      <c r="G14" s="30">
        <f t="shared" si="2"/>
        <v>0</v>
      </c>
    </row>
    <row r="15" spans="1:7">
      <c r="A15" s="63" t="s">
        <v>186</v>
      </c>
      <c r="B15" s="64" t="s">
        <v>187</v>
      </c>
      <c r="C15" s="23"/>
      <c r="D15" s="65"/>
      <c r="E15" s="66">
        <f t="shared" si="3"/>
        <v>0</v>
      </c>
      <c r="F15" s="67">
        <v>500000</v>
      </c>
      <c r="G15" s="30">
        <f t="shared" si="2"/>
        <v>0</v>
      </c>
    </row>
    <row r="16" spans="1:7">
      <c r="A16" s="63" t="s">
        <v>188</v>
      </c>
      <c r="B16" s="64" t="s">
        <v>189</v>
      </c>
      <c r="C16" s="23"/>
      <c r="D16" s="65"/>
      <c r="E16" s="66">
        <f t="shared" si="3"/>
        <v>0</v>
      </c>
      <c r="F16" s="67">
        <v>500000</v>
      </c>
      <c r="G16" s="30">
        <f t="shared" si="2"/>
        <v>0</v>
      </c>
    </row>
    <row r="17" spans="1:7">
      <c r="A17" s="63" t="s">
        <v>190</v>
      </c>
      <c r="B17" s="64" t="s">
        <v>191</v>
      </c>
      <c r="C17" s="23"/>
      <c r="D17" s="65"/>
      <c r="E17" s="66">
        <f t="shared" si="3"/>
        <v>0</v>
      </c>
      <c r="F17" s="67">
        <v>500000</v>
      </c>
      <c r="G17" s="30">
        <f t="shared" si="2"/>
        <v>0</v>
      </c>
    </row>
    <row r="18" spans="1:7">
      <c r="A18" s="63" t="s">
        <v>192</v>
      </c>
      <c r="B18" s="64" t="s">
        <v>193</v>
      </c>
      <c r="C18" s="23"/>
      <c r="D18" s="65"/>
      <c r="E18" s="66">
        <f t="shared" si="3"/>
        <v>0</v>
      </c>
      <c r="F18" s="67">
        <v>500000</v>
      </c>
      <c r="G18" s="30">
        <f t="shared" si="2"/>
        <v>0</v>
      </c>
    </row>
    <row r="19" spans="1:7">
      <c r="A19" s="63" t="s">
        <v>194</v>
      </c>
      <c r="B19" s="64" t="s">
        <v>195</v>
      </c>
      <c r="C19" s="23"/>
      <c r="D19" s="65"/>
      <c r="E19" s="66">
        <f t="shared" si="3"/>
        <v>0</v>
      </c>
      <c r="F19" s="67">
        <v>500000</v>
      </c>
      <c r="G19" s="30">
        <f t="shared" si="2"/>
        <v>0</v>
      </c>
    </row>
    <row r="20" spans="1:7">
      <c r="A20" s="63" t="s">
        <v>196</v>
      </c>
      <c r="B20" s="64" t="s">
        <v>197</v>
      </c>
      <c r="C20" s="23"/>
      <c r="D20" s="65"/>
      <c r="E20" s="66">
        <f t="shared" si="3"/>
        <v>0</v>
      </c>
      <c r="F20" s="67">
        <v>500000</v>
      </c>
      <c r="G20" s="30">
        <f t="shared" si="2"/>
        <v>0</v>
      </c>
    </row>
    <row r="21" spans="1:7">
      <c r="A21" s="63" t="s">
        <v>198</v>
      </c>
      <c r="B21" s="64" t="s">
        <v>199</v>
      </c>
      <c r="C21" s="23"/>
      <c r="D21" s="65"/>
      <c r="E21" s="66">
        <f t="shared" si="3"/>
        <v>0</v>
      </c>
      <c r="F21" s="67">
        <v>500000</v>
      </c>
      <c r="G21" s="30">
        <f t="shared" si="2"/>
        <v>0</v>
      </c>
    </row>
    <row r="22" spans="1:7">
      <c r="A22" s="63" t="s">
        <v>200</v>
      </c>
      <c r="B22" s="64" t="s">
        <v>201</v>
      </c>
      <c r="C22" s="23"/>
      <c r="D22" s="65"/>
      <c r="E22" s="66">
        <f t="shared" si="3"/>
        <v>0</v>
      </c>
      <c r="F22" s="67">
        <v>500000</v>
      </c>
      <c r="G22" s="30">
        <f t="shared" si="2"/>
        <v>0</v>
      </c>
    </row>
    <row r="23" spans="1:7">
      <c r="A23" s="63" t="s">
        <v>202</v>
      </c>
      <c r="B23" s="64" t="s">
        <v>203</v>
      </c>
      <c r="C23" s="23"/>
      <c r="D23" s="65"/>
      <c r="E23" s="66">
        <f>D23*C23*[2]TongHop!D8</f>
        <v>0</v>
      </c>
      <c r="F23" s="67">
        <v>500000</v>
      </c>
      <c r="G23" s="30">
        <f>F23*E23</f>
        <v>0</v>
      </c>
    </row>
    <row r="24" spans="1:7">
      <c r="A24" s="63" t="s">
        <v>204</v>
      </c>
      <c r="B24" s="64" t="s">
        <v>205</v>
      </c>
      <c r="C24" s="23"/>
      <c r="D24" s="65"/>
      <c r="E24" s="66">
        <f>D24*C24*[2]TongHop!D8</f>
        <v>0</v>
      </c>
      <c r="F24" s="67">
        <v>500000</v>
      </c>
      <c r="G24" s="30">
        <f>F24*E24</f>
        <v>0</v>
      </c>
    </row>
    <row r="25" spans="1:7">
      <c r="A25" s="63" t="s">
        <v>206</v>
      </c>
      <c r="B25" s="64" t="s">
        <v>207</v>
      </c>
      <c r="C25" s="23"/>
      <c r="D25" s="65"/>
      <c r="E25" s="66">
        <f t="shared" si="3"/>
        <v>0</v>
      </c>
      <c r="F25" s="67">
        <v>500000</v>
      </c>
      <c r="G25" s="30">
        <f t="shared" si="2"/>
        <v>0</v>
      </c>
    </row>
    <row r="26" spans="1:7">
      <c r="A26" s="63" t="s">
        <v>208</v>
      </c>
      <c r="B26" s="64" t="s">
        <v>209</v>
      </c>
      <c r="C26" s="23"/>
      <c r="D26" s="65"/>
      <c r="E26" s="66">
        <f t="shared" si="3"/>
        <v>0</v>
      </c>
      <c r="F26" s="67">
        <v>500000</v>
      </c>
      <c r="G26" s="30">
        <f t="shared" si="2"/>
        <v>0</v>
      </c>
    </row>
    <row r="27" spans="1:7">
      <c r="A27" s="63" t="s">
        <v>210</v>
      </c>
      <c r="B27" s="64" t="s">
        <v>211</v>
      </c>
      <c r="C27" s="23"/>
      <c r="D27" s="65"/>
      <c r="E27" s="66">
        <f t="shared" si="3"/>
        <v>0</v>
      </c>
      <c r="F27" s="67">
        <v>500000</v>
      </c>
      <c r="G27" s="30">
        <f t="shared" si="2"/>
        <v>0</v>
      </c>
    </row>
    <row r="28" spans="1:7">
      <c r="A28" s="63" t="s">
        <v>212</v>
      </c>
      <c r="B28" s="64" t="s">
        <v>213</v>
      </c>
      <c r="C28" s="23"/>
      <c r="D28" s="65"/>
      <c r="E28" s="66">
        <f t="shared" si="3"/>
        <v>0</v>
      </c>
      <c r="F28" s="67">
        <v>1000000</v>
      </c>
      <c r="G28" s="30">
        <f t="shared" si="2"/>
        <v>0</v>
      </c>
    </row>
    <row r="29" spans="1:7">
      <c r="A29" s="63" t="s">
        <v>214</v>
      </c>
      <c r="B29" s="64" t="s">
        <v>215</v>
      </c>
      <c r="C29" s="23"/>
      <c r="D29" s="65"/>
      <c r="E29" s="66">
        <f t="shared" si="3"/>
        <v>0</v>
      </c>
      <c r="F29" s="67">
        <v>500000</v>
      </c>
      <c r="G29" s="30">
        <f t="shared" si="2"/>
        <v>0</v>
      </c>
    </row>
    <row r="30" spans="1:7">
      <c r="A30" s="63" t="s">
        <v>216</v>
      </c>
      <c r="B30" s="64" t="s">
        <v>217</v>
      </c>
      <c r="C30" s="23"/>
      <c r="D30" s="65"/>
      <c r="E30" s="66">
        <f t="shared" si="3"/>
        <v>0</v>
      </c>
      <c r="F30" s="67">
        <v>1000000</v>
      </c>
      <c r="G30" s="30">
        <f t="shared" si="2"/>
        <v>0</v>
      </c>
    </row>
    <row r="31" spans="1:7">
      <c r="A31" s="63" t="s">
        <v>218</v>
      </c>
      <c r="B31" s="64" t="s">
        <v>219</v>
      </c>
      <c r="C31" s="23"/>
      <c r="D31" s="65"/>
      <c r="E31" s="66">
        <f t="shared" si="3"/>
        <v>0</v>
      </c>
      <c r="F31" s="67">
        <v>1000000</v>
      </c>
      <c r="G31" s="30">
        <f t="shared" si="2"/>
        <v>0</v>
      </c>
    </row>
    <row r="32" spans="1:7">
      <c r="A32" s="11">
        <v>2</v>
      </c>
      <c r="B32" s="93" t="s">
        <v>220</v>
      </c>
      <c r="C32" s="94"/>
      <c r="D32" s="94"/>
      <c r="E32" s="94"/>
      <c r="F32" s="62"/>
      <c r="G32" s="52">
        <f>SUBTOTAL(9,G33:G55)</f>
        <v>0</v>
      </c>
    </row>
    <row r="33" spans="1:7">
      <c r="A33" s="15">
        <v>2.1</v>
      </c>
      <c r="B33" s="89" t="s">
        <v>174</v>
      </c>
      <c r="C33" s="90"/>
      <c r="D33" s="90"/>
      <c r="E33" s="91"/>
      <c r="F33" s="31"/>
      <c r="G33" s="16">
        <f>SUBTOTAL(9,G34:G37)</f>
        <v>0</v>
      </c>
    </row>
    <row r="34" spans="1:7">
      <c r="A34" s="63" t="s">
        <v>84</v>
      </c>
      <c r="B34" s="64" t="s">
        <v>176</v>
      </c>
      <c r="C34" s="23"/>
      <c r="D34" s="65"/>
      <c r="E34" s="66">
        <f t="shared" ref="E34:E55" si="4">D34*C34</f>
        <v>0</v>
      </c>
      <c r="F34" s="67">
        <v>500000</v>
      </c>
      <c r="G34" s="30">
        <f>F34*E34</f>
        <v>0</v>
      </c>
    </row>
    <row r="35" spans="1:7">
      <c r="A35" s="63" t="s">
        <v>86</v>
      </c>
      <c r="B35" s="64" t="s">
        <v>177</v>
      </c>
      <c r="C35" s="23"/>
      <c r="D35" s="65"/>
      <c r="E35" s="66">
        <f t="shared" si="4"/>
        <v>0</v>
      </c>
      <c r="F35" s="67">
        <v>500000</v>
      </c>
      <c r="G35" s="30">
        <f t="shared" ref="G35:G37" si="5">F35*E35</f>
        <v>0</v>
      </c>
    </row>
    <row r="36" spans="1:7">
      <c r="A36" s="63" t="s">
        <v>89</v>
      </c>
      <c r="B36" s="64" t="s">
        <v>221</v>
      </c>
      <c r="C36" s="23"/>
      <c r="D36" s="65"/>
      <c r="E36" s="66">
        <f t="shared" si="4"/>
        <v>0</v>
      </c>
      <c r="F36" s="67">
        <v>500000</v>
      </c>
      <c r="G36" s="30">
        <f t="shared" si="5"/>
        <v>0</v>
      </c>
    </row>
    <row r="37" spans="1:7">
      <c r="A37" s="63" t="s">
        <v>91</v>
      </c>
      <c r="B37" s="64" t="s">
        <v>178</v>
      </c>
      <c r="C37" s="23"/>
      <c r="D37" s="65"/>
      <c r="E37" s="66">
        <f t="shared" si="4"/>
        <v>0</v>
      </c>
      <c r="F37" s="67">
        <v>1000000</v>
      </c>
      <c r="G37" s="30">
        <f t="shared" si="5"/>
        <v>0</v>
      </c>
    </row>
    <row r="38" spans="1:7">
      <c r="A38" s="15">
        <v>2.2000000000000002</v>
      </c>
      <c r="B38" s="89" t="s">
        <v>179</v>
      </c>
      <c r="C38" s="90"/>
      <c r="D38" s="90"/>
      <c r="E38" s="91"/>
      <c r="F38" s="31"/>
      <c r="G38" s="16">
        <f>SUBTOTAL(9,G39:G55)</f>
        <v>0</v>
      </c>
    </row>
    <row r="39" spans="1:7">
      <c r="A39" s="63" t="s">
        <v>120</v>
      </c>
      <c r="B39" s="64" t="s">
        <v>181</v>
      </c>
      <c r="C39" s="23"/>
      <c r="D39" s="65"/>
      <c r="E39" s="66">
        <f t="shared" si="4"/>
        <v>0</v>
      </c>
      <c r="F39" s="67">
        <v>500000</v>
      </c>
      <c r="G39" s="30">
        <f>F39*E39</f>
        <v>0</v>
      </c>
    </row>
    <row r="40" spans="1:7">
      <c r="A40" s="63" t="s">
        <v>122</v>
      </c>
      <c r="B40" s="64" t="s">
        <v>183</v>
      </c>
      <c r="C40" s="23"/>
      <c r="D40" s="65"/>
      <c r="E40" s="66">
        <f t="shared" si="4"/>
        <v>0</v>
      </c>
      <c r="F40" s="67">
        <v>500000</v>
      </c>
      <c r="G40" s="30">
        <f t="shared" ref="G40:G55" si="6">F40*E40</f>
        <v>0</v>
      </c>
    </row>
    <row r="41" spans="1:7">
      <c r="A41" s="63" t="s">
        <v>222</v>
      </c>
      <c r="B41" s="64" t="s">
        <v>185</v>
      </c>
      <c r="C41" s="23"/>
      <c r="D41" s="65"/>
      <c r="E41" s="66">
        <f t="shared" si="4"/>
        <v>0</v>
      </c>
      <c r="F41" s="67">
        <v>500000</v>
      </c>
      <c r="G41" s="30">
        <f t="shared" si="6"/>
        <v>0</v>
      </c>
    </row>
    <row r="42" spans="1:7">
      <c r="A42" s="63" t="s">
        <v>223</v>
      </c>
      <c r="B42" s="64" t="s">
        <v>191</v>
      </c>
      <c r="C42" s="23"/>
      <c r="D42" s="65"/>
      <c r="E42" s="66">
        <f t="shared" si="4"/>
        <v>0</v>
      </c>
      <c r="F42" s="67">
        <v>500000</v>
      </c>
      <c r="G42" s="30">
        <f t="shared" si="6"/>
        <v>0</v>
      </c>
    </row>
    <row r="43" spans="1:7">
      <c r="A43" s="63" t="s">
        <v>224</v>
      </c>
      <c r="B43" s="64" t="s">
        <v>193</v>
      </c>
      <c r="C43" s="23"/>
      <c r="D43" s="65"/>
      <c r="E43" s="66">
        <f t="shared" si="4"/>
        <v>0</v>
      </c>
      <c r="F43" s="67">
        <v>500000</v>
      </c>
      <c r="G43" s="30">
        <f t="shared" si="6"/>
        <v>0</v>
      </c>
    </row>
    <row r="44" spans="1:7">
      <c r="A44" s="63" t="s">
        <v>225</v>
      </c>
      <c r="B44" s="64" t="s">
        <v>195</v>
      </c>
      <c r="C44" s="23"/>
      <c r="D44" s="65"/>
      <c r="E44" s="66">
        <f t="shared" si="4"/>
        <v>0</v>
      </c>
      <c r="F44" s="67">
        <v>500000</v>
      </c>
      <c r="G44" s="30">
        <f t="shared" si="6"/>
        <v>0</v>
      </c>
    </row>
    <row r="45" spans="1:7">
      <c r="A45" s="63" t="s">
        <v>226</v>
      </c>
      <c r="B45" s="64" t="s">
        <v>227</v>
      </c>
      <c r="C45" s="23"/>
      <c r="D45" s="65"/>
      <c r="E45" s="66">
        <f t="shared" si="4"/>
        <v>0</v>
      </c>
      <c r="F45" s="67">
        <v>500000</v>
      </c>
      <c r="G45" s="30">
        <f t="shared" si="6"/>
        <v>0</v>
      </c>
    </row>
    <row r="46" spans="1:7">
      <c r="A46" s="63" t="s">
        <v>228</v>
      </c>
      <c r="B46" s="64" t="s">
        <v>203</v>
      </c>
      <c r="C46" s="23"/>
      <c r="D46" s="65"/>
      <c r="E46" s="66">
        <f>D46*C46*[2]TongHop!$D$10</f>
        <v>0</v>
      </c>
      <c r="F46" s="67">
        <v>500000</v>
      </c>
      <c r="G46" s="30">
        <f t="shared" si="6"/>
        <v>0</v>
      </c>
    </row>
    <row r="47" spans="1:7">
      <c r="A47" s="63" t="s">
        <v>229</v>
      </c>
      <c r="B47" s="64" t="s">
        <v>205</v>
      </c>
      <c r="C47" s="23"/>
      <c r="D47" s="65"/>
      <c r="E47" s="66">
        <f>D47*C47*[2]TongHop!$D$10</f>
        <v>0</v>
      </c>
      <c r="F47" s="67">
        <v>500000</v>
      </c>
      <c r="G47" s="30">
        <f t="shared" si="6"/>
        <v>0</v>
      </c>
    </row>
    <row r="48" spans="1:7">
      <c r="A48" s="63" t="s">
        <v>230</v>
      </c>
      <c r="B48" s="64" t="s">
        <v>231</v>
      </c>
      <c r="C48" s="23"/>
      <c r="D48" s="65"/>
      <c r="E48" s="66">
        <f t="shared" ref="E48" si="7">D48*C48</f>
        <v>0</v>
      </c>
      <c r="F48" s="67">
        <v>500000</v>
      </c>
      <c r="G48" s="30">
        <f t="shared" si="6"/>
        <v>0</v>
      </c>
    </row>
    <row r="49" spans="1:7">
      <c r="A49" s="63" t="s">
        <v>232</v>
      </c>
      <c r="B49" s="64" t="s">
        <v>233</v>
      </c>
      <c r="C49" s="23"/>
      <c r="D49" s="65"/>
      <c r="E49" s="66">
        <f t="shared" si="4"/>
        <v>0</v>
      </c>
      <c r="F49" s="67">
        <v>500000</v>
      </c>
      <c r="G49" s="30">
        <f t="shared" si="6"/>
        <v>0</v>
      </c>
    </row>
    <row r="50" spans="1:7">
      <c r="A50" s="63" t="s">
        <v>234</v>
      </c>
      <c r="B50" s="64" t="s">
        <v>235</v>
      </c>
      <c r="C50" s="23"/>
      <c r="D50" s="65"/>
      <c r="E50" s="66">
        <f t="shared" si="4"/>
        <v>0</v>
      </c>
      <c r="F50" s="67">
        <v>500000</v>
      </c>
      <c r="G50" s="30">
        <f t="shared" si="6"/>
        <v>0</v>
      </c>
    </row>
    <row r="51" spans="1:7">
      <c r="A51" s="63" t="s">
        <v>236</v>
      </c>
      <c r="B51" s="64" t="s">
        <v>221</v>
      </c>
      <c r="C51" s="23"/>
      <c r="D51" s="65"/>
      <c r="E51" s="66">
        <f t="shared" si="4"/>
        <v>0</v>
      </c>
      <c r="F51" s="67">
        <v>500000</v>
      </c>
      <c r="G51" s="30">
        <f t="shared" si="6"/>
        <v>0</v>
      </c>
    </row>
    <row r="52" spans="1:7">
      <c r="A52" s="63" t="s">
        <v>237</v>
      </c>
      <c r="B52" s="64" t="s">
        <v>213</v>
      </c>
      <c r="C52" s="23"/>
      <c r="D52" s="65"/>
      <c r="E52" s="66">
        <f t="shared" si="4"/>
        <v>0</v>
      </c>
      <c r="F52" s="67">
        <v>1000000</v>
      </c>
      <c r="G52" s="30">
        <f t="shared" si="6"/>
        <v>0</v>
      </c>
    </row>
    <row r="53" spans="1:7">
      <c r="A53" s="63" t="s">
        <v>238</v>
      </c>
      <c r="B53" s="64" t="s">
        <v>215</v>
      </c>
      <c r="C53" s="23"/>
      <c r="D53" s="65"/>
      <c r="E53" s="66">
        <f t="shared" si="4"/>
        <v>0</v>
      </c>
      <c r="F53" s="67">
        <v>500000</v>
      </c>
      <c r="G53" s="30">
        <f t="shared" si="6"/>
        <v>0</v>
      </c>
    </row>
    <row r="54" spans="1:7">
      <c r="A54" s="63" t="s">
        <v>239</v>
      </c>
      <c r="B54" s="64" t="s">
        <v>217</v>
      </c>
      <c r="C54" s="23"/>
      <c r="D54" s="65"/>
      <c r="E54" s="66">
        <f t="shared" si="4"/>
        <v>0</v>
      </c>
      <c r="F54" s="67">
        <v>1000000</v>
      </c>
      <c r="G54" s="30">
        <f t="shared" si="6"/>
        <v>0</v>
      </c>
    </row>
    <row r="55" spans="1:7">
      <c r="A55" s="63" t="s">
        <v>240</v>
      </c>
      <c r="B55" s="64" t="s">
        <v>219</v>
      </c>
      <c r="C55" s="23"/>
      <c r="D55" s="65"/>
      <c r="E55" s="66">
        <f t="shared" si="4"/>
        <v>0</v>
      </c>
      <c r="F55" s="67">
        <v>1000000</v>
      </c>
      <c r="G55" s="30">
        <f t="shared" si="6"/>
        <v>0</v>
      </c>
    </row>
    <row r="56" spans="1:7">
      <c r="A56" s="11">
        <v>3</v>
      </c>
      <c r="B56" s="93" t="s">
        <v>241</v>
      </c>
      <c r="C56" s="94"/>
      <c r="D56" s="94"/>
      <c r="E56" s="94"/>
      <c r="F56" s="51"/>
      <c r="G56" s="52">
        <f>SUBTOTAL(9,G57:G78)</f>
        <v>0</v>
      </c>
    </row>
    <row r="57" spans="1:7">
      <c r="A57" s="15">
        <v>3.1</v>
      </c>
      <c r="B57" s="89" t="s">
        <v>174</v>
      </c>
      <c r="C57" s="90"/>
      <c r="D57" s="90"/>
      <c r="E57" s="90"/>
      <c r="F57" s="68"/>
      <c r="G57" s="16">
        <f>SUBTOTAL(9,G58:G62)</f>
        <v>0</v>
      </c>
    </row>
    <row r="58" spans="1:7">
      <c r="A58" s="63" t="s">
        <v>124</v>
      </c>
      <c r="B58" s="64" t="s">
        <v>175</v>
      </c>
      <c r="C58" s="23"/>
      <c r="D58" s="65"/>
      <c r="E58" s="66">
        <f t="shared" ref="E58:E78" si="8">D58*C58</f>
        <v>0</v>
      </c>
      <c r="F58" s="67">
        <v>1000000</v>
      </c>
      <c r="G58" s="30">
        <f>F58*E58</f>
        <v>0</v>
      </c>
    </row>
    <row r="59" spans="1:7">
      <c r="A59" s="63" t="s">
        <v>125</v>
      </c>
      <c r="B59" s="64" t="s">
        <v>176</v>
      </c>
      <c r="C59" s="23"/>
      <c r="D59" s="65"/>
      <c r="E59" s="66">
        <f t="shared" si="8"/>
        <v>0</v>
      </c>
      <c r="F59" s="67">
        <v>500000</v>
      </c>
      <c r="G59" s="30">
        <f t="shared" ref="G59:G62" si="9">F59*E59</f>
        <v>0</v>
      </c>
    </row>
    <row r="60" spans="1:7">
      <c r="A60" s="63" t="s">
        <v>242</v>
      </c>
      <c r="B60" s="64" t="s">
        <v>177</v>
      </c>
      <c r="C60" s="23"/>
      <c r="D60" s="65"/>
      <c r="E60" s="66">
        <f t="shared" si="8"/>
        <v>0</v>
      </c>
      <c r="F60" s="67">
        <v>500000</v>
      </c>
      <c r="G60" s="30">
        <f t="shared" si="9"/>
        <v>0</v>
      </c>
    </row>
    <row r="61" spans="1:7">
      <c r="A61" s="63" t="s">
        <v>243</v>
      </c>
      <c r="B61" s="64" t="s">
        <v>221</v>
      </c>
      <c r="C61" s="23"/>
      <c r="D61" s="65"/>
      <c r="E61" s="66">
        <f t="shared" si="8"/>
        <v>0</v>
      </c>
      <c r="F61" s="67">
        <v>500000</v>
      </c>
      <c r="G61" s="30">
        <f t="shared" si="9"/>
        <v>0</v>
      </c>
    </row>
    <row r="62" spans="1:7">
      <c r="A62" s="63" t="s">
        <v>244</v>
      </c>
      <c r="B62" s="64" t="s">
        <v>178</v>
      </c>
      <c r="C62" s="23"/>
      <c r="D62" s="65"/>
      <c r="E62" s="66">
        <f t="shared" si="8"/>
        <v>0</v>
      </c>
      <c r="F62" s="67">
        <v>1000000</v>
      </c>
      <c r="G62" s="30">
        <f t="shared" si="9"/>
        <v>0</v>
      </c>
    </row>
    <row r="63" spans="1:7">
      <c r="A63" s="15">
        <v>3.2</v>
      </c>
      <c r="B63" s="89" t="s">
        <v>179</v>
      </c>
      <c r="C63" s="90"/>
      <c r="D63" s="90"/>
      <c r="E63" s="91"/>
      <c r="F63" s="31"/>
      <c r="G63" s="16">
        <f>SUBTOTAL(9,G64:G78)</f>
        <v>0</v>
      </c>
    </row>
    <row r="64" spans="1:7">
      <c r="A64" s="63" t="s">
        <v>245</v>
      </c>
      <c r="B64" s="64" t="s">
        <v>181</v>
      </c>
      <c r="C64" s="23"/>
      <c r="D64" s="65"/>
      <c r="E64" s="66">
        <f t="shared" si="8"/>
        <v>0</v>
      </c>
      <c r="F64" s="67">
        <v>500000</v>
      </c>
      <c r="G64" s="30">
        <f>F64*E64</f>
        <v>0</v>
      </c>
    </row>
    <row r="65" spans="1:7">
      <c r="A65" s="63" t="s">
        <v>246</v>
      </c>
      <c r="B65" s="64" t="s">
        <v>183</v>
      </c>
      <c r="C65" s="23"/>
      <c r="D65" s="65"/>
      <c r="E65" s="66">
        <f t="shared" si="8"/>
        <v>0</v>
      </c>
      <c r="F65" s="67">
        <v>500000</v>
      </c>
      <c r="G65" s="30">
        <f t="shared" ref="G65:G78" si="10">F65*E65</f>
        <v>0</v>
      </c>
    </row>
    <row r="66" spans="1:7">
      <c r="A66" s="63" t="s">
        <v>247</v>
      </c>
      <c r="B66" s="64" t="s">
        <v>185</v>
      </c>
      <c r="C66" s="23"/>
      <c r="D66" s="65"/>
      <c r="E66" s="66">
        <f t="shared" si="8"/>
        <v>0</v>
      </c>
      <c r="F66" s="67">
        <v>500000</v>
      </c>
      <c r="G66" s="30">
        <f t="shared" si="10"/>
        <v>0</v>
      </c>
    </row>
    <row r="67" spans="1:7">
      <c r="A67" s="63" t="s">
        <v>248</v>
      </c>
      <c r="B67" s="64" t="s">
        <v>191</v>
      </c>
      <c r="C67" s="23"/>
      <c r="D67" s="65"/>
      <c r="E67" s="66">
        <f t="shared" si="8"/>
        <v>0</v>
      </c>
      <c r="F67" s="67">
        <v>500000</v>
      </c>
      <c r="G67" s="30">
        <f t="shared" si="10"/>
        <v>0</v>
      </c>
    </row>
    <row r="68" spans="1:7">
      <c r="A68" s="63" t="s">
        <v>249</v>
      </c>
      <c r="B68" s="64" t="s">
        <v>193</v>
      </c>
      <c r="C68" s="23"/>
      <c r="D68" s="65"/>
      <c r="E68" s="66">
        <f t="shared" si="8"/>
        <v>0</v>
      </c>
      <c r="F68" s="67">
        <v>500000</v>
      </c>
      <c r="G68" s="30">
        <f t="shared" si="10"/>
        <v>0</v>
      </c>
    </row>
    <row r="69" spans="1:7">
      <c r="A69" s="63" t="s">
        <v>250</v>
      </c>
      <c r="B69" s="64" t="s">
        <v>195</v>
      </c>
      <c r="C69" s="23"/>
      <c r="D69" s="65"/>
      <c r="E69" s="66">
        <f t="shared" si="8"/>
        <v>0</v>
      </c>
      <c r="F69" s="67">
        <v>500000</v>
      </c>
      <c r="G69" s="30">
        <f t="shared" si="10"/>
        <v>0</v>
      </c>
    </row>
    <row r="70" spans="1:7">
      <c r="A70" s="63" t="s">
        <v>251</v>
      </c>
      <c r="B70" s="64" t="s">
        <v>201</v>
      </c>
      <c r="C70" s="23"/>
      <c r="D70" s="65"/>
      <c r="E70" s="66">
        <f t="shared" si="8"/>
        <v>0</v>
      </c>
      <c r="F70" s="67">
        <v>500000</v>
      </c>
      <c r="G70" s="30">
        <f t="shared" si="10"/>
        <v>0</v>
      </c>
    </row>
    <row r="71" spans="1:7">
      <c r="A71" s="63" t="s">
        <v>252</v>
      </c>
      <c r="B71" s="64" t="s">
        <v>203</v>
      </c>
      <c r="C71" s="23"/>
      <c r="D71" s="65"/>
      <c r="E71" s="66">
        <f>D71*C71*[2]TongHop!$D$8</f>
        <v>0</v>
      </c>
      <c r="F71" s="67">
        <v>500000</v>
      </c>
      <c r="G71" s="30">
        <f t="shared" si="10"/>
        <v>0</v>
      </c>
    </row>
    <row r="72" spans="1:7">
      <c r="A72" s="63" t="s">
        <v>253</v>
      </c>
      <c r="B72" s="64" t="s">
        <v>205</v>
      </c>
      <c r="C72" s="23"/>
      <c r="D72" s="65"/>
      <c r="E72" s="66">
        <f>D72*C72*[2]TongHop!$D$8</f>
        <v>0</v>
      </c>
      <c r="F72" s="67">
        <v>500000</v>
      </c>
      <c r="G72" s="30">
        <f t="shared" si="10"/>
        <v>0</v>
      </c>
    </row>
    <row r="73" spans="1:7">
      <c r="A73" s="63" t="s">
        <v>254</v>
      </c>
      <c r="B73" s="64" t="s">
        <v>255</v>
      </c>
      <c r="C73" s="23"/>
      <c r="D73" s="65"/>
      <c r="E73" s="66">
        <f t="shared" si="8"/>
        <v>0</v>
      </c>
      <c r="F73" s="67">
        <v>500000</v>
      </c>
      <c r="G73" s="30">
        <f t="shared" si="10"/>
        <v>0</v>
      </c>
    </row>
    <row r="74" spans="1:7">
      <c r="A74" s="63" t="s">
        <v>256</v>
      </c>
      <c r="B74" s="64" t="s">
        <v>235</v>
      </c>
      <c r="C74" s="23"/>
      <c r="D74" s="65"/>
      <c r="E74" s="66">
        <f t="shared" si="8"/>
        <v>0</v>
      </c>
      <c r="F74" s="67">
        <v>500000</v>
      </c>
      <c r="G74" s="30">
        <f t="shared" si="10"/>
        <v>0</v>
      </c>
    </row>
    <row r="75" spans="1:7">
      <c r="A75" s="63" t="s">
        <v>257</v>
      </c>
      <c r="B75" s="64" t="s">
        <v>213</v>
      </c>
      <c r="C75" s="23"/>
      <c r="D75" s="65"/>
      <c r="E75" s="66">
        <f t="shared" si="8"/>
        <v>0</v>
      </c>
      <c r="F75" s="67">
        <v>1000000</v>
      </c>
      <c r="G75" s="30">
        <f t="shared" si="10"/>
        <v>0</v>
      </c>
    </row>
    <row r="76" spans="1:7">
      <c r="A76" s="63" t="s">
        <v>258</v>
      </c>
      <c r="B76" s="64" t="s">
        <v>215</v>
      </c>
      <c r="C76" s="23"/>
      <c r="D76" s="65"/>
      <c r="E76" s="66">
        <f t="shared" si="8"/>
        <v>0</v>
      </c>
      <c r="F76" s="67">
        <v>500000</v>
      </c>
      <c r="G76" s="30">
        <f t="shared" si="10"/>
        <v>0</v>
      </c>
    </row>
    <row r="77" spans="1:7">
      <c r="A77" s="63" t="s">
        <v>259</v>
      </c>
      <c r="B77" s="64" t="s">
        <v>217</v>
      </c>
      <c r="C77" s="23"/>
      <c r="D77" s="65"/>
      <c r="E77" s="66">
        <f t="shared" si="8"/>
        <v>0</v>
      </c>
      <c r="F77" s="67">
        <v>1000000</v>
      </c>
      <c r="G77" s="30">
        <f t="shared" si="10"/>
        <v>0</v>
      </c>
    </row>
    <row r="78" spans="1:7">
      <c r="A78" s="63" t="s">
        <v>260</v>
      </c>
      <c r="B78" s="64" t="s">
        <v>219</v>
      </c>
      <c r="C78" s="23"/>
      <c r="D78" s="65"/>
      <c r="E78" s="66">
        <f t="shared" si="8"/>
        <v>0</v>
      </c>
      <c r="F78" s="67">
        <v>1000000</v>
      </c>
      <c r="G78" s="30">
        <f t="shared" si="10"/>
        <v>0</v>
      </c>
    </row>
    <row r="79" spans="1:7">
      <c r="A79" s="11">
        <v>4</v>
      </c>
      <c r="B79" s="93" t="str">
        <f>[2]TongHop!$B$15</f>
        <v>Khác 1  (Trolley/Giá đỡ/Xe hàng...)</v>
      </c>
      <c r="C79" s="94"/>
      <c r="D79" s="94"/>
      <c r="E79" s="94"/>
      <c r="F79" s="62"/>
      <c r="G79" s="52">
        <f>SUBTOTAL(9,G80:G105)</f>
        <v>0</v>
      </c>
    </row>
    <row r="80" spans="1:7">
      <c r="A80" s="15">
        <v>4.0999999999999996</v>
      </c>
      <c r="B80" s="89" t="s">
        <v>174</v>
      </c>
      <c r="C80" s="90"/>
      <c r="D80" s="90"/>
      <c r="E80" s="91"/>
      <c r="F80" s="31"/>
      <c r="G80" s="16">
        <f>SUBTOTAL(9,G81:G84)</f>
        <v>0</v>
      </c>
    </row>
    <row r="81" spans="1:7">
      <c r="A81" s="63" t="s">
        <v>127</v>
      </c>
      <c r="B81" s="64" t="s">
        <v>175</v>
      </c>
      <c r="C81" s="23"/>
      <c r="D81" s="65"/>
      <c r="E81" s="66">
        <f>D81*C81</f>
        <v>0</v>
      </c>
      <c r="F81" s="29">
        <v>500000</v>
      </c>
      <c r="G81" s="30">
        <f>F81*E81</f>
        <v>0</v>
      </c>
    </row>
    <row r="82" spans="1:7">
      <c r="A82" s="63" t="s">
        <v>128</v>
      </c>
      <c r="B82" s="64" t="s">
        <v>176</v>
      </c>
      <c r="C82" s="23"/>
      <c r="D82" s="65"/>
      <c r="E82" s="66">
        <f t="shared" ref="E82:E84" si="11">D82*C82</f>
        <v>0</v>
      </c>
      <c r="F82" s="29">
        <v>500000</v>
      </c>
      <c r="G82" s="30">
        <f t="shared" ref="G82:G84" si="12">F82*E82</f>
        <v>0</v>
      </c>
    </row>
    <row r="83" spans="1:7">
      <c r="A83" s="63" t="s">
        <v>261</v>
      </c>
      <c r="B83" s="64" t="s">
        <v>177</v>
      </c>
      <c r="C83" s="23"/>
      <c r="D83" s="65"/>
      <c r="E83" s="66">
        <f t="shared" si="11"/>
        <v>0</v>
      </c>
      <c r="F83" s="29">
        <v>500000</v>
      </c>
      <c r="G83" s="30">
        <f t="shared" si="12"/>
        <v>0</v>
      </c>
    </row>
    <row r="84" spans="1:7">
      <c r="A84" s="63" t="s">
        <v>262</v>
      </c>
      <c r="B84" s="64" t="s">
        <v>178</v>
      </c>
      <c r="C84" s="23"/>
      <c r="D84" s="65"/>
      <c r="E84" s="66">
        <f t="shared" si="11"/>
        <v>0</v>
      </c>
      <c r="F84" s="29">
        <v>1000000</v>
      </c>
      <c r="G84" s="30">
        <f t="shared" si="12"/>
        <v>0</v>
      </c>
    </row>
    <row r="85" spans="1:7">
      <c r="A85" s="15">
        <v>4.2</v>
      </c>
      <c r="B85" s="89" t="s">
        <v>179</v>
      </c>
      <c r="C85" s="90"/>
      <c r="D85" s="90"/>
      <c r="E85" s="91"/>
      <c r="F85" s="31"/>
      <c r="G85" s="16">
        <f>SUBTOTAL(9,G86:G105)</f>
        <v>0</v>
      </c>
    </row>
    <row r="86" spans="1:7">
      <c r="A86" s="63" t="s">
        <v>263</v>
      </c>
      <c r="B86" s="64" t="s">
        <v>181</v>
      </c>
      <c r="C86" s="23"/>
      <c r="D86" s="65"/>
      <c r="E86" s="66">
        <f>D86*C86</f>
        <v>0</v>
      </c>
      <c r="F86" s="67">
        <v>500000</v>
      </c>
      <c r="G86" s="30">
        <f>F86*E86</f>
        <v>0</v>
      </c>
    </row>
    <row r="87" spans="1:7">
      <c r="A87" s="63" t="s">
        <v>264</v>
      </c>
      <c r="B87" s="64" t="s">
        <v>183</v>
      </c>
      <c r="C87" s="23"/>
      <c r="D87" s="65"/>
      <c r="E87" s="66">
        <f t="shared" ref="E87:E96" si="13">D87*C87</f>
        <v>0</v>
      </c>
      <c r="F87" s="67">
        <v>500000</v>
      </c>
      <c r="G87" s="30">
        <f t="shared" ref="G87:G96" si="14">F87*E87</f>
        <v>0</v>
      </c>
    </row>
    <row r="88" spans="1:7">
      <c r="A88" s="63" t="s">
        <v>265</v>
      </c>
      <c r="B88" s="64" t="s">
        <v>185</v>
      </c>
      <c r="C88" s="23"/>
      <c r="D88" s="65"/>
      <c r="E88" s="66">
        <f t="shared" si="13"/>
        <v>0</v>
      </c>
      <c r="F88" s="67">
        <v>500000</v>
      </c>
      <c r="G88" s="30">
        <f t="shared" si="14"/>
        <v>0</v>
      </c>
    </row>
    <row r="89" spans="1:7">
      <c r="A89" s="63" t="s">
        <v>266</v>
      </c>
      <c r="B89" s="64" t="s">
        <v>187</v>
      </c>
      <c r="C89" s="23"/>
      <c r="D89" s="65"/>
      <c r="E89" s="66">
        <f t="shared" si="13"/>
        <v>0</v>
      </c>
      <c r="F89" s="67">
        <v>500000</v>
      </c>
      <c r="G89" s="30">
        <f t="shared" si="14"/>
        <v>0</v>
      </c>
    </row>
    <row r="90" spans="1:7">
      <c r="A90" s="63" t="s">
        <v>267</v>
      </c>
      <c r="B90" s="64" t="s">
        <v>189</v>
      </c>
      <c r="C90" s="23"/>
      <c r="D90" s="65"/>
      <c r="E90" s="66">
        <f t="shared" si="13"/>
        <v>0</v>
      </c>
      <c r="F90" s="67">
        <v>500000</v>
      </c>
      <c r="G90" s="30">
        <f t="shared" si="14"/>
        <v>0</v>
      </c>
    </row>
    <row r="91" spans="1:7">
      <c r="A91" s="63" t="s">
        <v>268</v>
      </c>
      <c r="B91" s="64" t="s">
        <v>191</v>
      </c>
      <c r="C91" s="23"/>
      <c r="D91" s="65"/>
      <c r="E91" s="66">
        <f t="shared" si="13"/>
        <v>0</v>
      </c>
      <c r="F91" s="67">
        <v>500000</v>
      </c>
      <c r="G91" s="30">
        <f t="shared" si="14"/>
        <v>0</v>
      </c>
    </row>
    <row r="92" spans="1:7">
      <c r="A92" s="63" t="s">
        <v>269</v>
      </c>
      <c r="B92" s="64" t="s">
        <v>193</v>
      </c>
      <c r="C92" s="23"/>
      <c r="D92" s="65"/>
      <c r="E92" s="66">
        <f t="shared" si="13"/>
        <v>0</v>
      </c>
      <c r="F92" s="67">
        <v>500000</v>
      </c>
      <c r="G92" s="30">
        <f t="shared" si="14"/>
        <v>0</v>
      </c>
    </row>
    <row r="93" spans="1:7">
      <c r="A93" s="63" t="s">
        <v>270</v>
      </c>
      <c r="B93" s="64" t="s">
        <v>195</v>
      </c>
      <c r="C93" s="23"/>
      <c r="D93" s="65"/>
      <c r="E93" s="66">
        <f t="shared" si="13"/>
        <v>0</v>
      </c>
      <c r="F93" s="67">
        <v>500000</v>
      </c>
      <c r="G93" s="30">
        <f t="shared" si="14"/>
        <v>0</v>
      </c>
    </row>
    <row r="94" spans="1:7">
      <c r="A94" s="63" t="s">
        <v>271</v>
      </c>
      <c r="B94" s="64" t="s">
        <v>197</v>
      </c>
      <c r="C94" s="23"/>
      <c r="D94" s="65"/>
      <c r="E94" s="66">
        <f t="shared" si="13"/>
        <v>0</v>
      </c>
      <c r="F94" s="67">
        <v>500000</v>
      </c>
      <c r="G94" s="30">
        <f t="shared" si="14"/>
        <v>0</v>
      </c>
    </row>
    <row r="95" spans="1:7">
      <c r="A95" s="63" t="s">
        <v>272</v>
      </c>
      <c r="B95" s="64" t="s">
        <v>199</v>
      </c>
      <c r="C95" s="23"/>
      <c r="D95" s="65"/>
      <c r="E95" s="66">
        <f t="shared" si="13"/>
        <v>0</v>
      </c>
      <c r="F95" s="67">
        <v>500000</v>
      </c>
      <c r="G95" s="30">
        <f t="shared" si="14"/>
        <v>0</v>
      </c>
    </row>
    <row r="96" spans="1:7">
      <c r="A96" s="63" t="s">
        <v>273</v>
      </c>
      <c r="B96" s="64" t="s">
        <v>201</v>
      </c>
      <c r="C96" s="23"/>
      <c r="D96" s="65"/>
      <c r="E96" s="66">
        <f t="shared" si="13"/>
        <v>0</v>
      </c>
      <c r="F96" s="67">
        <v>500000</v>
      </c>
      <c r="G96" s="30">
        <f t="shared" si="14"/>
        <v>0</v>
      </c>
    </row>
    <row r="97" spans="1:7">
      <c r="A97" s="63" t="s">
        <v>274</v>
      </c>
      <c r="B97" s="64" t="s">
        <v>203</v>
      </c>
      <c r="C97" s="23"/>
      <c r="D97" s="65"/>
      <c r="E97" s="66">
        <f>D97*C97*[2]TongHop!$D$15</f>
        <v>0</v>
      </c>
      <c r="F97" s="67">
        <v>500000</v>
      </c>
      <c r="G97" s="30">
        <f>F97*E97</f>
        <v>0</v>
      </c>
    </row>
    <row r="98" spans="1:7">
      <c r="A98" s="63" t="s">
        <v>275</v>
      </c>
      <c r="B98" s="64" t="s">
        <v>205</v>
      </c>
      <c r="C98" s="23"/>
      <c r="D98" s="65"/>
      <c r="E98" s="66">
        <f>D98*C98*[2]TongHop!$D$15</f>
        <v>0</v>
      </c>
      <c r="F98" s="67">
        <v>500000</v>
      </c>
      <c r="G98" s="30">
        <f>F98*E98</f>
        <v>0</v>
      </c>
    </row>
    <row r="99" spans="1:7">
      <c r="A99" s="63" t="s">
        <v>276</v>
      </c>
      <c r="B99" s="64" t="s">
        <v>207</v>
      </c>
      <c r="C99" s="23"/>
      <c r="D99" s="65"/>
      <c r="E99" s="66">
        <f t="shared" ref="E99:E105" si="15">D99*C99</f>
        <v>0</v>
      </c>
      <c r="F99" s="67">
        <v>500000</v>
      </c>
      <c r="G99" s="30">
        <f t="shared" ref="G99:G105" si="16">F99*E99</f>
        <v>0</v>
      </c>
    </row>
    <row r="100" spans="1:7">
      <c r="A100" s="63" t="s">
        <v>277</v>
      </c>
      <c r="B100" s="64" t="s">
        <v>255</v>
      </c>
      <c r="C100" s="23"/>
      <c r="D100" s="65"/>
      <c r="E100" s="66">
        <f t="shared" si="15"/>
        <v>0</v>
      </c>
      <c r="F100" s="67">
        <v>500000</v>
      </c>
      <c r="G100" s="30">
        <f t="shared" si="16"/>
        <v>0</v>
      </c>
    </row>
    <row r="101" spans="1:7">
      <c r="A101" s="63" t="s">
        <v>278</v>
      </c>
      <c r="B101" s="64" t="s">
        <v>235</v>
      </c>
      <c r="C101" s="23"/>
      <c r="D101" s="65"/>
      <c r="E101" s="66">
        <f t="shared" si="15"/>
        <v>0</v>
      </c>
      <c r="F101" s="67">
        <v>500000</v>
      </c>
      <c r="G101" s="30">
        <f t="shared" si="16"/>
        <v>0</v>
      </c>
    </row>
    <row r="102" spans="1:7">
      <c r="A102" s="63" t="s">
        <v>279</v>
      </c>
      <c r="B102" s="64" t="s">
        <v>213</v>
      </c>
      <c r="C102" s="23"/>
      <c r="D102" s="65"/>
      <c r="E102" s="66">
        <f t="shared" si="15"/>
        <v>0</v>
      </c>
      <c r="F102" s="67">
        <v>1000000</v>
      </c>
      <c r="G102" s="30">
        <f t="shared" si="16"/>
        <v>0</v>
      </c>
    </row>
    <row r="103" spans="1:7">
      <c r="A103" s="63" t="s">
        <v>280</v>
      </c>
      <c r="B103" s="64" t="s">
        <v>215</v>
      </c>
      <c r="C103" s="23"/>
      <c r="D103" s="65"/>
      <c r="E103" s="66">
        <f t="shared" si="15"/>
        <v>0</v>
      </c>
      <c r="F103" s="67">
        <v>500000</v>
      </c>
      <c r="G103" s="30">
        <f t="shared" si="16"/>
        <v>0</v>
      </c>
    </row>
    <row r="104" spans="1:7">
      <c r="A104" s="63" t="s">
        <v>281</v>
      </c>
      <c r="B104" s="64" t="s">
        <v>217</v>
      </c>
      <c r="C104" s="23"/>
      <c r="D104" s="65"/>
      <c r="E104" s="66">
        <f t="shared" si="15"/>
        <v>0</v>
      </c>
      <c r="F104" s="67">
        <v>1000000</v>
      </c>
      <c r="G104" s="30">
        <f t="shared" si="16"/>
        <v>0</v>
      </c>
    </row>
    <row r="105" spans="1:7">
      <c r="A105" s="63" t="s">
        <v>282</v>
      </c>
      <c r="B105" s="64" t="s">
        <v>219</v>
      </c>
      <c r="C105" s="23"/>
      <c r="D105" s="65"/>
      <c r="E105" s="66">
        <f t="shared" si="15"/>
        <v>0</v>
      </c>
      <c r="F105" s="67">
        <v>1000000</v>
      </c>
      <c r="G105" s="30">
        <f t="shared" si="16"/>
        <v>0</v>
      </c>
    </row>
    <row r="106" spans="1:7">
      <c r="A106" s="11">
        <v>5</v>
      </c>
      <c r="B106" s="93" t="str">
        <f>[2]TongHop!$B$16</f>
        <v>Khác 2  (Trolley/Giá đỡ/Xe hàng...)</v>
      </c>
      <c r="C106" s="94"/>
      <c r="D106" s="94"/>
      <c r="E106" s="94"/>
      <c r="F106" s="62"/>
      <c r="G106" s="52">
        <f>SUBTOTAL(9,G107:G132)</f>
        <v>0</v>
      </c>
    </row>
    <row r="107" spans="1:7">
      <c r="A107" s="15">
        <v>5.0999999999999996</v>
      </c>
      <c r="B107" s="89" t="s">
        <v>174</v>
      </c>
      <c r="C107" s="90"/>
      <c r="D107" s="90"/>
      <c r="E107" s="91"/>
      <c r="F107" s="31"/>
      <c r="G107" s="16">
        <f>SUBTOTAL(9,G108:G111)</f>
        <v>0</v>
      </c>
    </row>
    <row r="108" spans="1:7">
      <c r="A108" s="63" t="s">
        <v>129</v>
      </c>
      <c r="B108" s="64" t="s">
        <v>175</v>
      </c>
      <c r="C108" s="23"/>
      <c r="D108" s="65"/>
      <c r="E108" s="66">
        <f>D108*C108</f>
        <v>0</v>
      </c>
      <c r="F108" s="29">
        <v>500000</v>
      </c>
      <c r="G108" s="30">
        <f>F108*E108</f>
        <v>0</v>
      </c>
    </row>
    <row r="109" spans="1:7">
      <c r="A109" s="63" t="s">
        <v>130</v>
      </c>
      <c r="B109" s="64" t="s">
        <v>176</v>
      </c>
      <c r="C109" s="23"/>
      <c r="D109" s="65"/>
      <c r="E109" s="66">
        <f t="shared" ref="E109:E111" si="17">D109*C109</f>
        <v>0</v>
      </c>
      <c r="F109" s="29">
        <v>500000</v>
      </c>
      <c r="G109" s="30">
        <f t="shared" ref="G109:G111" si="18">F109*E109</f>
        <v>0</v>
      </c>
    </row>
    <row r="110" spans="1:7">
      <c r="A110" s="63" t="s">
        <v>283</v>
      </c>
      <c r="B110" s="64" t="s">
        <v>177</v>
      </c>
      <c r="C110" s="23"/>
      <c r="D110" s="65"/>
      <c r="E110" s="66">
        <f t="shared" si="17"/>
        <v>0</v>
      </c>
      <c r="F110" s="29">
        <v>500000</v>
      </c>
      <c r="G110" s="30">
        <f t="shared" si="18"/>
        <v>0</v>
      </c>
    </row>
    <row r="111" spans="1:7">
      <c r="A111" s="63" t="s">
        <v>284</v>
      </c>
      <c r="B111" s="64" t="s">
        <v>178</v>
      </c>
      <c r="C111" s="23"/>
      <c r="D111" s="65"/>
      <c r="E111" s="66">
        <f t="shared" si="17"/>
        <v>0</v>
      </c>
      <c r="F111" s="29">
        <v>1000000</v>
      </c>
      <c r="G111" s="30">
        <f t="shared" si="18"/>
        <v>0</v>
      </c>
    </row>
    <row r="112" spans="1:7">
      <c r="A112" s="15">
        <v>5.2</v>
      </c>
      <c r="B112" s="89" t="s">
        <v>179</v>
      </c>
      <c r="C112" s="90"/>
      <c r="D112" s="90"/>
      <c r="E112" s="91"/>
      <c r="F112" s="31"/>
      <c r="G112" s="16">
        <f>SUBTOTAL(9,G113:G132)</f>
        <v>0</v>
      </c>
    </row>
    <row r="113" spans="1:7">
      <c r="A113" s="63" t="s">
        <v>285</v>
      </c>
      <c r="B113" s="64" t="s">
        <v>181</v>
      </c>
      <c r="C113" s="23"/>
      <c r="D113" s="65"/>
      <c r="E113" s="66">
        <f>D113*C113</f>
        <v>0</v>
      </c>
      <c r="F113" s="67">
        <v>500000</v>
      </c>
      <c r="G113" s="30">
        <f>F113*E113</f>
        <v>0</v>
      </c>
    </row>
    <row r="114" spans="1:7">
      <c r="A114" s="63" t="s">
        <v>286</v>
      </c>
      <c r="B114" s="64" t="s">
        <v>183</v>
      </c>
      <c r="C114" s="23"/>
      <c r="D114" s="65"/>
      <c r="E114" s="66">
        <f t="shared" ref="E114:E123" si="19">D114*C114</f>
        <v>0</v>
      </c>
      <c r="F114" s="67">
        <v>500000</v>
      </c>
      <c r="G114" s="30">
        <f t="shared" ref="G114:G123" si="20">F114*E114</f>
        <v>0</v>
      </c>
    </row>
    <row r="115" spans="1:7">
      <c r="A115" s="63" t="s">
        <v>287</v>
      </c>
      <c r="B115" s="64" t="s">
        <v>185</v>
      </c>
      <c r="C115" s="23"/>
      <c r="D115" s="65"/>
      <c r="E115" s="66">
        <f t="shared" si="19"/>
        <v>0</v>
      </c>
      <c r="F115" s="67">
        <v>500000</v>
      </c>
      <c r="G115" s="30">
        <f t="shared" si="20"/>
        <v>0</v>
      </c>
    </row>
    <row r="116" spans="1:7">
      <c r="A116" s="63" t="s">
        <v>288</v>
      </c>
      <c r="B116" s="64" t="s">
        <v>187</v>
      </c>
      <c r="C116" s="23"/>
      <c r="D116" s="65"/>
      <c r="E116" s="66">
        <f t="shared" si="19"/>
        <v>0</v>
      </c>
      <c r="F116" s="67">
        <v>500000</v>
      </c>
      <c r="G116" s="30">
        <f t="shared" si="20"/>
        <v>0</v>
      </c>
    </row>
    <row r="117" spans="1:7">
      <c r="A117" s="63" t="s">
        <v>289</v>
      </c>
      <c r="B117" s="64" t="s">
        <v>189</v>
      </c>
      <c r="C117" s="23"/>
      <c r="D117" s="65"/>
      <c r="E117" s="66">
        <f t="shared" si="19"/>
        <v>0</v>
      </c>
      <c r="F117" s="67">
        <v>500000</v>
      </c>
      <c r="G117" s="30">
        <f t="shared" si="20"/>
        <v>0</v>
      </c>
    </row>
    <row r="118" spans="1:7">
      <c r="A118" s="63" t="s">
        <v>290</v>
      </c>
      <c r="B118" s="64" t="s">
        <v>191</v>
      </c>
      <c r="C118" s="23"/>
      <c r="D118" s="65"/>
      <c r="E118" s="66">
        <f t="shared" si="19"/>
        <v>0</v>
      </c>
      <c r="F118" s="67">
        <v>500000</v>
      </c>
      <c r="G118" s="30">
        <f t="shared" si="20"/>
        <v>0</v>
      </c>
    </row>
    <row r="119" spans="1:7">
      <c r="A119" s="63" t="s">
        <v>291</v>
      </c>
      <c r="B119" s="64" t="s">
        <v>193</v>
      </c>
      <c r="C119" s="23"/>
      <c r="D119" s="65"/>
      <c r="E119" s="66">
        <f t="shared" si="19"/>
        <v>0</v>
      </c>
      <c r="F119" s="67">
        <v>500000</v>
      </c>
      <c r="G119" s="30">
        <f t="shared" si="20"/>
        <v>0</v>
      </c>
    </row>
    <row r="120" spans="1:7">
      <c r="A120" s="63" t="s">
        <v>292</v>
      </c>
      <c r="B120" s="64" t="s">
        <v>195</v>
      </c>
      <c r="C120" s="23"/>
      <c r="D120" s="65"/>
      <c r="E120" s="66">
        <f t="shared" si="19"/>
        <v>0</v>
      </c>
      <c r="F120" s="67">
        <v>500000</v>
      </c>
      <c r="G120" s="30">
        <f t="shared" si="20"/>
        <v>0</v>
      </c>
    </row>
    <row r="121" spans="1:7">
      <c r="A121" s="63" t="s">
        <v>293</v>
      </c>
      <c r="B121" s="64" t="s">
        <v>197</v>
      </c>
      <c r="C121" s="23"/>
      <c r="D121" s="65"/>
      <c r="E121" s="66">
        <f t="shared" si="19"/>
        <v>0</v>
      </c>
      <c r="F121" s="67">
        <v>500000</v>
      </c>
      <c r="G121" s="30">
        <f t="shared" si="20"/>
        <v>0</v>
      </c>
    </row>
    <row r="122" spans="1:7">
      <c r="A122" s="63" t="s">
        <v>294</v>
      </c>
      <c r="B122" s="64" t="s">
        <v>199</v>
      </c>
      <c r="C122" s="23"/>
      <c r="D122" s="65"/>
      <c r="E122" s="66">
        <f t="shared" si="19"/>
        <v>0</v>
      </c>
      <c r="F122" s="67">
        <v>500000</v>
      </c>
      <c r="G122" s="30">
        <f t="shared" si="20"/>
        <v>0</v>
      </c>
    </row>
    <row r="123" spans="1:7">
      <c r="A123" s="63" t="s">
        <v>295</v>
      </c>
      <c r="B123" s="64" t="s">
        <v>201</v>
      </c>
      <c r="C123" s="23"/>
      <c r="D123" s="65"/>
      <c r="E123" s="66">
        <f t="shared" si="19"/>
        <v>0</v>
      </c>
      <c r="F123" s="67">
        <v>500000</v>
      </c>
      <c r="G123" s="30">
        <f t="shared" si="20"/>
        <v>0</v>
      </c>
    </row>
    <row r="124" spans="1:7">
      <c r="A124" s="63" t="s">
        <v>296</v>
      </c>
      <c r="B124" s="64" t="s">
        <v>203</v>
      </c>
      <c r="C124" s="23"/>
      <c r="D124" s="65"/>
      <c r="E124" s="66">
        <f>D124*C124*[2]TongHop!$D$16</f>
        <v>0</v>
      </c>
      <c r="F124" s="67">
        <v>500000</v>
      </c>
      <c r="G124" s="30">
        <f>F124*E124</f>
        <v>0</v>
      </c>
    </row>
    <row r="125" spans="1:7">
      <c r="A125" s="63" t="s">
        <v>297</v>
      </c>
      <c r="B125" s="64" t="s">
        <v>205</v>
      </c>
      <c r="C125" s="23"/>
      <c r="D125" s="65"/>
      <c r="E125" s="66">
        <f>D125*C125*[2]TongHop!$D$16</f>
        <v>0</v>
      </c>
      <c r="F125" s="67">
        <v>500000</v>
      </c>
      <c r="G125" s="30">
        <f>F125*E125</f>
        <v>0</v>
      </c>
    </row>
    <row r="126" spans="1:7">
      <c r="A126" s="63" t="s">
        <v>298</v>
      </c>
      <c r="B126" s="64" t="s">
        <v>207</v>
      </c>
      <c r="C126" s="23"/>
      <c r="D126" s="65"/>
      <c r="E126" s="66">
        <f t="shared" ref="E126:E132" si="21">D126*C126</f>
        <v>0</v>
      </c>
      <c r="F126" s="67">
        <v>500000</v>
      </c>
      <c r="G126" s="30">
        <f t="shared" ref="G126:G132" si="22">F126*E126</f>
        <v>0</v>
      </c>
    </row>
    <row r="127" spans="1:7">
      <c r="A127" s="63" t="s">
        <v>299</v>
      </c>
      <c r="B127" s="64" t="s">
        <v>255</v>
      </c>
      <c r="C127" s="23"/>
      <c r="D127" s="65"/>
      <c r="E127" s="66">
        <f t="shared" si="21"/>
        <v>0</v>
      </c>
      <c r="F127" s="67">
        <v>500000</v>
      </c>
      <c r="G127" s="30">
        <f t="shared" si="22"/>
        <v>0</v>
      </c>
    </row>
    <row r="128" spans="1:7">
      <c r="A128" s="63" t="s">
        <v>300</v>
      </c>
      <c r="B128" s="64" t="s">
        <v>235</v>
      </c>
      <c r="C128" s="23"/>
      <c r="D128" s="65"/>
      <c r="E128" s="66">
        <f t="shared" si="21"/>
        <v>0</v>
      </c>
      <c r="F128" s="67">
        <v>500000</v>
      </c>
      <c r="G128" s="30">
        <f t="shared" si="22"/>
        <v>0</v>
      </c>
    </row>
    <row r="129" spans="1:7">
      <c r="A129" s="63" t="s">
        <v>301</v>
      </c>
      <c r="B129" s="64" t="s">
        <v>213</v>
      </c>
      <c r="C129" s="23"/>
      <c r="D129" s="65"/>
      <c r="E129" s="66">
        <f t="shared" si="21"/>
        <v>0</v>
      </c>
      <c r="F129" s="67">
        <v>1000000</v>
      </c>
      <c r="G129" s="30">
        <f t="shared" si="22"/>
        <v>0</v>
      </c>
    </row>
    <row r="130" spans="1:7">
      <c r="A130" s="63" t="s">
        <v>302</v>
      </c>
      <c r="B130" s="64" t="s">
        <v>215</v>
      </c>
      <c r="C130" s="23"/>
      <c r="D130" s="65"/>
      <c r="E130" s="66">
        <f t="shared" si="21"/>
        <v>0</v>
      </c>
      <c r="F130" s="67">
        <v>500000</v>
      </c>
      <c r="G130" s="30">
        <f t="shared" si="22"/>
        <v>0</v>
      </c>
    </row>
    <row r="131" spans="1:7">
      <c r="A131" s="63" t="s">
        <v>303</v>
      </c>
      <c r="B131" s="64" t="s">
        <v>217</v>
      </c>
      <c r="C131" s="23"/>
      <c r="D131" s="65"/>
      <c r="E131" s="66">
        <f t="shared" si="21"/>
        <v>0</v>
      </c>
      <c r="F131" s="67">
        <v>1000000</v>
      </c>
      <c r="G131" s="30">
        <f t="shared" si="22"/>
        <v>0</v>
      </c>
    </row>
    <row r="132" spans="1:7">
      <c r="A132" s="63" t="s">
        <v>304</v>
      </c>
      <c r="B132" s="64" t="s">
        <v>219</v>
      </c>
      <c r="C132" s="23"/>
      <c r="D132" s="65"/>
      <c r="E132" s="66">
        <f t="shared" si="21"/>
        <v>0</v>
      </c>
      <c r="F132" s="67">
        <v>1000000</v>
      </c>
      <c r="G132" s="30">
        <f t="shared" si="22"/>
        <v>0</v>
      </c>
    </row>
    <row r="133" spans="1:7">
      <c r="A133" s="11">
        <v>6</v>
      </c>
      <c r="B133" s="93" t="str">
        <f>[2]TongHop!$B$17</f>
        <v>Khác 3  (Trolley/Giá đỡ/Xe hàng...)</v>
      </c>
      <c r="C133" s="94"/>
      <c r="D133" s="94"/>
      <c r="E133" s="94"/>
      <c r="F133" s="62"/>
      <c r="G133" s="52">
        <f>SUBTOTAL(9,G134:G159)</f>
        <v>0</v>
      </c>
    </row>
    <row r="134" spans="1:7">
      <c r="A134" s="15">
        <v>6.1</v>
      </c>
      <c r="B134" s="89" t="s">
        <v>174</v>
      </c>
      <c r="C134" s="90"/>
      <c r="D134" s="90"/>
      <c r="E134" s="91"/>
      <c r="F134" s="31"/>
      <c r="G134" s="16">
        <f>SUBTOTAL(9,G135:G138)</f>
        <v>0</v>
      </c>
    </row>
    <row r="135" spans="1:7">
      <c r="A135" s="63" t="s">
        <v>131</v>
      </c>
      <c r="B135" s="64" t="s">
        <v>175</v>
      </c>
      <c r="C135" s="23"/>
      <c r="D135" s="65"/>
      <c r="E135" s="66">
        <f>D135*C135</f>
        <v>0</v>
      </c>
      <c r="F135" s="29">
        <v>500000</v>
      </c>
      <c r="G135" s="30">
        <f>F135*E135</f>
        <v>0</v>
      </c>
    </row>
    <row r="136" spans="1:7">
      <c r="A136" s="63" t="s">
        <v>132</v>
      </c>
      <c r="B136" s="64" t="s">
        <v>176</v>
      </c>
      <c r="C136" s="23"/>
      <c r="D136" s="65"/>
      <c r="E136" s="66">
        <f t="shared" ref="E136:E138" si="23">D136*C136</f>
        <v>0</v>
      </c>
      <c r="F136" s="29">
        <v>500000</v>
      </c>
      <c r="G136" s="30">
        <f t="shared" ref="G136:G138" si="24">F136*E136</f>
        <v>0</v>
      </c>
    </row>
    <row r="137" spans="1:7">
      <c r="A137" s="63" t="s">
        <v>305</v>
      </c>
      <c r="B137" s="64" t="s">
        <v>177</v>
      </c>
      <c r="C137" s="23"/>
      <c r="D137" s="65"/>
      <c r="E137" s="66">
        <f t="shared" si="23"/>
        <v>0</v>
      </c>
      <c r="F137" s="29">
        <v>500000</v>
      </c>
      <c r="G137" s="30">
        <f t="shared" si="24"/>
        <v>0</v>
      </c>
    </row>
    <row r="138" spans="1:7">
      <c r="A138" s="63" t="s">
        <v>306</v>
      </c>
      <c r="B138" s="64" t="s">
        <v>178</v>
      </c>
      <c r="C138" s="23"/>
      <c r="D138" s="65"/>
      <c r="E138" s="66">
        <f t="shared" si="23"/>
        <v>0</v>
      </c>
      <c r="F138" s="29">
        <v>1000000</v>
      </c>
      <c r="G138" s="30">
        <f t="shared" si="24"/>
        <v>0</v>
      </c>
    </row>
    <row r="139" spans="1:7">
      <c r="A139" s="15">
        <v>6.2</v>
      </c>
      <c r="B139" s="89" t="s">
        <v>179</v>
      </c>
      <c r="C139" s="90"/>
      <c r="D139" s="90"/>
      <c r="E139" s="91"/>
      <c r="F139" s="31"/>
      <c r="G139" s="16">
        <f>SUBTOTAL(9,G140:G159)</f>
        <v>0</v>
      </c>
    </row>
    <row r="140" spans="1:7">
      <c r="A140" s="63" t="s">
        <v>307</v>
      </c>
      <c r="B140" s="64" t="s">
        <v>181</v>
      </c>
      <c r="C140" s="23"/>
      <c r="D140" s="65"/>
      <c r="E140" s="66">
        <f>D140*C140</f>
        <v>0</v>
      </c>
      <c r="F140" s="67">
        <v>500000</v>
      </c>
      <c r="G140" s="30">
        <f>F140*E140</f>
        <v>0</v>
      </c>
    </row>
    <row r="141" spans="1:7">
      <c r="A141" s="63" t="s">
        <v>308</v>
      </c>
      <c r="B141" s="64" t="s">
        <v>183</v>
      </c>
      <c r="C141" s="23"/>
      <c r="D141" s="65"/>
      <c r="E141" s="66">
        <f t="shared" ref="E141:E150" si="25">D141*C141</f>
        <v>0</v>
      </c>
      <c r="F141" s="67">
        <v>500000</v>
      </c>
      <c r="G141" s="30">
        <f t="shared" ref="G141:G150" si="26">F141*E141</f>
        <v>0</v>
      </c>
    </row>
    <row r="142" spans="1:7">
      <c r="A142" s="63" t="s">
        <v>309</v>
      </c>
      <c r="B142" s="64" t="s">
        <v>185</v>
      </c>
      <c r="C142" s="23"/>
      <c r="D142" s="65"/>
      <c r="E142" s="66">
        <f t="shared" si="25"/>
        <v>0</v>
      </c>
      <c r="F142" s="67">
        <v>500000</v>
      </c>
      <c r="G142" s="30">
        <f t="shared" si="26"/>
        <v>0</v>
      </c>
    </row>
    <row r="143" spans="1:7">
      <c r="A143" s="63" t="s">
        <v>310</v>
      </c>
      <c r="B143" s="64" t="s">
        <v>187</v>
      </c>
      <c r="C143" s="23"/>
      <c r="D143" s="65"/>
      <c r="E143" s="66">
        <f t="shared" si="25"/>
        <v>0</v>
      </c>
      <c r="F143" s="67">
        <v>500000</v>
      </c>
      <c r="G143" s="30">
        <f t="shared" si="26"/>
        <v>0</v>
      </c>
    </row>
    <row r="144" spans="1:7">
      <c r="A144" s="63" t="s">
        <v>311</v>
      </c>
      <c r="B144" s="64" t="s">
        <v>189</v>
      </c>
      <c r="C144" s="23"/>
      <c r="D144" s="65"/>
      <c r="E144" s="66">
        <f t="shared" si="25"/>
        <v>0</v>
      </c>
      <c r="F144" s="67">
        <v>500000</v>
      </c>
      <c r="G144" s="30">
        <f t="shared" si="26"/>
        <v>0</v>
      </c>
    </row>
    <row r="145" spans="1:7">
      <c r="A145" s="63" t="s">
        <v>312</v>
      </c>
      <c r="B145" s="64" t="s">
        <v>191</v>
      </c>
      <c r="C145" s="23"/>
      <c r="D145" s="65"/>
      <c r="E145" s="66">
        <f t="shared" si="25"/>
        <v>0</v>
      </c>
      <c r="F145" s="67">
        <v>500000</v>
      </c>
      <c r="G145" s="30">
        <f t="shared" si="26"/>
        <v>0</v>
      </c>
    </row>
    <row r="146" spans="1:7">
      <c r="A146" s="63" t="s">
        <v>313</v>
      </c>
      <c r="B146" s="64" t="s">
        <v>193</v>
      </c>
      <c r="C146" s="23"/>
      <c r="D146" s="65"/>
      <c r="E146" s="66">
        <f t="shared" si="25"/>
        <v>0</v>
      </c>
      <c r="F146" s="67">
        <v>500000</v>
      </c>
      <c r="G146" s="30">
        <f t="shared" si="26"/>
        <v>0</v>
      </c>
    </row>
    <row r="147" spans="1:7">
      <c r="A147" s="63" t="s">
        <v>314</v>
      </c>
      <c r="B147" s="64" t="s">
        <v>195</v>
      </c>
      <c r="C147" s="23"/>
      <c r="D147" s="65"/>
      <c r="E147" s="66">
        <f t="shared" si="25"/>
        <v>0</v>
      </c>
      <c r="F147" s="67">
        <v>500000</v>
      </c>
      <c r="G147" s="30">
        <f t="shared" si="26"/>
        <v>0</v>
      </c>
    </row>
    <row r="148" spans="1:7">
      <c r="A148" s="63" t="s">
        <v>315</v>
      </c>
      <c r="B148" s="64" t="s">
        <v>197</v>
      </c>
      <c r="C148" s="23"/>
      <c r="D148" s="65"/>
      <c r="E148" s="66">
        <f t="shared" si="25"/>
        <v>0</v>
      </c>
      <c r="F148" s="67">
        <v>500000</v>
      </c>
      <c r="G148" s="30">
        <f t="shared" si="26"/>
        <v>0</v>
      </c>
    </row>
    <row r="149" spans="1:7">
      <c r="A149" s="63" t="s">
        <v>316</v>
      </c>
      <c r="B149" s="64" t="s">
        <v>199</v>
      </c>
      <c r="C149" s="23"/>
      <c r="D149" s="65"/>
      <c r="E149" s="66">
        <f t="shared" si="25"/>
        <v>0</v>
      </c>
      <c r="F149" s="67">
        <v>500000</v>
      </c>
      <c r="G149" s="30">
        <f t="shared" si="26"/>
        <v>0</v>
      </c>
    </row>
    <row r="150" spans="1:7">
      <c r="A150" s="63" t="s">
        <v>317</v>
      </c>
      <c r="B150" s="64" t="s">
        <v>201</v>
      </c>
      <c r="C150" s="23"/>
      <c r="D150" s="65"/>
      <c r="E150" s="66">
        <f t="shared" si="25"/>
        <v>0</v>
      </c>
      <c r="F150" s="67">
        <v>500000</v>
      </c>
      <c r="G150" s="30">
        <f t="shared" si="26"/>
        <v>0</v>
      </c>
    </row>
    <row r="151" spans="1:7">
      <c r="A151" s="63" t="s">
        <v>318</v>
      </c>
      <c r="B151" s="64" t="s">
        <v>203</v>
      </c>
      <c r="C151" s="23"/>
      <c r="D151" s="65"/>
      <c r="E151" s="66">
        <f>D151*C151*[2]TongHop!$D$17</f>
        <v>0</v>
      </c>
      <c r="F151" s="67">
        <v>500000</v>
      </c>
      <c r="G151" s="30">
        <f>F151*E151</f>
        <v>0</v>
      </c>
    </row>
    <row r="152" spans="1:7">
      <c r="A152" s="63" t="s">
        <v>319</v>
      </c>
      <c r="B152" s="64" t="s">
        <v>205</v>
      </c>
      <c r="C152" s="23"/>
      <c r="D152" s="65"/>
      <c r="E152" s="66">
        <f>D152*C152*[2]TongHop!$D$17</f>
        <v>0</v>
      </c>
      <c r="F152" s="67">
        <v>500000</v>
      </c>
      <c r="G152" s="30">
        <f>F152*E152</f>
        <v>0</v>
      </c>
    </row>
    <row r="153" spans="1:7">
      <c r="A153" s="63" t="s">
        <v>320</v>
      </c>
      <c r="B153" s="64" t="s">
        <v>207</v>
      </c>
      <c r="C153" s="23"/>
      <c r="D153" s="65"/>
      <c r="E153" s="66">
        <f t="shared" ref="E153:E159" si="27">D153*C153</f>
        <v>0</v>
      </c>
      <c r="F153" s="67">
        <v>500000</v>
      </c>
      <c r="G153" s="30">
        <f t="shared" ref="G153:G159" si="28">F153*E153</f>
        <v>0</v>
      </c>
    </row>
    <row r="154" spans="1:7">
      <c r="A154" s="63" t="s">
        <v>321</v>
      </c>
      <c r="B154" s="64" t="s">
        <v>255</v>
      </c>
      <c r="C154" s="23"/>
      <c r="D154" s="65"/>
      <c r="E154" s="66">
        <f t="shared" si="27"/>
        <v>0</v>
      </c>
      <c r="F154" s="67">
        <v>500000</v>
      </c>
      <c r="G154" s="30">
        <f t="shared" si="28"/>
        <v>0</v>
      </c>
    </row>
    <row r="155" spans="1:7">
      <c r="A155" s="63" t="s">
        <v>322</v>
      </c>
      <c r="B155" s="64" t="s">
        <v>235</v>
      </c>
      <c r="C155" s="23"/>
      <c r="D155" s="65"/>
      <c r="E155" s="66">
        <f t="shared" si="27"/>
        <v>0</v>
      </c>
      <c r="F155" s="67">
        <v>500000</v>
      </c>
      <c r="G155" s="30">
        <f t="shared" si="28"/>
        <v>0</v>
      </c>
    </row>
    <row r="156" spans="1:7">
      <c r="A156" s="63" t="s">
        <v>323</v>
      </c>
      <c r="B156" s="64" t="s">
        <v>213</v>
      </c>
      <c r="C156" s="23"/>
      <c r="D156" s="65"/>
      <c r="E156" s="66">
        <f t="shared" si="27"/>
        <v>0</v>
      </c>
      <c r="F156" s="67">
        <v>1000000</v>
      </c>
      <c r="G156" s="30">
        <f t="shared" si="28"/>
        <v>0</v>
      </c>
    </row>
    <row r="157" spans="1:7">
      <c r="A157" s="63" t="s">
        <v>324</v>
      </c>
      <c r="B157" s="64" t="s">
        <v>215</v>
      </c>
      <c r="C157" s="23"/>
      <c r="D157" s="65"/>
      <c r="E157" s="66">
        <f t="shared" si="27"/>
        <v>0</v>
      </c>
      <c r="F157" s="67">
        <v>500000</v>
      </c>
      <c r="G157" s="30">
        <f t="shared" si="28"/>
        <v>0</v>
      </c>
    </row>
    <row r="158" spans="1:7">
      <c r="A158" s="63" t="s">
        <v>325</v>
      </c>
      <c r="B158" s="64" t="s">
        <v>217</v>
      </c>
      <c r="C158" s="23"/>
      <c r="D158" s="65"/>
      <c r="E158" s="66">
        <f t="shared" si="27"/>
        <v>0</v>
      </c>
      <c r="F158" s="67">
        <v>1000000</v>
      </c>
      <c r="G158" s="30">
        <f t="shared" si="28"/>
        <v>0</v>
      </c>
    </row>
    <row r="159" spans="1:7">
      <c r="A159" s="63" t="s">
        <v>326</v>
      </c>
      <c r="B159" s="64" t="s">
        <v>219</v>
      </c>
      <c r="C159" s="23"/>
      <c r="D159" s="65"/>
      <c r="E159" s="66">
        <f t="shared" si="27"/>
        <v>0</v>
      </c>
      <c r="F159" s="67">
        <v>1000000</v>
      </c>
      <c r="G159" s="30">
        <f t="shared" si="28"/>
        <v>0</v>
      </c>
    </row>
    <row r="160" spans="1:7" ht="15.6" customHeight="1">
      <c r="A160" s="95" t="s">
        <v>327</v>
      </c>
      <c r="B160" s="96"/>
      <c r="C160" s="96"/>
      <c r="D160" s="96"/>
      <c r="E160" s="97"/>
      <c r="F160" s="58" t="s">
        <v>165</v>
      </c>
      <c r="G160" s="59">
        <f>SUBTOTAL(9,G5:G159)</f>
        <v>5000000</v>
      </c>
    </row>
  </sheetData>
  <mergeCells count="19">
    <mergeCell ref="A160:E160"/>
    <mergeCell ref="B106:E106"/>
    <mergeCell ref="B107:E107"/>
    <mergeCell ref="B112:E112"/>
    <mergeCell ref="B133:E133"/>
    <mergeCell ref="B134:E134"/>
    <mergeCell ref="B139:E139"/>
    <mergeCell ref="B85:E85"/>
    <mergeCell ref="B5:E5"/>
    <mergeCell ref="B6:E6"/>
    <mergeCell ref="B11:E11"/>
    <mergeCell ref="B32:E32"/>
    <mergeCell ref="B33:E33"/>
    <mergeCell ref="B38:E38"/>
    <mergeCell ref="B56:E56"/>
    <mergeCell ref="B57:E57"/>
    <mergeCell ref="B63:E63"/>
    <mergeCell ref="B79:E79"/>
    <mergeCell ref="B80:E80"/>
  </mergeCells>
  <dataValidations count="2">
    <dataValidation type="decimal" allowBlank="1" showInputMessage="1" showErrorMessage="1" errorTitle="Nhập sai" error="Chỉ nhập số 0~365" promptTitle="Nhập số ngày" prompt="Nhập số ngày làm cho công việc này" sqref="D39:D55 D12:D31 D34:D37 D140:D159 D58:D62 D64:D78 D81:D84 D86:D105 D108:D111 D113:D132 D135:D138 D7:D10" xr:uid="{2EABB750-E974-4FB2-95F4-8C9F68A28CD8}">
      <formula1>0</formula1>
      <formula2>365</formula2>
    </dataValidation>
    <dataValidation type="whole" allowBlank="1" showInputMessage="1" showErrorMessage="1" errorTitle="Nhập sai" error="Chỉ nhập chữ số 0~50" promptTitle="Nhập số người" prompt="Nhập số người làm cho công việc này" sqref="C39:C55 C12:C31 C34:C37 C140:C159 C58:C62 C64:C78 C81:C84 C86:C105 C108:C111 C113:C132 C135:C138 C7:C10" xr:uid="{3F47D79A-10AD-4E6B-8169-AAD6407F2883}">
      <formula1>0</formula1>
      <formula2>50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Danh mục vật tư</vt:lpstr>
      <vt:lpstr>Nhân công dự án</vt:lpstr>
      <vt:lpstr>'Danh mục vật tư'!Print_Area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Phú</dc:creator>
  <cp:lastModifiedBy>Admin</cp:lastModifiedBy>
  <dcterms:created xsi:type="dcterms:W3CDTF">2024-05-09T02:39:42Z</dcterms:created>
  <dcterms:modified xsi:type="dcterms:W3CDTF">2024-09-18T03:10:48Z</dcterms:modified>
</cp:coreProperties>
</file>