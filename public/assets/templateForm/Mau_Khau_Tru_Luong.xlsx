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Rtc_web_angular\RERP_FRONTEND_V2\public\assets\templateForm\"/>
    </mc:Choice>
  </mc:AlternateContent>
  <xr:revisionPtr revIDLastSave="0" documentId="13_ncr:1_{61B80AFB-5053-4DA7-9051-1662F485F43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huHoPhongBan" sheetId="1" r:id="rId1"/>
    <sheet name="Mẫu" sheetId="2" r:id="rId2"/>
    <sheet name="ThuongKPISDS" sheetId="3" r:id="rId3"/>
    <sheet name="Thuongkhac" sheetId="4" r:id="rId4"/>
    <sheet name="Guixe" sheetId="5" r:id="rId5"/>
    <sheet name="5S" sheetId="6" r:id="rId6"/>
    <sheet name="Trukhac" sheetId="7" r:id="rId7"/>
    <sheet name="Phaithubhxh" sheetId="8" r:id="rId8"/>
    <sheet name="Ungluong" sheetId="10" r:id="rId9"/>
    <sheet name="cong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N7" i="2"/>
  <c r="N6" i="2"/>
  <c r="N5" i="2"/>
  <c r="N4" i="2"/>
  <c r="N3" i="2"/>
</calcChain>
</file>

<file path=xl/sharedStrings.xml><?xml version="1.0" encoding="utf-8"?>
<sst xmlns="http://schemas.openxmlformats.org/spreadsheetml/2006/main" count="119" uniqueCount="47">
  <si>
    <t>STT</t>
  </si>
  <si>
    <t xml:space="preserve">TÊN </t>
  </si>
  <si>
    <t>PHÒNG</t>
  </si>
  <si>
    <t xml:space="preserve">NGÀY </t>
  </si>
  <si>
    <t>QUỸ</t>
  </si>
  <si>
    <t>LỖI</t>
  </si>
  <si>
    <t>LIÊN HOAN</t>
  </si>
  <si>
    <t>NOTE</t>
  </si>
  <si>
    <t>Đỗ Văn Hiếu</t>
  </si>
  <si>
    <t>Lê Thế Anh</t>
  </si>
  <si>
    <t>Nguyễn Văn Huy</t>
  </si>
  <si>
    <t>Phạm Văn Khoa</t>
  </si>
  <si>
    <t>Phạm Đức Hùng</t>
  </si>
  <si>
    <t>Kỹ thuật</t>
  </si>
  <si>
    <t>Thưởng  KPIs / doanh số</t>
  </si>
  <si>
    <t>Thưởng khác</t>
  </si>
  <si>
    <t>Gửi xe ô tô</t>
  </si>
  <si>
    <t>Phạt 5s</t>
  </si>
  <si>
    <t>Khoản trừ khác</t>
  </si>
  <si>
    <t>Năm</t>
  </si>
  <si>
    <t>Tháng</t>
  </si>
  <si>
    <t>Nguyễn Văn Quang</t>
  </si>
  <si>
    <t>Nguyễn Ngọc Khánh</t>
  </si>
  <si>
    <t>Note</t>
  </si>
  <si>
    <t>Ứng lương</t>
  </si>
  <si>
    <t>Code</t>
  </si>
  <si>
    <t>TÊN</t>
  </si>
  <si>
    <t>TE76</t>
  </si>
  <si>
    <t>TE95</t>
  </si>
  <si>
    <t>TE96</t>
  </si>
  <si>
    <t>IN21</t>
  </si>
  <si>
    <t>NV0010</t>
  </si>
  <si>
    <t>NV0011</t>
  </si>
  <si>
    <t>Mã nhân viên</t>
  </si>
  <si>
    <t>PhẢI thu BHXH</t>
  </si>
  <si>
    <t>Công TH đặc biệt</t>
  </si>
  <si>
    <t>HR17</t>
  </si>
  <si>
    <t>Công</t>
  </si>
  <si>
    <t>Số tiền</t>
  </si>
  <si>
    <t>Tổng công</t>
  </si>
  <si>
    <t>Thưởng KPI</t>
  </si>
  <si>
    <t>Tổng thưởng</t>
  </si>
  <si>
    <t>Mức thu BHXH</t>
  </si>
  <si>
    <t>Gửi xe Ô tô</t>
  </si>
  <si>
    <t>Tổng trừ</t>
  </si>
  <si>
    <t>Ghi chú</t>
  </si>
  <si>
    <t>Nv002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</si>
</sst>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#,##0_ ;\-#,##0\ 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3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49" fontId="1" fillId="2" borderId="2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/>
    <xf numFmtId="3" fontId="1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0" xfId="0" applyFont="1"/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5" fontId="3" fillId="0" borderId="3" xfId="1" applyNumberFormat="1" applyFont="1" applyBorder="1"/>
  </cellXfs>
  <cellStyles count="2">
    <cellStyle name="Comma" xfId="1" builtinId="3"/>
    <cellStyle name="Normal" xfId="0" builtinId="0"/>
  </cellStyles>
  <dxfs count="12">
    <dxf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4" totalsRowShown="0" headerRowDxfId="11">
  <autoFilter ref="A2:I4" xr:uid="{00000000-0009-0000-0100-000001000000}"/>
  <tableColumns count="9">
    <tableColumn id="1" xr3:uid="{00000000-0010-0000-0000-000001000000}" name="STT"/>
    <tableColumn id="10" xr3:uid="{00000000-0010-0000-0000-00000A000000}" name="Mã nhân viên"/>
    <tableColumn id="2" xr3:uid="{00000000-0010-0000-0000-000002000000}" name="TÊN "/>
    <tableColumn id="3" xr3:uid="{00000000-0010-0000-0000-000003000000}" name="PHÒNG"/>
    <tableColumn id="4" xr3:uid="{00000000-0010-0000-0000-000004000000}" name="NGÀY " dataDxfId="10"/>
    <tableColumn id="5" xr3:uid="{00000000-0010-0000-0000-000005000000}" name="QUỸ" dataDxfId="9"/>
    <tableColumn id="6" xr3:uid="{00000000-0010-0000-0000-000006000000}" name="LỖI" dataDxfId="8"/>
    <tableColumn id="7" xr3:uid="{00000000-0010-0000-0000-000007000000}" name="LIÊN HOAN" dataDxfId="7"/>
    <tableColumn id="9" xr3:uid="{00000000-0010-0000-0000-000009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9500B8-328D-4028-BE03-3802EDF2C21F}" name="Table33" displayName="Table33" ref="A1:O8" totalsRowShown="0">
  <autoFilter ref="A1:O8" xr:uid="{BA9500B8-328D-4028-BE03-3802EDF2C21F}"/>
  <tableColumns count="15">
    <tableColumn id="1" xr3:uid="{AF575C8C-8FE7-4894-B8F8-2B9B2C1980DC}" name="STT"/>
    <tableColumn id="14" xr3:uid="{08B13B7F-B8F1-44DB-9AF7-FDCDB5AD846D}" name="Code"/>
    <tableColumn id="2" xr3:uid="{F0A630CD-9685-4DC1-AF47-D070742DE4A6}" name="TÊN"/>
    <tableColumn id="3" xr3:uid="{E08C834B-1CBD-4BC5-BB35-73C4DD1DFE23}" name="Năm"/>
    <tableColumn id="4" xr3:uid="{D7B6447E-8D56-4157-8BCF-547138CA5B44}" name="Tháng"/>
    <tableColumn id="5" xr3:uid="{0D8BA001-3CFF-46A4-A913-5E7135DA3EE7}" name="PHÒNG"/>
    <tableColumn id="6" xr3:uid="{CBE75B2B-7CAF-44CF-834B-35CA1717C468}" name="Thưởng  KPIs / doanh số" dataDxfId="6"/>
    <tableColumn id="7" xr3:uid="{B3936988-2675-4800-B5BE-0C0BA7C015B7}" name="Thưởng khác" dataDxfId="5"/>
    <tableColumn id="8" xr3:uid="{E85960D9-E9C5-476B-8997-69815E8A1FE0}" name="Gửi xe ô tô" dataDxfId="4"/>
    <tableColumn id="9" xr3:uid="{AEDE25BB-B802-47D7-83E1-10940986B01E}" name="Phạt 5s" dataDxfId="3"/>
    <tableColumn id="10" xr3:uid="{A76923AF-3E31-4124-9FA1-B375EF09C05E}" name="Khoản trừ khác" dataDxfId="2"/>
    <tableColumn id="16" xr3:uid="{14EF4F65-02A7-4CAD-85C5-F9F7746F9C43}" name="PhẢI thu BHXH" dataDxfId="1"/>
    <tableColumn id="17" xr3:uid="{73DD0773-FBB8-43C2-BE4F-A9A1AF664A7F}" name="Công TH đặc biệt" dataDxfId="0"/>
    <tableColumn id="12" xr3:uid="{84AE159A-D8A9-4BE9-949C-80F1427226EE}" name="Ứng lương"/>
    <tableColumn id="13" xr3:uid="{AE3D038A-4DB5-4873-82FF-85B61B6F2C55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"/>
  <sheetViews>
    <sheetView workbookViewId="0">
      <selection activeCell="H18" sqref="H18"/>
    </sheetView>
  </sheetViews>
  <sheetFormatPr defaultRowHeight="15" x14ac:dyDescent="0.25"/>
  <cols>
    <col min="1" max="2" width="11" customWidth="1"/>
    <col min="3" max="3" width="20.7109375" customWidth="1"/>
    <col min="4" max="4" width="18.28515625" customWidth="1"/>
    <col min="5" max="5" width="17.28515625" style="2" customWidth="1"/>
    <col min="6" max="6" width="19" style="5" customWidth="1"/>
    <col min="7" max="7" width="15.28515625" style="5" customWidth="1"/>
    <col min="8" max="8" width="25.28515625" style="5" customWidth="1"/>
    <col min="9" max="9" width="21.42578125" customWidth="1"/>
    <col min="10" max="10" width="40.42578125" customWidth="1"/>
  </cols>
  <sheetData>
    <row r="2" spans="1:9" x14ac:dyDescent="0.25">
      <c r="A2" s="1" t="s">
        <v>0</v>
      </c>
      <c r="B2" s="1" t="s">
        <v>33</v>
      </c>
      <c r="C2" s="1" t="s">
        <v>1</v>
      </c>
      <c r="D2" s="1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1" t="s">
        <v>7</v>
      </c>
    </row>
    <row r="3" spans="1:9" x14ac:dyDescent="0.25">
      <c r="A3">
        <v>1</v>
      </c>
      <c r="B3" t="s">
        <v>27</v>
      </c>
      <c r="C3" t="s">
        <v>9</v>
      </c>
      <c r="D3" t="s">
        <v>13</v>
      </c>
      <c r="E3" s="2">
        <v>45146</v>
      </c>
      <c r="F3" s="5">
        <v>50000</v>
      </c>
      <c r="G3" s="5">
        <v>30000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zoomScale="90" zoomScaleNormal="90" workbookViewId="0">
      <selection activeCell="G25" sqref="G25"/>
    </sheetView>
  </sheetViews>
  <sheetFormatPr defaultRowHeight="15" x14ac:dyDescent="0.25"/>
  <cols>
    <col min="1" max="1" width="13.28515625" customWidth="1"/>
    <col min="2" max="2" width="22.85546875" customWidth="1"/>
    <col min="3" max="3" width="23.42578125" customWidth="1"/>
    <col min="4" max="4" width="13.7109375" customWidth="1"/>
    <col min="5" max="5" width="20.140625" customWidth="1"/>
    <col min="6" max="6" width="28.28515625" style="5" customWidth="1"/>
    <col min="7" max="7" width="21.85546875" style="5" customWidth="1"/>
    <col min="8" max="8" width="20.42578125" style="5" customWidth="1"/>
    <col min="9" max="9" width="21.140625" style="5" customWidth="1"/>
    <col min="10" max="10" width="22.7109375" style="5" customWidth="1"/>
    <col min="11" max="11" width="18.85546875" customWidth="1"/>
    <col min="12" max="13" width="22.140625" customWidth="1"/>
    <col min="14" max="14" width="15.7109375" customWidth="1"/>
    <col min="15" max="15" width="25" customWidth="1"/>
  </cols>
  <sheetData>
    <row r="1" spans="1:15" x14ac:dyDescent="0.25">
      <c r="A1" s="6" t="s">
        <v>0</v>
      </c>
      <c r="B1" s="7" t="s">
        <v>25</v>
      </c>
      <c r="C1" s="7" t="s">
        <v>26</v>
      </c>
      <c r="D1" s="7" t="s">
        <v>19</v>
      </c>
      <c r="E1" s="7" t="s">
        <v>20</v>
      </c>
      <c r="F1" s="7" t="s">
        <v>2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17" t="s">
        <v>34</v>
      </c>
      <c r="M1" s="8" t="s">
        <v>35</v>
      </c>
      <c r="N1" s="8" t="s">
        <v>24</v>
      </c>
      <c r="O1" s="15" t="s">
        <v>23</v>
      </c>
    </row>
    <row r="2" spans="1:15" x14ac:dyDescent="0.25">
      <c r="A2" s="9">
        <v>1</v>
      </c>
      <c r="B2" s="10" t="s">
        <v>30</v>
      </c>
      <c r="C2" s="10" t="s">
        <v>8</v>
      </c>
      <c r="D2" s="10">
        <v>2023</v>
      </c>
      <c r="E2" s="10">
        <v>9</v>
      </c>
      <c r="F2" s="10" t="s">
        <v>13</v>
      </c>
      <c r="G2" s="11">
        <v>45177</v>
      </c>
      <c r="H2" s="11">
        <v>50000</v>
      </c>
      <c r="I2" s="11">
        <v>70000</v>
      </c>
      <c r="J2" s="11">
        <v>50000</v>
      </c>
      <c r="K2" s="11"/>
      <c r="L2" s="11"/>
      <c r="M2" s="11">
        <v>0</v>
      </c>
      <c r="N2" s="11">
        <v>50000</v>
      </c>
      <c r="O2" s="16"/>
    </row>
    <row r="3" spans="1:15" x14ac:dyDescent="0.25">
      <c r="A3" s="12">
        <v>2</v>
      </c>
      <c r="B3" s="13" t="s">
        <v>27</v>
      </c>
      <c r="C3" s="13" t="s">
        <v>9</v>
      </c>
      <c r="D3" s="10">
        <v>2023</v>
      </c>
      <c r="E3" s="10">
        <v>9</v>
      </c>
      <c r="F3" s="13" t="s">
        <v>13</v>
      </c>
      <c r="G3" s="14">
        <v>45178</v>
      </c>
      <c r="H3" s="14">
        <v>50000</v>
      </c>
      <c r="I3" s="14">
        <v>70000</v>
      </c>
      <c r="J3" s="14">
        <v>50000</v>
      </c>
      <c r="K3" s="11">
        <v>70000</v>
      </c>
      <c r="L3" s="11"/>
      <c r="M3" s="11">
        <v>0</v>
      </c>
      <c r="N3" s="11">
        <f>SUM(G3:K3)</f>
        <v>285178</v>
      </c>
      <c r="O3" s="16"/>
    </row>
    <row r="4" spans="1:15" x14ac:dyDescent="0.25">
      <c r="A4" s="9">
        <v>3</v>
      </c>
      <c r="B4" s="10" t="s">
        <v>29</v>
      </c>
      <c r="C4" s="10" t="s">
        <v>10</v>
      </c>
      <c r="D4" s="10">
        <v>2023</v>
      </c>
      <c r="E4" s="10">
        <v>9</v>
      </c>
      <c r="F4" s="10" t="s">
        <v>13</v>
      </c>
      <c r="G4" s="11">
        <v>45179</v>
      </c>
      <c r="H4" s="11">
        <v>50000</v>
      </c>
      <c r="I4" s="11">
        <v>60000</v>
      </c>
      <c r="J4" s="11">
        <v>50000</v>
      </c>
      <c r="K4" s="11"/>
      <c r="L4" s="11"/>
      <c r="M4" s="11">
        <v>0</v>
      </c>
      <c r="N4" s="11">
        <f>SUM(G4:K4)</f>
        <v>205179</v>
      </c>
      <c r="O4" s="16"/>
    </row>
    <row r="5" spans="1:15" x14ac:dyDescent="0.25">
      <c r="A5" s="12">
        <v>4</v>
      </c>
      <c r="B5" s="13" t="s">
        <v>28</v>
      </c>
      <c r="C5" s="13" t="s">
        <v>11</v>
      </c>
      <c r="D5" s="10">
        <v>2023</v>
      </c>
      <c r="E5" s="10">
        <v>9</v>
      </c>
      <c r="F5" s="13" t="s">
        <v>13</v>
      </c>
      <c r="G5" s="14">
        <v>45180</v>
      </c>
      <c r="H5" s="14">
        <v>50000</v>
      </c>
      <c r="I5" s="14">
        <v>50000</v>
      </c>
      <c r="J5" s="14">
        <v>50000</v>
      </c>
      <c r="K5" s="14"/>
      <c r="L5" s="14"/>
      <c r="M5" s="11">
        <v>0</v>
      </c>
      <c r="N5" s="11">
        <f>SUM(G5:K5)</f>
        <v>195180</v>
      </c>
      <c r="O5" s="16"/>
    </row>
    <row r="6" spans="1:15" x14ac:dyDescent="0.25">
      <c r="A6" s="9">
        <v>5</v>
      </c>
      <c r="B6" s="10" t="s">
        <v>31</v>
      </c>
      <c r="C6" s="10" t="s">
        <v>12</v>
      </c>
      <c r="D6" s="10">
        <v>2023</v>
      </c>
      <c r="E6" s="10">
        <v>9</v>
      </c>
      <c r="F6" s="10" t="s">
        <v>13</v>
      </c>
      <c r="G6" s="11">
        <v>45181</v>
      </c>
      <c r="H6" s="11">
        <v>50000</v>
      </c>
      <c r="I6" s="11">
        <v>40000</v>
      </c>
      <c r="J6" s="11">
        <v>50000</v>
      </c>
      <c r="K6" s="11"/>
      <c r="L6" s="11"/>
      <c r="M6" s="11">
        <v>0</v>
      </c>
      <c r="N6" s="11">
        <f>SUM(G6:K6)</f>
        <v>185181</v>
      </c>
      <c r="O6" s="16"/>
    </row>
    <row r="7" spans="1:15" x14ac:dyDescent="0.25">
      <c r="A7" s="12">
        <v>6</v>
      </c>
      <c r="B7" s="13" t="s">
        <v>32</v>
      </c>
      <c r="C7" s="13" t="s">
        <v>22</v>
      </c>
      <c r="D7" s="10">
        <v>2023</v>
      </c>
      <c r="E7" s="10">
        <v>9</v>
      </c>
      <c r="F7" s="13" t="s">
        <v>13</v>
      </c>
      <c r="G7" s="14">
        <v>45182</v>
      </c>
      <c r="H7" s="14">
        <v>50000</v>
      </c>
      <c r="I7" s="14">
        <v>30000</v>
      </c>
      <c r="J7" s="14">
        <v>50000</v>
      </c>
      <c r="K7" s="14"/>
      <c r="L7" s="14"/>
      <c r="M7" s="11">
        <v>0</v>
      </c>
      <c r="N7" s="11">
        <f>SUM(G7:K7)</f>
        <v>175182</v>
      </c>
      <c r="O7" s="16"/>
    </row>
    <row r="8" spans="1:15" x14ac:dyDescent="0.25">
      <c r="A8" s="9">
        <v>7</v>
      </c>
      <c r="B8" s="10" t="s">
        <v>46</v>
      </c>
      <c r="C8" s="10" t="s">
        <v>21</v>
      </c>
      <c r="D8" s="10">
        <v>2023</v>
      </c>
      <c r="E8" s="10">
        <v>9</v>
      </c>
      <c r="F8" s="10" t="s">
        <v>13</v>
      </c>
      <c r="G8" s="11">
        <v>45183</v>
      </c>
      <c r="H8" s="11">
        <v>50000</v>
      </c>
      <c r="I8" s="11">
        <v>20000</v>
      </c>
      <c r="J8" s="11">
        <v>50000</v>
      </c>
      <c r="K8" s="11">
        <v>70000</v>
      </c>
      <c r="L8" s="11"/>
      <c r="M8" s="11">
        <v>0</v>
      </c>
      <c r="N8" s="11">
        <f>SUM(G8:K8)</f>
        <v>235183</v>
      </c>
      <c r="O8" s="16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9DB5-38A9-4437-8159-F28EF021078D}">
  <dimension ref="A1:M2"/>
  <sheetViews>
    <sheetView workbookViewId="0">
      <selection activeCell="E10" sqref="E10"/>
    </sheetView>
  </sheetViews>
  <sheetFormatPr defaultRowHeight="15.75" x14ac:dyDescent="0.25"/>
  <cols>
    <col min="1" max="1" width="18" style="19" customWidth="1"/>
    <col min="2" max="2" width="23.140625" style="19" customWidth="1"/>
    <col min="3" max="3" width="13.85546875" style="19" customWidth="1"/>
    <col min="4" max="4" width="23.140625" style="19" customWidth="1"/>
    <col min="5" max="13" width="16.7109375" style="19" customWidth="1"/>
    <col min="14" max="16384" width="9.140625" style="19"/>
  </cols>
  <sheetData>
    <row r="1" spans="1:13" s="21" customFormat="1" x14ac:dyDescent="0.25">
      <c r="A1" s="20" t="s">
        <v>25</v>
      </c>
      <c r="B1" s="20" t="s">
        <v>26</v>
      </c>
      <c r="C1" s="20" t="s">
        <v>39</v>
      </c>
      <c r="D1" s="20" t="s">
        <v>40</v>
      </c>
      <c r="E1" s="20" t="s">
        <v>15</v>
      </c>
      <c r="F1" s="20" t="s">
        <v>41</v>
      </c>
      <c r="G1" s="20" t="s">
        <v>42</v>
      </c>
      <c r="H1" s="20" t="s">
        <v>43</v>
      </c>
      <c r="I1" s="20" t="s">
        <v>17</v>
      </c>
      <c r="J1" s="20" t="s">
        <v>18</v>
      </c>
      <c r="K1" s="20" t="s">
        <v>24</v>
      </c>
      <c r="L1" s="20" t="s">
        <v>44</v>
      </c>
      <c r="M1" s="20" t="s">
        <v>45</v>
      </c>
    </row>
    <row r="2" spans="1:13" x14ac:dyDescent="0.25">
      <c r="A2" s="18" t="s">
        <v>36</v>
      </c>
      <c r="B2" s="18" t="s">
        <v>8</v>
      </c>
      <c r="C2" s="18">
        <v>23</v>
      </c>
      <c r="D2" s="22">
        <v>50000</v>
      </c>
      <c r="E2" s="22">
        <v>50000</v>
      </c>
      <c r="F2" s="22">
        <v>50001</v>
      </c>
      <c r="G2" s="22">
        <v>50002</v>
      </c>
      <c r="H2" s="22">
        <v>50003</v>
      </c>
      <c r="I2" s="22">
        <v>50004</v>
      </c>
      <c r="J2" s="22">
        <v>50005</v>
      </c>
      <c r="K2" s="22">
        <v>50006</v>
      </c>
      <c r="L2" s="22">
        <v>50007</v>
      </c>
      <c r="M2" s="22">
        <v>50008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8838-076F-48C1-8F30-21F5C28F3D31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100000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390A-0492-478F-9DCD-94FA44BC7BA7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62A7-5D9D-4B06-8807-00698E90E986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1B1D-34DC-42D1-8677-D8A4B32FF6A8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97D7-25DA-475F-B810-A0903DB6B255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DE5D-EC91-43BD-B0D8-FDCE2C0A3886}">
  <dimension ref="A1:F2"/>
  <sheetViews>
    <sheetView workbookViewId="0">
      <selection activeCell="E2" sqref="E2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38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0056-863F-4B02-865B-840C6974B419}">
  <dimension ref="A1:F2"/>
  <sheetViews>
    <sheetView workbookViewId="0">
      <selection activeCell="F4" sqref="F4"/>
    </sheetView>
  </sheetViews>
  <sheetFormatPr defaultRowHeight="15.75" x14ac:dyDescent="0.25"/>
  <cols>
    <col min="1" max="1" width="6.140625" style="19" customWidth="1"/>
    <col min="2" max="2" width="18" style="19" customWidth="1"/>
    <col min="3" max="3" width="23.140625" style="19" customWidth="1"/>
    <col min="4" max="5" width="9.140625" style="19"/>
    <col min="6" max="6" width="26.7109375" style="19" customWidth="1"/>
    <col min="7" max="16384" width="9.140625" style="19"/>
  </cols>
  <sheetData>
    <row r="1" spans="1:6" s="21" customFormat="1" x14ac:dyDescent="0.25">
      <c r="A1" s="20" t="s">
        <v>0</v>
      </c>
      <c r="B1" s="20" t="s">
        <v>25</v>
      </c>
      <c r="C1" s="20" t="s">
        <v>26</v>
      </c>
      <c r="D1" s="20" t="s">
        <v>19</v>
      </c>
      <c r="E1" s="20" t="s">
        <v>20</v>
      </c>
      <c r="F1" s="20" t="s">
        <v>37</v>
      </c>
    </row>
    <row r="2" spans="1:6" x14ac:dyDescent="0.25">
      <c r="A2" s="18">
        <v>1</v>
      </c>
      <c r="B2" s="18" t="s">
        <v>36</v>
      </c>
      <c r="C2" s="18" t="s">
        <v>8</v>
      </c>
      <c r="D2" s="18">
        <v>2023</v>
      </c>
      <c r="E2" s="18">
        <v>11</v>
      </c>
      <c r="F2" s="2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ThuHoPhongBan</vt:lpstr>
      <vt:lpstr>Mẫu</vt:lpstr>
      <vt:lpstr>ThuongKPISDS</vt:lpstr>
      <vt:lpstr>Thuongkhac</vt:lpstr>
      <vt:lpstr>Guixe</vt:lpstr>
      <vt:lpstr>5S</vt:lpstr>
      <vt:lpstr>Trukhac</vt:lpstr>
      <vt:lpstr>Phaithubhxh</vt:lpstr>
      <vt:lpstr>Ungluong</vt:lpstr>
      <vt:lpstr>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ToanTop</dc:creator>
  <cp:lastModifiedBy>a43071 Vũ Tú Nam</cp:lastModifiedBy>
  <dcterms:created xsi:type="dcterms:W3CDTF">2023-09-08T02:14:17Z</dcterms:created>
  <dcterms:modified xsi:type="dcterms:W3CDTF">2025-11-08T02:03:25Z</dcterms:modified>
</cp:coreProperties>
</file>